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pillai\Desktop\MI Drive\research documents\Research Computing Resources\"/>
    </mc:Choice>
  </mc:AlternateContent>
  <bookViews>
    <workbookView xWindow="0" yWindow="0" windowWidth="28800" windowHeight="14100"/>
  </bookViews>
  <sheets>
    <sheet name="VM " sheetId="2" r:id="rId1"/>
    <sheet name="Hardware" sheetId="7" r:id="rId2"/>
    <sheet name="DISK" sheetId="3" r:id="rId3"/>
    <sheet name="DISK USAGE" sheetId="9" r:id="rId4"/>
    <sheet name="VM-OS DISK" sheetId="10" r:id="rId5"/>
    <sheet name="NAS" sheetId="4" r:id="rId6"/>
    <sheet name="HPC" sheetId="5" r:id="rId7"/>
    <sheet name="Storage" sheetId="6" r:id="rId8"/>
    <sheet name="Backup" sheetId="11" r:id="rId9"/>
    <sheet name="Backup-Calculator" sheetId="1" r:id="rId10"/>
  </sheets>
  <definedNames>
    <definedName name="_xlnm._FilterDatabase" localSheetId="2" hidden="1">DISK!$1:$211</definedName>
    <definedName name="_xlnm._FilterDatabase" localSheetId="3" hidden="1">'DISK USAGE'!$1:$440</definedName>
    <definedName name="_xlnm._FilterDatabase" localSheetId="1" hidden="1">Hardware!$A$5:$I$25</definedName>
    <definedName name="_xlnm._FilterDatabase" localSheetId="0" hidden="1">'VM '!$A:$A</definedName>
  </definedNames>
  <calcPr calcId="162913" concurrentCalc="0"/>
</workbook>
</file>

<file path=xl/calcChain.xml><?xml version="1.0" encoding="utf-8"?>
<calcChain xmlns="http://schemas.openxmlformats.org/spreadsheetml/2006/main">
  <c r="E282" i="5" l="1"/>
  <c r="C282" i="5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D151" i="1"/>
  <c r="D150" i="1"/>
  <c r="B110" i="1"/>
  <c r="B109" i="1"/>
  <c r="B108" i="1"/>
  <c r="B107" i="1"/>
  <c r="B111" i="1"/>
  <c r="B22" i="1"/>
  <c r="B23" i="1"/>
  <c r="C21" i="1"/>
  <c r="B21" i="1"/>
  <c r="B20" i="1"/>
  <c r="E18" i="1"/>
  <c r="D18" i="1"/>
  <c r="C18" i="1"/>
  <c r="C22" i="1"/>
  <c r="C23" i="1"/>
  <c r="B18" i="1"/>
  <c r="J17" i="11"/>
  <c r="K17" i="11"/>
  <c r="K16" i="11"/>
  <c r="J16" i="11"/>
  <c r="J15" i="11"/>
  <c r="K15" i="11"/>
  <c r="L15" i="11"/>
  <c r="J14" i="11"/>
  <c r="K14" i="11"/>
  <c r="L14" i="11"/>
  <c r="J13" i="11"/>
  <c r="K13" i="11"/>
  <c r="L13" i="11"/>
  <c r="K12" i="11"/>
  <c r="L12" i="11"/>
  <c r="J12" i="11"/>
  <c r="J11" i="11"/>
  <c r="K11" i="11"/>
  <c r="L11" i="11"/>
  <c r="J10" i="11"/>
  <c r="K10" i="11"/>
  <c r="L10" i="11"/>
  <c r="K9" i="11"/>
  <c r="J9" i="11"/>
  <c r="J8" i="11"/>
  <c r="K8" i="11"/>
  <c r="L8" i="11"/>
  <c r="J7" i="11"/>
  <c r="K7" i="11"/>
  <c r="L7" i="11"/>
  <c r="K6" i="11"/>
  <c r="J6" i="11"/>
  <c r="J5" i="11"/>
  <c r="K5" i="11"/>
  <c r="L5" i="11"/>
  <c r="J4" i="11"/>
  <c r="K4" i="11"/>
  <c r="L4" i="11"/>
  <c r="K3" i="11"/>
  <c r="J3" i="11"/>
  <c r="J2" i="11"/>
  <c r="K2" i="11"/>
  <c r="L2" i="11"/>
  <c r="L18" i="11"/>
  <c r="B18" i="6"/>
  <c r="C17" i="6"/>
  <c r="D17" i="6"/>
  <c r="D19" i="6"/>
  <c r="B8" i="6"/>
  <c r="B9" i="6"/>
  <c r="B17" i="6"/>
  <c r="C242" i="5"/>
  <c r="C205" i="5"/>
  <c r="C178" i="5"/>
  <c r="C163" i="5"/>
  <c r="B148" i="5"/>
  <c r="B147" i="5"/>
  <c r="B146" i="5"/>
  <c r="F129" i="5"/>
  <c r="E129" i="5"/>
  <c r="K128" i="5"/>
  <c r="B33" i="4"/>
  <c r="I504" i="9"/>
  <c r="H504" i="9"/>
  <c r="D504" i="9"/>
  <c r="C500" i="9"/>
  <c r="J491" i="9"/>
  <c r="I491" i="9"/>
  <c r="H491" i="9"/>
  <c r="D491" i="9"/>
  <c r="I490" i="9"/>
  <c r="H490" i="9"/>
  <c r="D490" i="9"/>
  <c r="I489" i="9"/>
  <c r="J489" i="9"/>
  <c r="H489" i="9"/>
  <c r="D489" i="9"/>
  <c r="C484" i="9"/>
  <c r="C503" i="9"/>
  <c r="B484" i="9"/>
  <c r="B503" i="9"/>
  <c r="B483" i="9"/>
  <c r="B502" i="9"/>
  <c r="D482" i="9"/>
  <c r="D501" i="9"/>
  <c r="D481" i="9"/>
  <c r="D500" i="9"/>
  <c r="C481" i="9"/>
  <c r="C480" i="9"/>
  <c r="C499" i="9"/>
  <c r="B480" i="9"/>
  <c r="B499" i="9"/>
  <c r="B479" i="9"/>
  <c r="B498" i="9"/>
  <c r="D477" i="9"/>
  <c r="D496" i="9"/>
  <c r="C476" i="9"/>
  <c r="C495" i="9"/>
  <c r="B475" i="9"/>
  <c r="B494" i="9"/>
  <c r="D473" i="9"/>
  <c r="D492" i="9"/>
  <c r="C472" i="9"/>
  <c r="D463" i="9"/>
  <c r="D484" i="9"/>
  <c r="D503" i="9"/>
  <c r="C463" i="9"/>
  <c r="B463" i="9"/>
  <c r="D462" i="9"/>
  <c r="D483" i="9"/>
  <c r="D502" i="9"/>
  <c r="C462" i="9"/>
  <c r="C483" i="9"/>
  <c r="C502" i="9"/>
  <c r="B462" i="9"/>
  <c r="D461" i="9"/>
  <c r="C461" i="9"/>
  <c r="C482" i="9"/>
  <c r="C501" i="9"/>
  <c r="B461" i="9"/>
  <c r="B482" i="9"/>
  <c r="B501" i="9"/>
  <c r="D460" i="9"/>
  <c r="C460" i="9"/>
  <c r="B460" i="9"/>
  <c r="B481" i="9"/>
  <c r="B500" i="9"/>
  <c r="D459" i="9"/>
  <c r="D480" i="9"/>
  <c r="D499" i="9"/>
  <c r="D458" i="9"/>
  <c r="D479" i="9"/>
  <c r="D498" i="9"/>
  <c r="C458" i="9"/>
  <c r="C479" i="9"/>
  <c r="C498" i="9"/>
  <c r="B458" i="9"/>
  <c r="D457" i="9"/>
  <c r="D478" i="9"/>
  <c r="D497" i="9"/>
  <c r="C457" i="9"/>
  <c r="C478" i="9"/>
  <c r="C497" i="9"/>
  <c r="B457" i="9"/>
  <c r="B478" i="9"/>
  <c r="B497" i="9"/>
  <c r="D456" i="9"/>
  <c r="C456" i="9"/>
  <c r="C477" i="9"/>
  <c r="C496" i="9"/>
  <c r="B456" i="9"/>
  <c r="B477" i="9"/>
  <c r="B496" i="9"/>
  <c r="D455" i="9"/>
  <c r="D476" i="9"/>
  <c r="D495" i="9"/>
  <c r="C455" i="9"/>
  <c r="B455" i="9"/>
  <c r="B476" i="9"/>
  <c r="B495" i="9"/>
  <c r="D454" i="9"/>
  <c r="D475" i="9"/>
  <c r="D494" i="9"/>
  <c r="C454" i="9"/>
  <c r="C475" i="9"/>
  <c r="C494" i="9"/>
  <c r="B454" i="9"/>
  <c r="D453" i="9"/>
  <c r="D474" i="9"/>
  <c r="D493" i="9"/>
  <c r="C453" i="9"/>
  <c r="C474" i="9"/>
  <c r="C493" i="9"/>
  <c r="B453" i="9"/>
  <c r="B474" i="9"/>
  <c r="B493" i="9"/>
  <c r="D452" i="9"/>
  <c r="C452" i="9"/>
  <c r="C473" i="9"/>
  <c r="C492" i="9"/>
  <c r="B452" i="9"/>
  <c r="B473" i="9"/>
  <c r="B492" i="9"/>
  <c r="D451" i="9"/>
  <c r="D472" i="9"/>
  <c r="C451" i="9"/>
  <c r="B451" i="9"/>
  <c r="B472" i="9"/>
  <c r="D449" i="9"/>
  <c r="D470" i="9"/>
  <c r="H379" i="9"/>
  <c r="G379" i="9"/>
  <c r="F379" i="9"/>
  <c r="H378" i="9"/>
  <c r="G378" i="9"/>
  <c r="F378" i="9"/>
  <c r="H377" i="9"/>
  <c r="G377" i="9"/>
  <c r="F377" i="9"/>
  <c r="H375" i="9"/>
  <c r="H374" i="9"/>
  <c r="G374" i="9"/>
  <c r="F374" i="9"/>
  <c r="H373" i="9"/>
  <c r="H372" i="9"/>
  <c r="G372" i="9"/>
  <c r="F372" i="9"/>
  <c r="H371" i="9"/>
  <c r="F371" i="9"/>
  <c r="H370" i="9"/>
  <c r="H369" i="9"/>
  <c r="G369" i="9"/>
  <c r="C449" i="9"/>
  <c r="C470" i="9"/>
  <c r="F369" i="9"/>
  <c r="H368" i="9"/>
  <c r="G368" i="9"/>
  <c r="F368" i="9"/>
  <c r="H367" i="9"/>
  <c r="H366" i="9"/>
  <c r="G366" i="9"/>
  <c r="F366" i="9"/>
  <c r="H365" i="9"/>
  <c r="G365" i="9"/>
  <c r="F365" i="9"/>
  <c r="H364" i="9"/>
  <c r="H363" i="9"/>
  <c r="G363" i="9"/>
  <c r="F363" i="9"/>
  <c r="H362" i="9"/>
  <c r="H361" i="9"/>
  <c r="H360" i="9"/>
  <c r="G360" i="9"/>
  <c r="F360" i="9"/>
  <c r="B449" i="9"/>
  <c r="B470" i="9"/>
  <c r="H359" i="9"/>
  <c r="G359" i="9"/>
  <c r="F359" i="9"/>
  <c r="H358" i="9"/>
  <c r="H357" i="9"/>
  <c r="G357" i="9"/>
  <c r="F357" i="9"/>
  <c r="H356" i="9"/>
  <c r="D450" i="9"/>
  <c r="D471" i="9"/>
  <c r="G356" i="9"/>
  <c r="C450" i="9"/>
  <c r="C471" i="9"/>
  <c r="F356" i="9"/>
  <c r="B450" i="9"/>
  <c r="B471" i="9"/>
  <c r="H355" i="9"/>
  <c r="H354" i="9"/>
  <c r="C238" i="3"/>
  <c r="C237" i="3"/>
  <c r="C236" i="3"/>
  <c r="D233" i="3"/>
  <c r="C232" i="3"/>
  <c r="C231" i="3"/>
  <c r="F222" i="3"/>
  <c r="B129" i="7"/>
  <c r="B121" i="7"/>
  <c r="B104" i="7"/>
  <c r="B103" i="7"/>
  <c r="B81" i="7"/>
  <c r="C63" i="7"/>
  <c r="B63" i="7"/>
  <c r="B62" i="7"/>
  <c r="H57" i="7"/>
  <c r="G57" i="7"/>
  <c r="H47" i="7"/>
  <c r="G47" i="7"/>
  <c r="H46" i="7"/>
  <c r="G46" i="7"/>
  <c r="H25" i="7"/>
  <c r="H50" i="7"/>
  <c r="G25" i="7"/>
  <c r="G50" i="7"/>
  <c r="H24" i="7"/>
  <c r="G24" i="7"/>
  <c r="H23" i="7"/>
  <c r="C103" i="7"/>
  <c r="G23" i="7"/>
  <c r="G49" i="7"/>
  <c r="H22" i="7"/>
  <c r="G22" i="7"/>
  <c r="B148" i="2"/>
  <c r="B147" i="2"/>
  <c r="B146" i="2"/>
  <c r="E141" i="2"/>
  <c r="D141" i="2"/>
  <c r="C141" i="2"/>
  <c r="E140" i="2"/>
  <c r="D140" i="2"/>
  <c r="C140" i="2"/>
  <c r="B140" i="2"/>
  <c r="E139" i="2"/>
  <c r="D139" i="2"/>
  <c r="C139" i="2"/>
  <c r="E112" i="2"/>
  <c r="E111" i="2"/>
  <c r="E110" i="2"/>
  <c r="E109" i="2"/>
  <c r="C104" i="2"/>
  <c r="D103" i="2"/>
  <c r="C103" i="2"/>
  <c r="D102" i="2"/>
  <c r="I86" i="2"/>
  <c r="H86" i="2"/>
  <c r="D85" i="2"/>
  <c r="D84" i="2"/>
  <c r="I83" i="2"/>
  <c r="C120" i="7"/>
  <c r="C122" i="7"/>
  <c r="C130" i="7"/>
  <c r="H83" i="2"/>
  <c r="D82" i="2"/>
  <c r="D81" i="2"/>
  <c r="I80" i="2"/>
  <c r="B120" i="7"/>
  <c r="B122" i="7"/>
  <c r="B130" i="7"/>
  <c r="H80" i="2"/>
  <c r="I77" i="2"/>
  <c r="G2" i="2"/>
  <c r="D104" i="2"/>
  <c r="H493" i="9"/>
  <c r="I493" i="9"/>
  <c r="H492" i="9"/>
  <c r="I492" i="9"/>
  <c r="J492" i="9"/>
  <c r="H496" i="9"/>
  <c r="I496" i="9"/>
  <c r="H502" i="9"/>
  <c r="I502" i="9"/>
  <c r="J502" i="9"/>
  <c r="H495" i="9"/>
  <c r="I495" i="9"/>
  <c r="J495" i="9"/>
  <c r="H499" i="9"/>
  <c r="I499" i="9"/>
  <c r="J499" i="9"/>
  <c r="H501" i="9"/>
  <c r="I501" i="9"/>
  <c r="J501" i="9"/>
  <c r="I500" i="9"/>
  <c r="J500" i="9"/>
  <c r="H497" i="9"/>
  <c r="I497" i="9"/>
  <c r="J497" i="9"/>
  <c r="H494" i="9"/>
  <c r="I494" i="9"/>
  <c r="J494" i="9"/>
  <c r="H498" i="9"/>
  <c r="I498" i="9"/>
  <c r="J498" i="9"/>
  <c r="H503" i="9"/>
  <c r="I503" i="9"/>
  <c r="C81" i="7"/>
  <c r="B85" i="7"/>
  <c r="C20" i="1"/>
  <c r="H49" i="7"/>
  <c r="C76" i="7"/>
  <c r="H500" i="9"/>
  <c r="J505" i="9"/>
</calcChain>
</file>

<file path=xl/sharedStrings.xml><?xml version="1.0" encoding="utf-8"?>
<sst xmlns="http://schemas.openxmlformats.org/spreadsheetml/2006/main" count="12969" uniqueCount="1327">
  <si>
    <t>VM</t>
  </si>
  <si>
    <t>Powerstate</t>
  </si>
  <si>
    <t>DNS Name</t>
  </si>
  <si>
    <t>PowerOn</t>
  </si>
  <si>
    <t>Suspend time</t>
  </si>
  <si>
    <t>CPUs</t>
  </si>
  <si>
    <t>Memory</t>
  </si>
  <si>
    <t>NICs</t>
  </si>
  <si>
    <t>Disks</t>
  </si>
  <si>
    <t>Network #1</t>
  </si>
  <si>
    <t>Resource pool</t>
  </si>
  <si>
    <t>Provisioned MB</t>
  </si>
  <si>
    <t>In Use MB</t>
  </si>
  <si>
    <t>Unshared MB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</si>
  <si>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</si>
  <si>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</si>
  <si>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</si>
  <si>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</si>
  <si>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</si>
  <si>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</si>
  <si>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</si>
  <si>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</si>
  <si>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</si>
  <si>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Owner</t>
  </si>
  <si>
    <t>Datacenter</t>
  </si>
  <si>
    <t>Cluster</t>
  </si>
  <si>
    <t>Host</t>
  </si>
  <si>
    <t>OS according to the configuration file</t>
  </si>
  <si>
    <t>atlas-global</t>
  </si>
  <si>
    <t>poweredOn</t>
  </si>
  <si>
    <t>atlasglobal</t>
  </si>
  <si>
    <t>2019/04/06 12:15:34</t>
  </si>
  <si>
    <t>VLAN 621</t>
  </si>
  <si>
    <t>/MI Datacenter/Research/Resources</t>
  </si>
  <si>
    <t>False</t>
  </si>
  <si>
    <t>bios</t>
  </si>
  <si>
    <t>none</t>
  </si>
  <si>
    <t>never</t>
  </si>
  <si>
    <t>Hosni Ghedira</t>
  </si>
  <si>
    <t>MI Datacenter</t>
  </si>
  <si>
    <t>Research</t>
  </si>
  <si>
    <t>esx-res-5.minet.ae</t>
  </si>
  <si>
    <t>Ubuntu Linux (64-bit)</t>
  </si>
  <si>
    <t>atlas-prod</t>
  </si>
  <si>
    <t>atlas-prod.masdar.ac.ae</t>
  </si>
  <si>
    <t>2019/03/14 12:00:50</t>
  </si>
  <si>
    <t>esx-res-1.minet.ae</t>
  </si>
  <si>
    <t>cesam-filesrv</t>
  </si>
  <si>
    <t>2019/03/14 11:46:26</t>
  </si>
  <si>
    <t>Marouane Temimi</t>
  </si>
  <si>
    <t>esx-res-12.minet.ae</t>
  </si>
  <si>
    <t>cesam-geodb-dev</t>
  </si>
  <si>
    <t>2019/03/14 11:44:40</t>
  </si>
  <si>
    <t>VLAN631-DEV</t>
  </si>
  <si>
    <t>cesam-geodb-prod</t>
  </si>
  <si>
    <t>2019/03/13 13:44:46</t>
  </si>
  <si>
    <t>cesam-geodb-uat</t>
  </si>
  <si>
    <t>2019/03/14 11:44:26</t>
  </si>
  <si>
    <t>cesam-web-dev</t>
  </si>
  <si>
    <t>2018/11/14 15:21:39</t>
  </si>
  <si>
    <t>VLAN 34</t>
  </si>
  <si>
    <t>/MI Datacenter/RES DMZ ESX/esx-res-dmz1.minet.ae/Resources</t>
  </si>
  <si>
    <t>esx-res-dmz1.minet.ae</t>
  </si>
  <si>
    <t>cesam-web-prod</t>
  </si>
  <si>
    <t>2018/07/14 16:18:54</t>
  </si>
  <si>
    <t>VLAN 17</t>
  </si>
  <si>
    <t>cesam-web-uat</t>
  </si>
  <si>
    <t>2018/07/14 16:18:57</t>
  </si>
  <si>
    <t>VLAN049</t>
  </si>
  <si>
    <t>cis1-db</t>
  </si>
  <si>
    <t>2018/07/14 16:07:00</t>
  </si>
  <si>
    <t>VLAN 629 dr.andreas</t>
  </si>
  <si>
    <t>Andreas Henschel</t>
  </si>
  <si>
    <t>esx-res-6.minet.ae</t>
  </si>
  <si>
    <t>greenhost-prod</t>
  </si>
  <si>
    <t>greenhost-prod.minet.ae</t>
  </si>
  <si>
    <t>2018/11/13 13:57:46</t>
  </si>
  <si>
    <t>hpc-LB</t>
  </si>
  <si>
    <t>IT-HPC-Load Balancer</t>
  </si>
  <si>
    <t>irena-dev</t>
  </si>
  <si>
    <t>irena-dev.minet.ae</t>
  </si>
  <si>
    <t>2018/07/22 08:51:51</t>
  </si>
  <si>
    <t>irena-prod</t>
  </si>
  <si>
    <t>irena-prod.masdar.ac.ae</t>
  </si>
  <si>
    <t>2018/07/14 16:20:36</t>
  </si>
  <si>
    <t>Irena-rooftop-dev</t>
  </si>
  <si>
    <t>irena-rooftop-dev</t>
  </si>
  <si>
    <t>2019/03/06 09:17:52</t>
  </si>
  <si>
    <t>Irena-rooftop-uat</t>
  </si>
  <si>
    <t>ubuntu16</t>
  </si>
  <si>
    <t>2019/04/22 14:10:39</t>
  </si>
  <si>
    <t>VLAN 49</t>
  </si>
  <si>
    <t>Jumpsrv01</t>
  </si>
  <si>
    <t>jumpsrv01</t>
  </si>
  <si>
    <t>VLAN 630-JUMPSRV</t>
  </si>
  <si>
    <t>esx-res-7.minet.ae</t>
  </si>
  <si>
    <t>ku1ruwexv001</t>
  </si>
  <si>
    <t>2019/05/23 14:09:44</t>
  </si>
  <si>
    <t>ANK-RES-UAT</t>
  </si>
  <si>
    <t>esx-res-14.minet.ae</t>
  </si>
  <si>
    <t>KU2RPAAWV001</t>
  </si>
  <si>
    <t>KU2RPAAWV001.minet.ae</t>
  </si>
  <si>
    <t>2019/05/23 12:03:56</t>
  </si>
  <si>
    <t>Microsoft Windows Server 2016 (64-bit)</t>
  </si>
  <si>
    <t>KU2RPAAWV002</t>
  </si>
  <si>
    <t>KU2RPAAWV002.minet.ae</t>
  </si>
  <si>
    <t>2019/03/25 15:24:50</t>
  </si>
  <si>
    <t>KU2RPAAWV003</t>
  </si>
  <si>
    <t>KU2RPAAWV003.minet.ae</t>
  </si>
  <si>
    <t>2019/05/29 16:09:19</t>
  </si>
  <si>
    <t>ku2rpwexv019</t>
  </si>
  <si>
    <t>2019/03/07 21:00:59</t>
  </si>
  <si>
    <t>Research Team</t>
  </si>
  <si>
    <t>esx-res-9.minet.ae</t>
  </si>
  <si>
    <t>linux-app1</t>
  </si>
  <si>
    <t>IT-application NFS server</t>
  </si>
  <si>
    <t>masdar-airquality</t>
  </si>
  <si>
    <t>2019/05/23 09:59:18</t>
  </si>
  <si>
    <t>masdar-error</t>
  </si>
  <si>
    <t>2019/03/13 13:44:31</t>
  </si>
  <si>
    <t>masdar-fog</t>
  </si>
  <si>
    <t>MASDAR-FOG.minet.ae</t>
  </si>
  <si>
    <t>2019/03/14 11:06:32</t>
  </si>
  <si>
    <t>Microsoft Windows Server 2008 R2 (64-bit)</t>
  </si>
  <si>
    <t>masdar-fog_restored</t>
  </si>
  <si>
    <t>MASDAR-FOG-2.minet.ae</t>
  </si>
  <si>
    <t>2019/04/30 09:46:29</t>
  </si>
  <si>
    <t>masdar-fog-3</t>
  </si>
  <si>
    <t>MASDAR-FOG-3.minet.ae</t>
  </si>
  <si>
    <t>masdar-marine</t>
  </si>
  <si>
    <t>2018/07/14 15:55:17</t>
  </si>
  <si>
    <t>masdar-ocean</t>
  </si>
  <si>
    <t>masdar-ocean.minet.ae</t>
  </si>
  <si>
    <t>2019/03/19 11:02:59</t>
  </si>
  <si>
    <t>masdar-postproc</t>
  </si>
  <si>
    <t>2019/03/14 11:41:43</t>
  </si>
  <si>
    <t>masdar-pproc</t>
  </si>
  <si>
    <t>MASDAR-PPROC.minet.ae</t>
  </si>
  <si>
    <t>2018/10/25 12:54:02</t>
  </si>
  <si>
    <t>masdar-rems</t>
  </si>
  <si>
    <t>masdar-rems.minet.ae</t>
  </si>
  <si>
    <t>2019/05/28 04:20:30</t>
  </si>
  <si>
    <t>Microsoft Windows Server 2012 (64-bit)</t>
  </si>
  <si>
    <t>masdar-rems2</t>
  </si>
  <si>
    <t>2019/03/14 12:00:32</t>
  </si>
  <si>
    <t>masdar-roms</t>
  </si>
  <si>
    <t>2019/03/14 12:00:17</t>
  </si>
  <si>
    <t>masdar-solartechsimulators</t>
  </si>
  <si>
    <t>2019/03/13 13:59:11</t>
  </si>
  <si>
    <t>Arttu\Dr.Hosni</t>
  </si>
  <si>
    <t>masdar-stratobus</t>
  </si>
  <si>
    <t>masdar-stratobus.minet.ae</t>
  </si>
  <si>
    <t>2019/03/14 12:02:56</t>
  </si>
  <si>
    <t>mi-geodb-dev</t>
  </si>
  <si>
    <t>2019/03/14 12:11:44</t>
  </si>
  <si>
    <t>mi-geodb-prod</t>
  </si>
  <si>
    <t>VLAN 505</t>
  </si>
  <si>
    <t>/MI Datacenter/IT Core/Resources</t>
  </si>
  <si>
    <t>esx-it-prod1.minet.ae</t>
  </si>
  <si>
    <t>MI-homeserver</t>
  </si>
  <si>
    <t>mi-homeserver.minet.ae</t>
  </si>
  <si>
    <t>2018/08/14 23:10:58</t>
  </si>
  <si>
    <t>mila-prod</t>
  </si>
  <si>
    <t>mila-prod.minet.ae</t>
  </si>
  <si>
    <t>2018/07/14 15:51:39</t>
  </si>
  <si>
    <t>IT-application build server</t>
  </si>
  <si>
    <t>Red Hat Enterprise Linux 6 (64-bit)</t>
  </si>
  <si>
    <t>mill-prod</t>
  </si>
  <si>
    <t>esx-it-prod6.minet.ae</t>
  </si>
  <si>
    <t>mill-prod2</t>
  </si>
  <si>
    <t>2018/07/14 15:45:13</t>
  </si>
  <si>
    <t>CentOS 4/5/6/7 (64-bit)</t>
  </si>
  <si>
    <t>mi-lsaftp (RAJA kambabpati)-shutdown</t>
  </si>
  <si>
    <t>poweredOff</t>
  </si>
  <si>
    <t>mi-lsaftp</t>
  </si>
  <si>
    <t>mi-res-gateway</t>
  </si>
  <si>
    <t>mi-res-gateway.minet.ae</t>
  </si>
  <si>
    <t>2018/07/14 16:20:49</t>
  </si>
  <si>
    <t>moccae-web-dev</t>
  </si>
  <si>
    <t>2018/07/14 16:20:53</t>
  </si>
  <si>
    <t>moccae-web-uat</t>
  </si>
  <si>
    <t>2018/07/14 16:20:58</t>
  </si>
  <si>
    <t>pdk-server</t>
  </si>
  <si>
    <t>Ibrahim Elfadel for pdk</t>
  </si>
  <si>
    <t>recrema-geodb-dev</t>
  </si>
  <si>
    <t>recrema-geodb-uat</t>
  </si>
  <si>
    <t>recrema-web-dev</t>
  </si>
  <si>
    <t>2018/08/07 10:19:11</t>
  </si>
  <si>
    <t>recrema-web-prod</t>
  </si>
  <si>
    <t>2018/07/14 16:21:06</t>
  </si>
  <si>
    <t>recrema-web-uat</t>
  </si>
  <si>
    <t>2018/07/14 16:21:13</t>
  </si>
  <si>
    <t>research03</t>
  </si>
  <si>
    <t>2019/04/03 09:01:09</t>
  </si>
  <si>
    <t>research04</t>
  </si>
  <si>
    <t>esx-res-4.minet.ae</t>
  </si>
  <si>
    <t>Research07</t>
  </si>
  <si>
    <t>research07.minet.ae</t>
  </si>
  <si>
    <t>2019/03/14 10:52:09</t>
  </si>
  <si>
    <t>Kumar Shanmugam</t>
  </si>
  <si>
    <t>Microsoft Windows 7 (64-bit)</t>
  </si>
  <si>
    <t>research09</t>
  </si>
  <si>
    <t>2019/03/13 14:00:44</t>
  </si>
  <si>
    <t>Ibrahim Elfadel</t>
  </si>
  <si>
    <t>research10</t>
  </si>
  <si>
    <t>research11</t>
  </si>
  <si>
    <t>2018/10/25 12:53:33</t>
  </si>
  <si>
    <t>Mihai Sanduleanu</t>
  </si>
  <si>
    <t>research12</t>
  </si>
  <si>
    <t>research15</t>
  </si>
  <si>
    <t>research15.minet.ae</t>
  </si>
  <si>
    <t>2019/03/13 13:50:43</t>
  </si>
  <si>
    <t>Mohamed Ibrahim Hassan Ali</t>
  </si>
  <si>
    <t>research17</t>
  </si>
  <si>
    <t>RESEARCH17.minet.ae</t>
  </si>
  <si>
    <t>research18</t>
  </si>
  <si>
    <t>RESEARCH18.minet.ae</t>
  </si>
  <si>
    <t>2019/04/30 13:32:16</t>
  </si>
  <si>
    <t>research19</t>
  </si>
  <si>
    <t>2019/03/13 13:49:56</t>
  </si>
  <si>
    <t>research21</t>
  </si>
  <si>
    <t>2018/10/28 12:15:14</t>
  </si>
  <si>
    <t>Research22</t>
  </si>
  <si>
    <t>2018/08/14 23:09:59</t>
  </si>
  <si>
    <t>Research24</t>
  </si>
  <si>
    <t>research24.minet.ae</t>
  </si>
  <si>
    <t>Dr.Sameh File server</t>
  </si>
  <si>
    <t>Research25</t>
  </si>
  <si>
    <t>2019/03/06 16:38:59</t>
  </si>
  <si>
    <t>Replacement for linux lab machine</t>
  </si>
  <si>
    <t xml:space="preserve">VM </t>
  </si>
  <si>
    <t>Zone</t>
  </si>
  <si>
    <t>Count</t>
  </si>
  <si>
    <t>Average Usage/per VM</t>
  </si>
  <si>
    <t>Average</t>
  </si>
  <si>
    <t>Production</t>
  </si>
  <si>
    <t>Baker Lab</t>
  </si>
  <si>
    <t>Buffer VM</t>
  </si>
  <si>
    <t xml:space="preserve">Total </t>
  </si>
  <si>
    <t xml:space="preserve">No. of VM </t>
  </si>
  <si>
    <t xml:space="preserve"> IT CORE </t>
  </si>
  <si>
    <t xml:space="preserve"> Research DMZ</t>
  </si>
  <si>
    <t xml:space="preserve">Research </t>
  </si>
  <si>
    <t xml:space="preserve">CPU </t>
  </si>
  <si>
    <t xml:space="preserve">RAM in GB </t>
  </si>
  <si>
    <t>4096 ~ 100000</t>
  </si>
  <si>
    <t xml:space="preserve">Storage inTB </t>
  </si>
  <si>
    <t>Storage inTB (OS)</t>
  </si>
  <si>
    <t>Storage inTB (Project)</t>
  </si>
  <si>
    <t>RAM in MB</t>
  </si>
  <si>
    <t xml:space="preserve">VM from IT CORE </t>
  </si>
  <si>
    <t xml:space="preserve">VM from Research DMZ </t>
  </si>
  <si>
    <t>158 GB</t>
  </si>
  <si>
    <t>VM from Research</t>
  </si>
  <si>
    <t>1838 GB</t>
  </si>
  <si>
    <t>Storage inTB (OS + Project)</t>
  </si>
  <si>
    <t>YEAR</t>
  </si>
  <si>
    <t>Memory in GB</t>
  </si>
  <si>
    <t>DISK  TB</t>
  </si>
  <si>
    <t xml:space="preserve">2016-2017 </t>
  </si>
  <si>
    <t xml:space="preserve">2017-2018 </t>
  </si>
  <si>
    <t>2018 -2019</t>
  </si>
  <si>
    <t xml:space="preserve">2018 -2019 </t>
  </si>
  <si>
    <t>2016-2017 = 91 GB</t>
  </si>
  <si>
    <t xml:space="preserve">2017-2018 =  72 GB </t>
  </si>
  <si>
    <t xml:space="preserve">2018 -2019 = 290 GB + 415 GB </t>
  </si>
  <si>
    <t>2016-2017 = 21 TB</t>
  </si>
  <si>
    <t>2017-2018 =  17 TB</t>
  </si>
  <si>
    <t xml:space="preserve">2018 -2019 = 81 TB </t>
  </si>
  <si>
    <t xml:space="preserve">Research Infra </t>
  </si>
  <si>
    <t xml:space="preserve">Chassis </t>
  </si>
  <si>
    <t>Chassis Name</t>
  </si>
  <si>
    <t>Total</t>
  </si>
  <si>
    <t xml:space="preserve">Chassis 1 </t>
  </si>
  <si>
    <t>16 Servers</t>
  </si>
  <si>
    <t>Slot</t>
  </si>
  <si>
    <t>SL.No.</t>
  </si>
  <si>
    <t>Make</t>
  </si>
  <si>
    <t>CPU Make</t>
  </si>
  <si>
    <t>Core</t>
  </si>
  <si>
    <t>C Pus</t>
  </si>
  <si>
    <t xml:space="preserve">Memory in GB </t>
  </si>
  <si>
    <t>Slot 1</t>
  </si>
  <si>
    <t xml:space="preserve">OLD- DVB - Free </t>
  </si>
  <si>
    <t>1663J5J</t>
  </si>
  <si>
    <t>Power Edge M620</t>
  </si>
  <si>
    <t>2 x Intel(R) Eon(R) CPU E5-2650 0 @ 2.00GHz</t>
  </si>
  <si>
    <t>IT (OLD DVB)</t>
  </si>
  <si>
    <t>Slot 2</t>
  </si>
  <si>
    <t>KU2RPAAWV004</t>
  </si>
  <si>
    <t>J563J5J</t>
  </si>
  <si>
    <t>IT (New Production DVB )</t>
  </si>
  <si>
    <t>Slot 3</t>
  </si>
  <si>
    <t>ESXI</t>
  </si>
  <si>
    <t>5663J5J</t>
  </si>
  <si>
    <t>IT</t>
  </si>
  <si>
    <t>Slot 4</t>
  </si>
  <si>
    <t>8JYDB22</t>
  </si>
  <si>
    <t>2 x Intel(R) Eon(R) CPU E5-2697 v2 @ 2.70GHz</t>
  </si>
  <si>
    <t>Slot 5</t>
  </si>
  <si>
    <t>GHYDB22</t>
  </si>
  <si>
    <t>Slot 6</t>
  </si>
  <si>
    <t>CHYDB22</t>
  </si>
  <si>
    <t>Slot 7</t>
  </si>
  <si>
    <t>CJYDB22</t>
  </si>
  <si>
    <t>Slot 8</t>
  </si>
  <si>
    <t>DJYDB22</t>
  </si>
  <si>
    <t>Slot 9</t>
  </si>
  <si>
    <t>HJYDB22</t>
  </si>
  <si>
    <t>Slot 10</t>
  </si>
  <si>
    <t>GJYDB22</t>
  </si>
  <si>
    <t>Slot 11</t>
  </si>
  <si>
    <t>3JYDB22</t>
  </si>
  <si>
    <t>Slot 12</t>
  </si>
  <si>
    <t>JL5WWM2</t>
  </si>
  <si>
    <t>Power Edge M640</t>
  </si>
  <si>
    <t>2 x Intel(R) Eon(R) Gold 6152 CPU @ 2.10GHz</t>
  </si>
  <si>
    <t xml:space="preserve"> Dr. Marouane Temimi FOG Team</t>
  </si>
  <si>
    <t>Slot 13</t>
  </si>
  <si>
    <t>Free</t>
  </si>
  <si>
    <t>1JYDB22</t>
  </si>
  <si>
    <t>Slot 14</t>
  </si>
  <si>
    <t>4MKYKQ2</t>
  </si>
  <si>
    <t>Power Edge M630</t>
  </si>
  <si>
    <t>2 x Intel(R) Eon(R) CPU E5-2650 v4 @ 2.20GHz</t>
  </si>
  <si>
    <t>Dr. M. Hosni Ghedira Recrema Team</t>
  </si>
  <si>
    <t>Slot 15</t>
  </si>
  <si>
    <t>9HYDB22</t>
  </si>
  <si>
    <t>Slot 16</t>
  </si>
  <si>
    <t>BJYDB22</t>
  </si>
  <si>
    <t xml:space="preserve">Total Capacity </t>
  </si>
  <si>
    <t xml:space="preserve">VM Used </t>
  </si>
  <si>
    <t xml:space="preserve">VM from IT </t>
  </si>
  <si>
    <t>Free Resources</t>
  </si>
  <si>
    <t>Chassis 2</t>
  </si>
  <si>
    <t>8 Servers</t>
  </si>
  <si>
    <t>HPCMASTER1-ku4rhcslp1</t>
  </si>
  <si>
    <t>1NQTWM2</t>
  </si>
  <si>
    <t>PowerEdge M630</t>
  </si>
  <si>
    <t>2 x Intel(R) Xeon(R) CPU E5-2650 v4 @ 2.20GHz</t>
  </si>
  <si>
    <t>HPCMASTER2-ku4rhcslp2</t>
  </si>
  <si>
    <t>1NQVWM2</t>
  </si>
  <si>
    <t>HPC-SUBNODE-ku4rhcslp3</t>
  </si>
  <si>
    <t>1NPXWM2</t>
  </si>
  <si>
    <t xml:space="preserve">	2 x Intel(R) Xeon(R) CPU E5-2650 v4 @ 2.20GHz</t>
  </si>
  <si>
    <t>HPC-SUBNODE-ku4rhcslp4</t>
  </si>
  <si>
    <t>1NQSWM2</t>
  </si>
  <si>
    <t>HPC-SUB1-ku4rhcslp5</t>
  </si>
  <si>
    <t>1NQ1XM2</t>
  </si>
  <si>
    <t>HPC-SUB1-ku4rhcslp6</t>
  </si>
  <si>
    <t>1NQ0XM2</t>
  </si>
  <si>
    <t>JHYDB22</t>
  </si>
  <si>
    <t>No Servers</t>
  </si>
  <si>
    <t>9JYDB22</t>
  </si>
  <si>
    <t>Total Capacity Free</t>
  </si>
  <si>
    <t xml:space="preserve">Research DMZ </t>
  </si>
  <si>
    <t>Power Edge R730</t>
  </si>
  <si>
    <t>Power Edge R740</t>
  </si>
  <si>
    <t>2 x Intel(R) Eon(R) Gold 5118 CPU @ 2.30GHz</t>
  </si>
  <si>
    <t>Dr. Hosanna and Cremate Team</t>
  </si>
  <si>
    <t>CPU</t>
  </si>
  <si>
    <t>Memory in GB </t>
  </si>
  <si>
    <t>VM Resource Used </t>
  </si>
  <si>
    <t>Availbe Capacity  </t>
  </si>
  <si>
    <t xml:space="preserve">VM Count </t>
  </si>
  <si>
    <t>Memory in MB</t>
  </si>
  <si>
    <t>VM Used CPU</t>
  </si>
  <si>
    <t>Hardware available</t>
  </si>
  <si>
    <t xml:space="preserve">VM Resource Used </t>
  </si>
  <si>
    <t xml:space="preserve">Availbe Capacity  </t>
  </si>
  <si>
    <t> Idle Resource Capacity</t>
  </si>
  <si>
    <t xml:space="preserve">Total VM Resource Planned </t>
  </si>
  <si>
    <t xml:space="preserve">Resource shortage </t>
  </si>
  <si>
    <t xml:space="preserve">Total CPU Planned </t>
  </si>
  <si>
    <t xml:space="preserve">Total Memory Planned in GB </t>
  </si>
  <si>
    <t>Disk</t>
  </si>
  <si>
    <t>HDD</t>
  </si>
  <si>
    <t>Capacity MB</t>
  </si>
  <si>
    <t>Disk Mode</t>
  </si>
  <si>
    <t>Unit #</t>
  </si>
  <si>
    <t>Folder</t>
  </si>
  <si>
    <t>OS according to the VMware Tools</t>
  </si>
  <si>
    <t>Hard disk 3</t>
  </si>
  <si>
    <t>persistent</t>
  </si>
  <si>
    <t>Hard disk 2</t>
  </si>
  <si>
    <t>OS</t>
  </si>
  <si>
    <t>Hard disk 1</t>
  </si>
  <si>
    <t>Hard disk 4</t>
  </si>
  <si>
    <t>Other 3.x or later Linux (64-bit)</t>
  </si>
  <si>
    <t>Hard disk 5</t>
  </si>
  <si>
    <t>Kali-Linux-2.0.0-vm-amd64</t>
  </si>
  <si>
    <t>esx-sec-prod1.minet.ae</t>
  </si>
  <si>
    <t>Debian GNU/Linux 7 (64-bit)</t>
  </si>
  <si>
    <t>independent_persistent</t>
  </si>
  <si>
    <t>Hard disk 9</t>
  </si>
  <si>
    <t>Hard disk 7</t>
  </si>
  <si>
    <t>Hard disk 10</t>
  </si>
  <si>
    <t>Hard disk 12</t>
  </si>
  <si>
    <t>Hard disk 6</t>
  </si>
  <si>
    <t>Hard disk 14</t>
  </si>
  <si>
    <t>Hard disk 8</t>
  </si>
  <si>
    <t>Hard disk 13</t>
  </si>
  <si>
    <t>Hard disk 11</t>
  </si>
  <si>
    <t>Project</t>
  </si>
  <si>
    <t>131.072 GB</t>
  </si>
  <si>
    <t>Template</t>
  </si>
  <si>
    <t>space</t>
  </si>
  <si>
    <t>Consumed MB</t>
  </si>
  <si>
    <t>Free MB</t>
  </si>
  <si>
    <t xml:space="preserve">Free % </t>
  </si>
  <si>
    <t>Annotation</t>
  </si>
  <si>
    <t>VM ID</t>
  </si>
  <si>
    <t>VM UUID</t>
  </si>
  <si>
    <t>VI SDK UUID</t>
  </si>
  <si>
    <t>/</t>
  </si>
  <si>
    <t>/MI Datacenter/Research</t>
  </si>
  <si>
    <t>vm-34118</t>
  </si>
  <si>
    <t>420cb474-a536-ecda-2539-f3e9653ab71a</t>
  </si>
  <si>
    <t>2FD8190D-A7AF-4C89-9BCD-740AAC2C5525</t>
  </si>
  <si>
    <t>/data</t>
  </si>
  <si>
    <t>/home</t>
  </si>
  <si>
    <t>/var</t>
  </si>
  <si>
    <t>/tmp</t>
  </si>
  <si>
    <t>/var/log</t>
  </si>
  <si>
    <t>vm-27582</t>
  </si>
  <si>
    <t>420cfb6a-f039-5c41-6f72-d0cfe6fb38f5</t>
  </si>
  <si>
    <t>/var/sites</t>
  </si>
  <si>
    <t>/research</t>
  </si>
  <si>
    <t>vm-173614</t>
  </si>
  <si>
    <t>420c3860-37a9-0d75-b94c-7116fbb51f4f</t>
  </si>
  <si>
    <t>/boot</t>
  </si>
  <si>
    <t>vm-113990</t>
  </si>
  <si>
    <t>420c91be-f0ef-3fca-8e45-0f45ae775b1d</t>
  </si>
  <si>
    <t>/var/lib/postgresql</t>
  </si>
  <si>
    <t>vm-159267</t>
  </si>
  <si>
    <t>420c2725-413b-e7a0-8b0c-c532336e0f13</t>
  </si>
  <si>
    <t>vm-113991</t>
  </si>
  <si>
    <t>420c55da-d3b5-4d53-e6a0-36542c06b97f</t>
  </si>
  <si>
    <t>/MI Datacenter/Research DMZ</t>
  </si>
  <si>
    <t>vm-113551</t>
  </si>
  <si>
    <t>420cf6f1-9c4b-fd2c-501e-30b762e72ea1</t>
  </si>
  <si>
    <t>vm-159266</t>
  </si>
  <si>
    <t>420c6b9a-6718-9c0e-5892-fa2ad6a7f8df</t>
  </si>
  <si>
    <t>vm-113989</t>
  </si>
  <si>
    <t>420ce557-8e0c-fc6c-db96-b80e16e1ba92</t>
  </si>
  <si>
    <t>vm-47471</t>
  </si>
  <si>
    <t>564d273c-b990-36af-81f7-41c1e02505ee</t>
  </si>
  <si>
    <t>vm-87462</t>
  </si>
  <si>
    <t>420c91fe-a6cf-6805-065c-91d1dd880f6e</t>
  </si>
  <si>
    <t>vm-27581</t>
  </si>
  <si>
    <t>420c03b1-72fe-7eea-4474-ea9216cbc6a0</t>
  </si>
  <si>
    <t>vm-325255</t>
  </si>
  <si>
    <t>420c3ead-d509-6f43-798f-d4091142330b</t>
  </si>
  <si>
    <t>vm-325256</t>
  </si>
  <si>
    <t>420c5e43-fcf4-2a8f-d463-e24261f65448</t>
  </si>
  <si>
    <t>vm-65759</t>
  </si>
  <si>
    <t>420cd473-b03d-0b6d-47ae-f2e31844c1f2</t>
  </si>
  <si>
    <t>vm-365410</t>
  </si>
  <si>
    <t>420caa6a-8c3b-9775-a77c-b42c4a4539ef</t>
  </si>
  <si>
    <t>D:\</t>
  </si>
  <si>
    <t>Masdar DVB Server - Windows Server 2016 SE</t>
  </si>
  <si>
    <t>vm-337581</t>
  </si>
  <si>
    <t>420cab75-874a-d912-1c79-b679412610c4</t>
  </si>
  <si>
    <t>C:\</t>
  </si>
  <si>
    <t>J:\</t>
  </si>
  <si>
    <t>K:\</t>
  </si>
  <si>
    <t>Masdar PROC Server - Windows Server 2016 SE</t>
  </si>
  <si>
    <t>vm-337587</t>
  </si>
  <si>
    <t>420c46b2-9c1b-1f95-4177-aa26e230ab84</t>
  </si>
  <si>
    <t>vm-373900</t>
  </si>
  <si>
    <t>420ce0b7-4722-c945-eb25-9095a5bdafd4</t>
  </si>
  <si>
    <t>vm-257649</t>
  </si>
  <si>
    <t>420c2533-6878-9336-a2e4-d0f3c5e6da4d</t>
  </si>
  <si>
    <t>vm-63864</t>
  </si>
  <si>
    <t>420c6081-1e08-204a-466f-556a65091c5d</t>
  </si>
  <si>
    <t>/app</t>
  </si>
  <si>
    <t>vm-160014</t>
  </si>
  <si>
    <t>420c0eda-35d6-6506-d1fd-d9cbfe8ffb32</t>
  </si>
  <si>
    <t>vm-160015</t>
  </si>
  <si>
    <t>420cc220-08bc-00e6-9e0e-4263928f6280</t>
  </si>
  <si>
    <t>V:\</t>
  </si>
  <si>
    <t>Dr.Marouane Temimi</t>
  </si>
  <si>
    <t>vm-64720</t>
  </si>
  <si>
    <t>420c806d-67b7-b436-c5b8-58938420e097</t>
  </si>
  <si>
    <t>S:\</t>
  </si>
  <si>
    <t>/MI Datacenter</t>
  </si>
  <si>
    <t>vm-223241</t>
  </si>
  <si>
    <t>vm-237979</t>
  </si>
  <si>
    <t>420c3c70-3cb4-dc56-4a1d-6f0f4cfb3258</t>
  </si>
  <si>
    <t>vm-160013</t>
  </si>
  <si>
    <t>420c6c29-4f3e-80ed-31a8-e1768e110160</t>
  </si>
  <si>
    <t>vm-120829</t>
  </si>
  <si>
    <t>420cd2a5-ecda-9f60-aa9e-254f3d433ced</t>
  </si>
  <si>
    <t>/research/ocean</t>
  </si>
  <si>
    <t>vm-160016</t>
  </si>
  <si>
    <t>420c537c-bb28-3c0f-3ef9-fd79a2543fb3</t>
  </si>
  <si>
    <t>vm-58256</t>
  </si>
  <si>
    <t>420c1360-6711-9488-24ea-eb2e326e64e3</t>
  </si>
  <si>
    <t>H:\</t>
  </si>
  <si>
    <t>T:\</t>
  </si>
  <si>
    <t>I:\</t>
  </si>
  <si>
    <t>E:\</t>
  </si>
  <si>
    <t>L:\</t>
  </si>
  <si>
    <t>F:\</t>
  </si>
  <si>
    <t>G:\</t>
  </si>
  <si>
    <t>W:\</t>
  </si>
  <si>
    <t>P:\</t>
  </si>
  <si>
    <t>R:\</t>
  </si>
  <si>
    <t>vm-143894</t>
  </si>
  <si>
    <t>420c47c8-8dce-4db6-fa4e-99c2e92324d1</t>
  </si>
  <si>
    <t>vm-191408</t>
  </si>
  <si>
    <t>420c14b9-d74f-9ed4-809b-9889b8dbb052</t>
  </si>
  <si>
    <t>vm-159268</t>
  </si>
  <si>
    <t>420cce25-8893-e4c3-65be-06e152dcfdf6</t>
  </si>
  <si>
    <t>/simulator-testing</t>
  </si>
  <si>
    <t>vm-18689</t>
  </si>
  <si>
    <t>420ce7f4-ce66-b1ff-5955-c9b118d68488</t>
  </si>
  <si>
    <t>/simulator-testing-backup</t>
  </si>
  <si>
    <t>vm-91600</t>
  </si>
  <si>
    <t>420c36c9-214b-0eaf-d421-b974bca8fd66</t>
  </si>
  <si>
    <t>/MI Datacenter/IT Core</t>
  </si>
  <si>
    <t>vm-10600</t>
  </si>
  <si>
    <t>420c36a4-87c5-6432-210e-1042d3865a1c</t>
  </si>
  <si>
    <t>/export/100041372</t>
  </si>
  <si>
    <t>vm-191193</t>
  </si>
  <si>
    <t>420ccbb1-4881-f63f-f4ee-e84ebd5dd7cd</t>
  </si>
  <si>
    <t>/bioinfo-omics</t>
  </si>
  <si>
    <t>/export/arizk</t>
  </si>
  <si>
    <t>/export/yawar.abbas</t>
  </si>
  <si>
    <t>/export/100041593</t>
  </si>
  <si>
    <t>/export/mpapadovasilakis</t>
  </si>
  <si>
    <t>/export/mamady.kebe</t>
  </si>
  <si>
    <t>/export/rkarn</t>
  </si>
  <si>
    <t>/export/bzhu</t>
  </si>
  <si>
    <t>/export/ssaylan</t>
  </si>
  <si>
    <t>/export/fravaux</t>
  </si>
  <si>
    <t>/export/hgonzalezdiaz_pdk</t>
  </si>
  <si>
    <t>/export/lradakovic_pdk</t>
  </si>
  <si>
    <t>/export/temesghen.habte</t>
  </si>
  <si>
    <t>/export/tamador.alkhidir</t>
  </si>
  <si>
    <t>Home</t>
  </si>
  <si>
    <t>/userhome-disk2</t>
  </si>
  <si>
    <t>/mihai-team</t>
  </si>
  <si>
    <t>/jyoo-team</t>
  </si>
  <si>
    <t>/home_local</t>
  </si>
  <si>
    <t>/export/ashabra_imicro</t>
  </si>
  <si>
    <t>/export/haalblooshi_imicro</t>
  </si>
  <si>
    <t>/export/syousuf</t>
  </si>
  <si>
    <t>/export/salteneiji_imicro</t>
  </si>
  <si>
    <t>/export/bvoort</t>
  </si>
  <si>
    <t>/export/miali</t>
  </si>
  <si>
    <t>/export/jviegas</t>
  </si>
  <si>
    <t>/export/jahmed</t>
  </si>
  <si>
    <t>/export/abojesomo</t>
  </si>
  <si>
    <t>/export/ielfadel</t>
  </si>
  <si>
    <t>/export/smartinez</t>
  </si>
  <si>
    <t>/export/malali</t>
  </si>
  <si>
    <t>/export/modeh</t>
  </si>
  <si>
    <t>/export/vpillai</t>
  </si>
  <si>
    <t>/export/sdshaikh_imicro</t>
  </si>
  <si>
    <t>/export/abrimmo</t>
  </si>
  <si>
    <t>/export/amustapha_imicro</t>
  </si>
  <si>
    <t>/export/atuomiranta</t>
  </si>
  <si>
    <t>/export/wyang</t>
  </si>
  <si>
    <t>/export/pdaha</t>
  </si>
  <si>
    <t>/export/halsafar</t>
  </si>
  <si>
    <t>/export/ksloyan</t>
  </si>
  <si>
    <t>/export/wamingill</t>
  </si>
  <si>
    <t>/export/pmoreira</t>
  </si>
  <si>
    <t>/export/ssofela</t>
  </si>
  <si>
    <t>/export/sillikkal</t>
  </si>
  <si>
    <t>/export/aalshamsi1_imicro</t>
  </si>
  <si>
    <t>/export/halsuradi_pdk</t>
  </si>
  <si>
    <t>/export/itaha</t>
  </si>
  <si>
    <t>/export/moudah</t>
  </si>
  <si>
    <t>/export/mbinkamarulazman</t>
  </si>
  <si>
    <t>/export/jlee</t>
  </si>
  <si>
    <t>/export/rabualrub</t>
  </si>
  <si>
    <t>/export/ykifle_pdk</t>
  </si>
  <si>
    <t>/export/dcracan_imicro</t>
  </si>
  <si>
    <t>/export/nalsheehi_imicro</t>
  </si>
  <si>
    <t>/export/raalsuwaidi</t>
  </si>
  <si>
    <t>/export/wsyed</t>
  </si>
  <si>
    <t>/export/aaldarmaki</t>
  </si>
  <si>
    <t>/export/rgadhafi_imicro</t>
  </si>
  <si>
    <t>/export/klin_imicro</t>
  </si>
  <si>
    <t>/export/schandran</t>
  </si>
  <si>
    <t>/export/wsaadeh_pdk</t>
  </si>
  <si>
    <t>/export/mdahlem</t>
  </si>
  <si>
    <t>/export/msanduleanu_imicro</t>
  </si>
  <si>
    <t>/export/bradi_imicro</t>
  </si>
  <si>
    <t>/export/hally_imicro</t>
  </si>
  <si>
    <t>/export/nsaeed</t>
  </si>
  <si>
    <t>/export/ayousef</t>
  </si>
  <si>
    <t>/export/aperuri</t>
  </si>
  <si>
    <t>/export/ssharief</t>
  </si>
  <si>
    <t>/export/mgebremicheal_imicro</t>
  </si>
  <si>
    <t>/export/aalteneiji_imicro</t>
  </si>
  <si>
    <t>/export/salkaabi1</t>
  </si>
  <si>
    <t>/export/jsessa</t>
  </si>
  <si>
    <t>/export/mrasras</t>
  </si>
  <si>
    <t>/export/ahenschel</t>
  </si>
  <si>
    <t>/export/bparedes</t>
  </si>
  <si>
    <t>/export/skhazaaleh</t>
  </si>
  <si>
    <t>/export/rjaneiro</t>
  </si>
  <si>
    <t>/export/sserunjogi_imicro</t>
  </si>
  <si>
    <t>/export/jyoo_pdk</t>
  </si>
  <si>
    <t>/export/jtillak_pdk</t>
  </si>
  <si>
    <t>/export/balshehhi_imicro</t>
  </si>
  <si>
    <t>/export/tmeharizghi</t>
  </si>
  <si>
    <t>/export/ialmansouri</t>
  </si>
  <si>
    <t>/export/smuzaffar</t>
  </si>
  <si>
    <t>/export/jknechtel</t>
  </si>
  <si>
    <t>/export/rflores</t>
  </si>
  <si>
    <t>/export/amtaha</t>
  </si>
  <si>
    <t>/export/gdushaq</t>
  </si>
  <si>
    <t>/export/manwar</t>
  </si>
  <si>
    <t>/export/umahrukh</t>
  </si>
  <si>
    <t>/export/mtmadzik</t>
  </si>
  <si>
    <t>/export/zmohammed1</t>
  </si>
  <si>
    <t>/export/yxu_imicro</t>
  </si>
  <si>
    <t>/export/pbudhathoki</t>
  </si>
  <si>
    <t>/export/eelamurugu</t>
  </si>
  <si>
    <t>/export/ban</t>
  </si>
  <si>
    <t>/export/owaheed</t>
  </si>
  <si>
    <t>/export/talafghani_imicro</t>
  </si>
  <si>
    <t>vm-63866</t>
  </si>
  <si>
    <t>420c5601-87f1-72af-03ff-c17af5ceef4b</t>
  </si>
  <si>
    <t>vm-128693</t>
  </si>
  <si>
    <t>420c095c-093c-5999-3844-e460d061b5a1</t>
  </si>
  <si>
    <t>vm-167759</t>
  </si>
  <si>
    <t>420cd601-365d-87fc-9231-f054227667c2</t>
  </si>
  <si>
    <t>vm-167770</t>
  </si>
  <si>
    <t>420cf6a9-970a-94bf-59fe-0c651992aab0</t>
  </si>
  <si>
    <t>vm-126297</t>
  </si>
  <si>
    <t>420cfb50-68f1-037b-7de9-fe7fed2cf3f5</t>
  </si>
  <si>
    <t>vm-134313</t>
  </si>
  <si>
    <t>420c2bd8-a7e2-b686-da5a-4dfe7dd8c856</t>
  </si>
  <si>
    <t>vm-126298</t>
  </si>
  <si>
    <t>420cc47d-2d6f-ba23-ca69-f560e840cb00</t>
  </si>
  <si>
    <t>vm-340761</t>
  </si>
  <si>
    <t>420c9ed7-9ff9-4fc0-45a6-91e532cddce8</t>
  </si>
  <si>
    <t>vm-3563</t>
  </si>
  <si>
    <t>420c4ca2-b0e2-4cee-6064-55c4b6bf259b</t>
  </si>
  <si>
    <t>vm-3941</t>
  </si>
  <si>
    <t>420cffae-7d77-e582-476a-b10f27982068</t>
  </si>
  <si>
    <t>vm-14782</t>
  </si>
  <si>
    <t>420ce099-633c-5372-a2ff-e309547df979</t>
  </si>
  <si>
    <t>vm-14784</t>
  </si>
  <si>
    <t>420ce9f2-62a2-59a4-d454-46908bab01d0</t>
  </si>
  <si>
    <t>vm-19840</t>
  </si>
  <si>
    <t>420c478f-d0ad-2d27-468a-26a91d04194e</t>
  </si>
  <si>
    <t>vm-20757</t>
  </si>
  <si>
    <t>420cb660-6d55-8e9a-0876-14071c8c8cb5</t>
  </si>
  <si>
    <t>vm-22082</t>
  </si>
  <si>
    <t>420cf93d-3c6d-c498-fc0b-3d967383ebbc</t>
  </si>
  <si>
    <t>/jerald-data</t>
  </si>
  <si>
    <t>/opt/pdk-data</t>
  </si>
  <si>
    <t>research25</t>
  </si>
  <si>
    <t>mill</t>
  </si>
  <si>
    <t>research22</t>
  </si>
  <si>
    <t>hpcmaster1</t>
  </si>
  <si>
    <t>MI-HPC</t>
  </si>
  <si>
    <t>/disk1</t>
  </si>
  <si>
    <t>/disk2</t>
  </si>
  <si>
    <t>/research/cesam_shared</t>
  </si>
  <si>
    <t>/disk4</t>
  </si>
  <si>
    <t>/scratch</t>
  </si>
  <si>
    <t>/research/fog_forecast</t>
  </si>
  <si>
    <t>/research/meteo_forecast</t>
  </si>
  <si>
    <t>/install</t>
  </si>
  <si>
    <t>/disk3</t>
  </si>
  <si>
    <t>/research/dust_forecast</t>
  </si>
  <si>
    <t>/disk5</t>
  </si>
  <si>
    <t>/research/kuphotonics</t>
  </si>
  <si>
    <t>/research/mismart-adco</t>
  </si>
  <si>
    <t>/research/marine</t>
  </si>
  <si>
    <t>hpcmaster1-Backup</t>
  </si>
  <si>
    <t>/xcatdbbackup</t>
  </si>
  <si>
    <t>/cristiebackup</t>
  </si>
  <si>
    <t>/apps</t>
  </si>
  <si>
    <t>/research/materials_chemistry</t>
  </si>
  <si>
    <t>/research/lens</t>
  </si>
  <si>
    <t>/research/btc_bioinformatic/rawdata</t>
  </si>
  <si>
    <t>/research/btc_bioinformatic/operations</t>
  </si>
  <si>
    <t>/research/btc_bioinformatic/results</t>
  </si>
  <si>
    <t>/research/fads</t>
  </si>
  <si>
    <t>/research/gutsybugs</t>
  </si>
  <si>
    <t>/research/cesam</t>
  </si>
  <si>
    <t>/research/catalysis-centre</t>
  </si>
  <si>
    <t>/research/cesam1</t>
  </si>
  <si>
    <t>/research/cesam2</t>
  </si>
  <si>
    <t>/research/cesam3</t>
  </si>
  <si>
    <t>/research/cesam4</t>
  </si>
  <si>
    <t>SAN HPC</t>
  </si>
  <si>
    <t>/cm/shared</t>
  </si>
  <si>
    <t>SAN-HPC</t>
  </si>
  <si>
    <t>SANHPC</t>
  </si>
  <si>
    <t>NAS</t>
  </si>
  <si>
    <t>hpc_work</t>
  </si>
  <si>
    <t>hpc_home_disk1</t>
  </si>
  <si>
    <t>hpc_scratch</t>
  </si>
  <si>
    <t>hpc_home_disk6</t>
  </si>
  <si>
    <t>hpc_home_disk2</t>
  </si>
  <si>
    <t>hpc_home</t>
  </si>
  <si>
    <t>hpc_home_disk3</t>
  </si>
  <si>
    <t>hpc_home_disk4</t>
  </si>
  <si>
    <t>hpc_home_disk5</t>
  </si>
  <si>
    <t>cesam_nasdrive</t>
  </si>
  <si>
    <t>Research_apps_NFS</t>
  </si>
  <si>
    <t xml:space="preserve">NAS - Backup </t>
  </si>
  <si>
    <t>CristieBackup_hpcmaster</t>
  </si>
  <si>
    <t>cslab_apps</t>
  </si>
  <si>
    <t xml:space="preserve">NAS-Backup </t>
  </si>
  <si>
    <t>hpcmaster-xcatdb</t>
  </si>
  <si>
    <t xml:space="preserve">OS storage used by VM </t>
  </si>
  <si>
    <t>Project area used by VM</t>
  </si>
  <si>
    <t>User Home area VM</t>
  </si>
  <si>
    <t>User Home area MI HPC</t>
  </si>
  <si>
    <t xml:space="preserve"> MI HPC Project </t>
  </si>
  <si>
    <t xml:space="preserve"> MI HPC apps - IBM </t>
  </si>
  <si>
    <t>MI HPC -  project - bioinformatic/rawdata</t>
  </si>
  <si>
    <t>MI HPC -  project - bioinformatic/operations</t>
  </si>
  <si>
    <t>MI HPC -  project  - bioinformatic/results</t>
  </si>
  <si>
    <t>MI HPC - Backup - OS</t>
  </si>
  <si>
    <t>MI HPC - Backup -XCAT</t>
  </si>
  <si>
    <t>SAN HPC Home</t>
  </si>
  <si>
    <t>SAN HPC Apps</t>
  </si>
  <si>
    <t>NAS -Apps</t>
  </si>
  <si>
    <t>NAS - Project</t>
  </si>
  <si>
    <t>Capacity TB</t>
  </si>
  <si>
    <t xml:space="preserve">Consumed TB </t>
  </si>
  <si>
    <t>Free TB</t>
  </si>
  <si>
    <t xml:space="preserve">Backup </t>
  </si>
  <si>
    <t>Backup</t>
  </si>
  <si>
    <t xml:space="preserve">Current backup status </t>
  </si>
  <si>
    <t>Expected growth in  %</t>
  </si>
  <si>
    <t>Expected growth in TB</t>
  </si>
  <si>
    <t>Total Disk TB</t>
  </si>
  <si>
    <t>Backup in TB</t>
  </si>
  <si>
    <t xml:space="preserve">VM OS </t>
  </si>
  <si>
    <t>Yes</t>
  </si>
  <si>
    <t>Yes (Backup is taken by Veem )</t>
  </si>
  <si>
    <t>VM - Project</t>
  </si>
  <si>
    <t>No</t>
  </si>
  <si>
    <t>VM - Home</t>
  </si>
  <si>
    <t>MI HPC - HOME</t>
  </si>
  <si>
    <t>Yes (Backup is taken by bacula)</t>
  </si>
  <si>
    <t>Yes (To NAS Cristie Backup)</t>
  </si>
  <si>
    <t>MI HPC - Backup -XCATDB</t>
  </si>
  <si>
    <t>Yes (To NAS Script Backup)</t>
  </si>
  <si>
    <t>Yes (To ADRIC SAN Storage )</t>
  </si>
  <si>
    <t xml:space="preserve">ADRIC SAN Storage </t>
  </si>
  <si>
    <t>Total Backup Disk TB</t>
  </si>
  <si>
    <t>Diffrence in GB</t>
  </si>
  <si>
    <t>OS C</t>
  </si>
  <si>
    <t>G</t>
  </si>
  <si>
    <t>L</t>
  </si>
  <si>
    <t>T</t>
  </si>
  <si>
    <t>F</t>
  </si>
  <si>
    <t>P</t>
  </si>
  <si>
    <t>I</t>
  </si>
  <si>
    <t>W</t>
  </si>
  <si>
    <t>J</t>
  </si>
  <si>
    <t>H</t>
  </si>
  <si>
    <t xml:space="preserve">THis </t>
  </si>
  <si>
    <t>/seadas</t>
  </si>
  <si>
    <t xml:space="preserve">Addtional Storage </t>
  </si>
  <si>
    <t xml:space="preserve">Storage can be free up </t>
  </si>
  <si>
    <t>volumeName</t>
  </si>
  <si>
    <t>totalDataCapacity (GB)</t>
  </si>
  <si>
    <t>usedDataCapacity (GB)</t>
  </si>
  <si>
    <t>usedDataPercent</t>
  </si>
  <si>
    <t>vserverName</t>
  </si>
  <si>
    <t>hpc_cesam3</t>
  </si>
  <si>
    <t>svmdata</t>
  </si>
  <si>
    <t>hpc_cesam1</t>
  </si>
  <si>
    <t>hpc_cesam</t>
  </si>
  <si>
    <t>hpc_cesam4</t>
  </si>
  <si>
    <t>hpc_cesam2</t>
  </si>
  <si>
    <t>hpc_gutsybugs</t>
  </si>
  <si>
    <t>hpc_genomic_operations_storage1</t>
  </si>
  <si>
    <t>hpc_genomic_raw_storage1</t>
  </si>
  <si>
    <t>hpc_genomic_results_storage1</t>
  </si>
  <si>
    <t>hpc_drjaime_storage1</t>
  </si>
  <si>
    <t>hpc_apps</t>
  </si>
  <si>
    <t>hpc_chun_lu_storage1</t>
  </si>
  <si>
    <t>hpc_Dr_sharmarke_storage1</t>
  </si>
  <si>
    <t>hpc_mismart_adco</t>
  </si>
  <si>
    <t>hpc_drsamuelfeng_fads</t>
  </si>
  <si>
    <t>hpc_drKyriaki_storage1</t>
  </si>
  <si>
    <t>hpc_marine</t>
  </si>
  <si>
    <t>Total Allocated</t>
  </si>
  <si>
    <t>Host name</t>
  </si>
  <si>
    <t>IP</t>
  </si>
  <si>
    <t>Hardware</t>
  </si>
  <si>
    <t>Service</t>
  </si>
  <si>
    <t>Storage</t>
  </si>
  <si>
    <t xml:space="preserve">Disk Name </t>
  </si>
  <si>
    <t xml:space="preserve">Storage allocation </t>
  </si>
  <si>
    <t>size in GB</t>
  </si>
  <si>
    <t>zone</t>
  </si>
  <si>
    <t xml:space="preserve">Owner </t>
  </si>
  <si>
    <t>Purpose</t>
  </si>
  <si>
    <t xml:space="preserve">HPC </t>
  </si>
  <si>
    <t>10.106.21.10</t>
  </si>
  <si>
    <t xml:space="preserve">Physical Server </t>
  </si>
  <si>
    <t>RHEL 7</t>
  </si>
  <si>
    <t>HPC Master</t>
  </si>
  <si>
    <t xml:space="preserve">/apps </t>
  </si>
  <si>
    <t>2 TB</t>
  </si>
  <si>
    <t>Research/HPC</t>
  </si>
  <si>
    <t xml:space="preserve">Application </t>
  </si>
  <si>
    <t>SAN</t>
  </si>
  <si>
    <t>5 TB</t>
  </si>
  <si>
    <t>User Home</t>
  </si>
  <si>
    <t>10 TB</t>
  </si>
  <si>
    <t>20 TB</t>
  </si>
  <si>
    <t xml:space="preserve">User/ project </t>
  </si>
  <si>
    <t>18 TB</t>
  </si>
  <si>
    <t>Recream Team/Imen Gherboudj</t>
  </si>
  <si>
    <t>12 TB</t>
  </si>
  <si>
    <t>FOG Team/Marouane Temimi</t>
  </si>
  <si>
    <t>15 TB</t>
  </si>
  <si>
    <t>/research/gutsybug</t>
  </si>
  <si>
    <t>25 TB</t>
  </si>
  <si>
    <t>11 TB</t>
  </si>
  <si>
    <t>35 TB</t>
  </si>
  <si>
    <t>Rashid Abu Al-Rub</t>
  </si>
  <si>
    <t xml:space="preserve">Samuel Feng </t>
  </si>
  <si>
    <t>1 TB</t>
  </si>
  <si>
    <t>Sharmarke Mohamed</t>
  </si>
  <si>
    <t xml:space="preserve">Matteo Chiesa </t>
  </si>
  <si>
    <t>3 TB</t>
  </si>
  <si>
    <t xml:space="preserve">Jaime Viegas </t>
  </si>
  <si>
    <t xml:space="preserve">NSA – Backup </t>
  </si>
  <si>
    <t xml:space="preserve">/xcatdbbackup </t>
  </si>
  <si>
    <t>7 TB</t>
  </si>
  <si>
    <t>ku4rhcslp1</t>
  </si>
  <si>
    <t>10.106.21.180</t>
  </si>
  <si>
    <t>RHEL 7.2</t>
  </si>
  <si>
    <t>HPC Master1</t>
  </si>
  <si>
    <t xml:space="preserve">/scratch </t>
  </si>
  <si>
    <t xml:space="preserve">20 TB </t>
  </si>
  <si>
    <t>HPC</t>
  </si>
  <si>
    <t xml:space="preserve">/home </t>
  </si>
  <si>
    <t xml:space="preserve">/shared </t>
  </si>
  <si>
    <t>200 GB</t>
  </si>
  <si>
    <t>ku4rhcslp2</t>
  </si>
  <si>
    <t>10.106.21.181</t>
  </si>
  <si>
    <t>HPC Master2</t>
  </si>
  <si>
    <t>ku4rhcslp3</t>
  </si>
  <si>
    <t>10.106.21.182</t>
  </si>
  <si>
    <t>SUB</t>
  </si>
  <si>
    <t>ku4rhcslp4</t>
  </si>
  <si>
    <t>10.106.21.183</t>
  </si>
  <si>
    <t>ku4rhcslp5</t>
  </si>
  <si>
    <t>10.106.21.184</t>
  </si>
  <si>
    <t>ku4rhcslp6</t>
  </si>
  <si>
    <t>10.106.21.185</t>
  </si>
  <si>
    <t>hpc017</t>
  </si>
  <si>
    <t>10.0.2.17</t>
  </si>
  <si>
    <t xml:space="preserve">RHEL 6.5 </t>
  </si>
  <si>
    <t>Compute</t>
  </si>
  <si>
    <t>hpc018</t>
  </si>
  <si>
    <t>10.0.2.18</t>
  </si>
  <si>
    <t>hpc019</t>
  </si>
  <si>
    <t>10.0.2.19</t>
  </si>
  <si>
    <t>hpc020</t>
  </si>
  <si>
    <t>10.0.2.20</t>
  </si>
  <si>
    <t>hpc021</t>
  </si>
  <si>
    <t>10.0.2.21</t>
  </si>
  <si>
    <t>hpc022</t>
  </si>
  <si>
    <t>10.0.2.22</t>
  </si>
  <si>
    <t>hpc023</t>
  </si>
  <si>
    <t>10.0.2.23</t>
  </si>
  <si>
    <t>hpc024</t>
  </si>
  <si>
    <t>10.0.2.24</t>
  </si>
  <si>
    <t>hpc025</t>
  </si>
  <si>
    <t>10.0.2.25</t>
  </si>
  <si>
    <t>hpc026</t>
  </si>
  <si>
    <t>10.0.2.26</t>
  </si>
  <si>
    <t>hpc027</t>
  </si>
  <si>
    <t>10.0.2.27</t>
  </si>
  <si>
    <t>hpc028</t>
  </si>
  <si>
    <t>10.0.2.28</t>
  </si>
  <si>
    <t>hpc029</t>
  </si>
  <si>
    <t>10.0.2.29</t>
  </si>
  <si>
    <t>hpc030</t>
  </si>
  <si>
    <t>10.0.2.30</t>
  </si>
  <si>
    <t>hpc031</t>
  </si>
  <si>
    <t>10.0.2.31</t>
  </si>
  <si>
    <t>hpc032</t>
  </si>
  <si>
    <t>10.0.2.32</t>
  </si>
  <si>
    <t>hpc033</t>
  </si>
  <si>
    <t>10.0.2.33</t>
  </si>
  <si>
    <t>hpc034</t>
  </si>
  <si>
    <t>10.0.2.34</t>
  </si>
  <si>
    <t>hpc035</t>
  </si>
  <si>
    <t>10.0.2.35</t>
  </si>
  <si>
    <t>hpc036</t>
  </si>
  <si>
    <t>10.0.2.36</t>
  </si>
  <si>
    <t>hpc037</t>
  </si>
  <si>
    <t>10.0.2.37</t>
  </si>
  <si>
    <t>hpc038</t>
  </si>
  <si>
    <t>10.0.2.38</t>
  </si>
  <si>
    <t>hpc039</t>
  </si>
  <si>
    <t>10.0.2.39</t>
  </si>
  <si>
    <t>hpc040</t>
  </si>
  <si>
    <t>10.0.2.40</t>
  </si>
  <si>
    <t>hpc041</t>
  </si>
  <si>
    <t>10.0.2.41</t>
  </si>
  <si>
    <t>hpc042</t>
  </si>
  <si>
    <t>10.0.2.42</t>
  </si>
  <si>
    <t>hpc043</t>
  </si>
  <si>
    <t>10.0.2.43</t>
  </si>
  <si>
    <t>hpc044</t>
  </si>
  <si>
    <t>10.0.2.44</t>
  </si>
  <si>
    <t>hpc045</t>
  </si>
  <si>
    <t>10.0.2.45</t>
  </si>
  <si>
    <t>hpc046</t>
  </si>
  <si>
    <t>10.0.2.46</t>
  </si>
  <si>
    <t>hpc047</t>
  </si>
  <si>
    <t>10.0.2.47</t>
  </si>
  <si>
    <t>hpc048</t>
  </si>
  <si>
    <t>10.0.2.48</t>
  </si>
  <si>
    <t>hpc049</t>
  </si>
  <si>
    <t>10.0.2.49</t>
  </si>
  <si>
    <t>hpc050</t>
  </si>
  <si>
    <t>10.0.2.50</t>
  </si>
  <si>
    <t>hpc051</t>
  </si>
  <si>
    <t>10.0.2.51</t>
  </si>
  <si>
    <t>hpc052</t>
  </si>
  <si>
    <t>10.0.2.52</t>
  </si>
  <si>
    <t>hpc053</t>
  </si>
  <si>
    <t>10.0.2.53</t>
  </si>
  <si>
    <t>hpc054</t>
  </si>
  <si>
    <t>10.0.2.54</t>
  </si>
  <si>
    <t>hpc055</t>
  </si>
  <si>
    <t>10.0.2.55</t>
  </si>
  <si>
    <t>hpc056</t>
  </si>
  <si>
    <t>10.0.2.56</t>
  </si>
  <si>
    <t>hpc057</t>
  </si>
  <si>
    <t>10.0.2.57</t>
  </si>
  <si>
    <t>hpc058</t>
  </si>
  <si>
    <t>10.0.2.58</t>
  </si>
  <si>
    <t>hpc059</t>
  </si>
  <si>
    <t>10.0.2.59</t>
  </si>
  <si>
    <t>hpc060</t>
  </si>
  <si>
    <t>10.0.2.60</t>
  </si>
  <si>
    <t>hpc061</t>
  </si>
  <si>
    <t>10.0.2.61</t>
  </si>
  <si>
    <t>hpc062</t>
  </si>
  <si>
    <t>10.0.2.62</t>
  </si>
  <si>
    <t>hpc063</t>
  </si>
  <si>
    <t>10.0.2.63</t>
  </si>
  <si>
    <t>hpc064</t>
  </si>
  <si>
    <t>10.0.2.64</t>
  </si>
  <si>
    <t>hpc065</t>
  </si>
  <si>
    <t>10.0.2.65</t>
  </si>
  <si>
    <t>hpc066</t>
  </si>
  <si>
    <t>10.0.2.66</t>
  </si>
  <si>
    <t>hpc067</t>
  </si>
  <si>
    <t>10.0.2.67</t>
  </si>
  <si>
    <t>hpc068</t>
  </si>
  <si>
    <t>10.0.2.68</t>
  </si>
  <si>
    <t>hpc069</t>
  </si>
  <si>
    <t>10.0.2.69</t>
  </si>
  <si>
    <t>hpc070</t>
  </si>
  <si>
    <t>10.0.2.70</t>
  </si>
  <si>
    <t>hpc071</t>
  </si>
  <si>
    <t>10.0.2.71</t>
  </si>
  <si>
    <t>hpc072</t>
  </si>
  <si>
    <t>10.0.2.72</t>
  </si>
  <si>
    <t>hpc073</t>
  </si>
  <si>
    <t>10.0.2.73</t>
  </si>
  <si>
    <t>hpc074</t>
  </si>
  <si>
    <t>10.0.2.74</t>
  </si>
  <si>
    <t>hpc075</t>
  </si>
  <si>
    <t>10.0.2.75</t>
  </si>
  <si>
    <t>hpc076</t>
  </si>
  <si>
    <t>10.0.2.76</t>
  </si>
  <si>
    <t>hpc077</t>
  </si>
  <si>
    <t>10.0.2.77</t>
  </si>
  <si>
    <t>hpc078</t>
  </si>
  <si>
    <t>10.0.2.78</t>
  </si>
  <si>
    <t>hpc079</t>
  </si>
  <si>
    <t>10.0.2.79</t>
  </si>
  <si>
    <t>hpc080</t>
  </si>
  <si>
    <t>10.0.2.80</t>
  </si>
  <si>
    <t>hpc081</t>
  </si>
  <si>
    <t>10.0.2.81</t>
  </si>
  <si>
    <t>hpc082</t>
  </si>
  <si>
    <t>10.0.2.82</t>
  </si>
  <si>
    <t>hpc083</t>
  </si>
  <si>
    <t>10.0.2.83</t>
  </si>
  <si>
    <t>hpc084</t>
  </si>
  <si>
    <t>10.0.2.84</t>
  </si>
  <si>
    <t>hpc085</t>
  </si>
  <si>
    <t>10.0.2.85</t>
  </si>
  <si>
    <t>hpc086</t>
  </si>
  <si>
    <t>10.0.2.86</t>
  </si>
  <si>
    <t>hpc087</t>
  </si>
  <si>
    <t>10.0.2.87</t>
  </si>
  <si>
    <t>hpc088</t>
  </si>
  <si>
    <t>10.0.2.88</t>
  </si>
  <si>
    <t>hpc089</t>
  </si>
  <si>
    <t>10.0.2.89</t>
  </si>
  <si>
    <t>hpc090</t>
  </si>
  <si>
    <t>10.0.2.90</t>
  </si>
  <si>
    <t>hpc091</t>
  </si>
  <si>
    <t>10.0.2.91</t>
  </si>
  <si>
    <t>hpc092</t>
  </si>
  <si>
    <t>10.0.2.92</t>
  </si>
  <si>
    <t>hpc093</t>
  </si>
  <si>
    <t>10.0.2.93</t>
  </si>
  <si>
    <t>hpc094</t>
  </si>
  <si>
    <t>10.0.2.94</t>
  </si>
  <si>
    <t>hpc095</t>
  </si>
  <si>
    <t>10.0.2.95</t>
  </si>
  <si>
    <t>hpc096</t>
  </si>
  <si>
    <t>10.0.2.96</t>
  </si>
  <si>
    <t>GPU01</t>
  </si>
  <si>
    <t>10.0.2.97</t>
  </si>
  <si>
    <t>GPU02</t>
  </si>
  <si>
    <t>10.0.2.98</t>
  </si>
  <si>
    <t>GPU03</t>
  </si>
  <si>
    <t>10.0.2.99</t>
  </si>
  <si>
    <t>GPU04</t>
  </si>
  <si>
    <t>10.0.2.100</t>
  </si>
  <si>
    <t>SUB1</t>
  </si>
  <si>
    <t>10.106.21.12</t>
  </si>
  <si>
    <t>SUB2</t>
  </si>
  <si>
    <t>10.106.21.13</t>
  </si>
  <si>
    <t>SUB3</t>
  </si>
  <si>
    <t>10.106.21.14</t>
  </si>
  <si>
    <t>SUB4</t>
  </si>
  <si>
    <t>10.106.21.15</t>
  </si>
  <si>
    <t>TOTAL</t>
  </si>
  <si>
    <t>95 servers</t>
  </si>
  <si>
    <t>304.2TB</t>
  </si>
  <si>
    <t xml:space="preserve">DISK in TB </t>
  </si>
  <si>
    <t xml:space="preserve">HPC Storage </t>
  </si>
  <si>
    <t xml:space="preserve">2016 MAY </t>
  </si>
  <si>
    <t>72 TB</t>
  </si>
  <si>
    <t xml:space="preserve">2017 -JUNE  </t>
  </si>
  <si>
    <t>102 TB</t>
  </si>
  <si>
    <t xml:space="preserve">2018 -JUNE  </t>
  </si>
  <si>
    <t>183 TB</t>
  </si>
  <si>
    <t xml:space="preserve">2019 JUNE </t>
  </si>
  <si>
    <t>267 TB</t>
  </si>
  <si>
    <t>2016-MAY</t>
  </si>
  <si>
    <t>Filesystem</t>
  </si>
  <si>
    <t>Size</t>
  </si>
  <si>
    <t>Size in TB</t>
  </si>
  <si>
    <t>Used</t>
  </si>
  <si>
    <t>Avail</t>
  </si>
  <si>
    <t>Use%</t>
  </si>
  <si>
    <t>Mounted on</t>
  </si>
  <si>
    <t>/dev/mapper/mpathb1</t>
  </si>
  <si>
    <t>2.0T</t>
  </si>
  <si>
    <t>857G</t>
  </si>
  <si>
    <t>1.1T</t>
  </si>
  <si>
    <t>/dev/mapper/mpathc1</t>
  </si>
  <si>
    <t>5.0T</t>
  </si>
  <si>
    <t>1.2T</t>
  </si>
  <si>
    <t>3.6T</t>
  </si>
  <si>
    <t>/dev/mapper/mpathd1</t>
  </si>
  <si>
    <t>749G</t>
  </si>
  <si>
    <t>4.0T</t>
  </si>
  <si>
    <t>/dev/mapper/data1-lvol0</t>
  </si>
  <si>
    <t>10T</t>
  </si>
  <si>
    <t>51G</t>
  </si>
  <si>
    <t>9.4T</t>
  </si>
  <si>
    <t>/home-test</t>
  </si>
  <si>
    <t>/dev/mapper/data2-res2</t>
  </si>
  <si>
    <t>13T</t>
  </si>
  <si>
    <t>12T</t>
  </si>
  <si>
    <t>304G</t>
  </si>
  <si>
    <t>/dev/mapper/mpathf1</t>
  </si>
  <si>
    <t>3.5T</t>
  </si>
  <si>
    <t>/dev/mapper/data2-res3</t>
  </si>
  <si>
    <t>7.0T</t>
  </si>
  <si>
    <t>6.4T</t>
  </si>
  <si>
    <t>295G</t>
  </si>
  <si>
    <t>/dev/mapper/mpathe1</t>
  </si>
  <si>
    <t>100G</t>
  </si>
  <si>
    <t>4.6T</t>
  </si>
  <si>
    <t>/dev/mapper/data3-res4</t>
  </si>
  <si>
    <t>20T</t>
  </si>
  <si>
    <t>7.5T</t>
  </si>
  <si>
    <t>495G</t>
  </si>
  <si>
    <t>1.4T</t>
  </si>
  <si>
    <t>146G</t>
  </si>
  <si>
    <t>1.5T</t>
  </si>
  <si>
    <t>3.2T</t>
  </si>
  <si>
    <t>4.7T</t>
  </si>
  <si>
    <t>27G</t>
  </si>
  <si>
    <t>5.2T</t>
  </si>
  <si>
    <t>3.8T</t>
  </si>
  <si>
    <t>926G</t>
  </si>
  <si>
    <t>/dev/mapper/data4-res5</t>
  </si>
  <si>
    <t>1.3T</t>
  </si>
  <si>
    <t>18T</t>
  </si>
  <si>
    <t>2.3T</t>
  </si>
  <si>
    <t>17T</t>
  </si>
  <si>
    <t>643G</t>
  </si>
  <si>
    <t>519M</t>
  </si>
  <si>
    <t>9.5T</t>
  </si>
  <si>
    <t>/dev/mapper/data5-scratch</t>
  </si>
  <si>
    <t>581M</t>
  </si>
  <si>
    <t>10.106.62.11:/DB_Backups/hpcmaster-xcatdb</t>
  </si>
  <si>
    <t>3.1T</t>
  </si>
  <si>
    <t>10.106.62.10:/CristieBackup_hpcmaster</t>
  </si>
  <si>
    <t>1.0T</t>
  </si>
  <si>
    <t>638G</t>
  </si>
  <si>
    <t>387G</t>
  </si>
  <si>
    <t>/dev/sdgi1</t>
  </si>
  <si>
    <t>1.7T</t>
  </si>
  <si>
    <t>/dev/sdgg1</t>
  </si>
  <si>
    <t>1.6T</t>
  </si>
  <si>
    <t>/dev/sdgh1</t>
  </si>
  <si>
    <t>766G</t>
  </si>
  <si>
    <t>/dev/sdgf1</t>
  </si>
  <si>
    <t>3.9T</t>
  </si>
  <si>
    <t>871G</t>
  </si>
  <si>
    <t>11G</t>
  </si>
  <si>
    <t>785G</t>
  </si>
  <si>
    <t>/dev/mapper/data6-res6</t>
  </si>
  <si>
    <t>15T</t>
  </si>
  <si>
    <t>245G</t>
  </si>
  <si>
    <t>/dev/mapper/data7-res7</t>
  </si>
  <si>
    <t>1008G</t>
  </si>
  <si>
    <t>410G</t>
  </si>
  <si>
    <t>599G</t>
  </si>
  <si>
    <t>7.7T</t>
  </si>
  <si>
    <t>3.7T</t>
  </si>
  <si>
    <t>2.9T</t>
  </si>
  <si>
    <t>/dev/mapper/data9-cesam1</t>
  </si>
  <si>
    <t>561G</t>
  </si>
  <si>
    <t>/dev/mapper/data10-cesam2</t>
  </si>
  <si>
    <t>4.8T</t>
  </si>
  <si>
    <t>5.3T</t>
  </si>
  <si>
    <t>/dev/mapper/data12-cesam4</t>
  </si>
  <si>
    <t>734G</t>
  </si>
  <si>
    <t>9.3T</t>
  </si>
  <si>
    <t>664G</t>
  </si>
  <si>
    <t>8.8T</t>
  </si>
  <si>
    <t>/dev/mapper/data11-cesam3</t>
  </si>
  <si>
    <t>3.9G</t>
  </si>
  <si>
    <t>3.3T</t>
  </si>
  <si>
    <t>/dev/mapper/data8-cesam</t>
  </si>
  <si>
    <t>20K</t>
  </si>
  <si>
    <t>3.4T</t>
  </si>
  <si>
    <t>527G</t>
  </si>
  <si>
    <t>4.5T</t>
  </si>
  <si>
    <t>5.6T</t>
  </si>
  <si>
    <t>2019-JUNE</t>
  </si>
  <si>
    <t>/dev/mapper/mpathak1</t>
  </si>
  <si>
    <t>/dev/mapper/mpathal1</t>
  </si>
  <si>
    <t>819G</t>
  </si>
  <si>
    <t>/dev/mapper/mpathan1</t>
  </si>
  <si>
    <t>9.6T</t>
  </si>
  <si>
    <t>11T</t>
  </si>
  <si>
    <t>9.8T</t>
  </si>
  <si>
    <t>132G</t>
  </si>
  <si>
    <t>/dev/mapper/data14-fogforecast</t>
  </si>
  <si>
    <t>2.5T</t>
  </si>
  <si>
    <t>156G</t>
  </si>
  <si>
    <t>9.2T</t>
  </si>
  <si>
    <t>750G</t>
  </si>
  <si>
    <t>824G</t>
  </si>
  <si>
    <t>/dev/mapper/mpatham1</t>
  </si>
  <si>
    <t>675G</t>
  </si>
  <si>
    <t>4.1T</t>
  </si>
  <si>
    <t>220G</t>
  </si>
  <si>
    <t>16T</t>
  </si>
  <si>
    <t>/dev/mapper/data13-res8</t>
  </si>
  <si>
    <t>10.0.2.252:/hpc_drjaime_storage1</t>
  </si>
  <si>
    <t>3.0T</t>
  </si>
  <si>
    <t>10.0.2.252:/hpc_mismart_adco</t>
  </si>
  <si>
    <t>774G</t>
  </si>
  <si>
    <t>10.0.2.252:/hpc_marine</t>
  </si>
  <si>
    <t>7.4T</t>
  </si>
  <si>
    <t>10.0.2.252:/hpc_apps</t>
  </si>
  <si>
    <t>864G</t>
  </si>
  <si>
    <t>10.0.2.252:/hpc_Dr_sharmarke_storage1</t>
  </si>
  <si>
    <t>28G</t>
  </si>
  <si>
    <t>997G</t>
  </si>
  <si>
    <t>10.0.2.252:/hpc_chun_lu_storage1</t>
  </si>
  <si>
    <t>859M</t>
  </si>
  <si>
    <t>10.0.2.252:/hpc_genomic_raw_storage1</t>
  </si>
  <si>
    <t>8.6T</t>
  </si>
  <si>
    <t>10.0.2.252:/hpc_genomic_operations_storage1</t>
  </si>
  <si>
    <t>25T</t>
  </si>
  <si>
    <t>5.7T</t>
  </si>
  <si>
    <t>10.0.2.252:/hpc_genomic_results_storage1</t>
  </si>
  <si>
    <t>35T</t>
  </si>
  <si>
    <t>31T</t>
  </si>
  <si>
    <t>10.0.2.252:/hpc_drsamuelfeng_fads</t>
  </si>
  <si>
    <t>155M</t>
  </si>
  <si>
    <t>10.0.2.252:/hpc_gutsybugs</t>
  </si>
  <si>
    <t>2.1T</t>
  </si>
  <si>
    <t>10.0.2.252:/hpc_cesam</t>
  </si>
  <si>
    <t>1T</t>
  </si>
  <si>
    <t>5.9T</t>
  </si>
  <si>
    <t>4.2T</t>
  </si>
  <si>
    <t>3.7 TB</t>
  </si>
  <si>
    <t>553G</t>
  </si>
  <si>
    <t xml:space="preserve">Usage </t>
  </si>
  <si>
    <t>Storage in TB</t>
  </si>
  <si>
    <t xml:space="preserve">VM Datastore </t>
  </si>
  <si>
    <t>NAS 216+DB 4 tb</t>
  </si>
  <si>
    <t xml:space="preserve">SAN for HPC </t>
  </si>
  <si>
    <t>Needed for 2019-2020</t>
  </si>
  <si>
    <t xml:space="preserve">total planned </t>
  </si>
  <si>
    <t>VM Resource</t>
  </si>
  <si>
    <t>NAS +HPC</t>
  </si>
  <si>
    <t xml:space="preserve">No of Servers </t>
  </si>
  <si>
    <t>Physical</t>
  </si>
  <si>
    <t>Data set size (TB):</t>
  </si>
  <si>
    <t>Number of full backups to store per week:</t>
  </si>
  <si>
    <t>Number of full backups to store per month:</t>
  </si>
  <si>
    <t>Total number of full backups to store:</t>
  </si>
  <si>
    <t>Retention Period:</t>
  </si>
  <si>
    <t>Expected compression ratio:</t>
  </si>
  <si>
    <t>:1</t>
  </si>
  <si>
    <t>Expected de-duplication ratio:</t>
  </si>
  <si>
    <t>Number of incremental backups to store per week:</t>
  </si>
  <si>
    <t>Number of incremental backups to store per month:</t>
  </si>
  <si>
    <t>Total number of incremental backups to store:</t>
  </si>
  <si>
    <t>﻿</t>
  </si>
  <si>
    <t>Backup storage size </t>
  </si>
  <si>
    <t>Non - compressed </t>
  </si>
  <si>
    <t>Compressed </t>
  </si>
  <si>
    <t>De-dupl.  </t>
  </si>
  <si>
    <t>Compressed + De-dupl.</t>
  </si>
  <si>
    <t>Full (TB):</t>
  </si>
  <si>
    <t>﻿Incremental (TB):</t>
  </si>
  <si>
    <t>Weekly (TB):</t>
  </si>
  <si>
    <t>Monthly (TB):</t>
  </si>
  <si>
    <t>Total  (TB):</t>
  </si>
  <si>
    <t xml:space="preserve">Total Disk Needed in PB </t>
  </si>
  <si>
    <t xml:space="preserve">VM OS backup </t>
  </si>
  <si>
    <t xml:space="preserve">No Weekly backup </t>
  </si>
  <si>
    <t>Once in a Month</t>
  </si>
  <si>
    <t>Months</t>
  </si>
  <si>
    <t xml:space="preserve">VM Project backup </t>
  </si>
  <si>
    <t xml:space="preserve">Once in a Week </t>
  </si>
  <si>
    <t xml:space="preserve">1*4 weeks + 1 month  </t>
  </si>
  <si>
    <t>5 + 6 months</t>
  </si>
  <si>
    <t xml:space="preserve">HPC Project backup </t>
  </si>
  <si>
    <t xml:space="preserve">Days a Week </t>
  </si>
  <si>
    <t xml:space="preserve">7 + 4 Weeks per month </t>
  </si>
  <si>
    <t>11 +  6 months</t>
  </si>
  <si>
    <t>months</t>
  </si>
  <si>
    <t xml:space="preserve">Other Project backup </t>
  </si>
  <si>
    <t>Backup Storage in TB</t>
  </si>
  <si>
    <t>300000 </t>
  </si>
  <si>
    <t xml:space="preserve">Total Storage for Backup </t>
  </si>
  <si>
    <t>5100000 </t>
  </si>
  <si>
    <t>2020-April</t>
  </si>
  <si>
    <t xml:space="preserve">10.0.2.252:/hpc_home_disk1                      </t>
  </si>
  <si>
    <t xml:space="preserve">5.0T  </t>
  </si>
  <si>
    <t xml:space="preserve">3.3T  </t>
  </si>
  <si>
    <t>Used in TB</t>
  </si>
  <si>
    <t xml:space="preserve">10.0.2.252:/hpc_home_disk2                     </t>
  </si>
  <si>
    <t xml:space="preserve"> 4.4T  </t>
  </si>
  <si>
    <t xml:space="preserve">10.0.2.252:/hpc_home_disk3                     </t>
  </si>
  <si>
    <t xml:space="preserve">650G </t>
  </si>
  <si>
    <t>1.8 T</t>
  </si>
  <si>
    <t>619G</t>
  </si>
  <si>
    <t xml:space="preserve">10.0.2.252:/hpc_home_disk4                      </t>
  </si>
  <si>
    <t xml:space="preserve">985G </t>
  </si>
  <si>
    <t xml:space="preserve"> 4.1T  </t>
  </si>
  <si>
    <t xml:space="preserve">10.0.2.252:/hpc_home_disk5                     </t>
  </si>
  <si>
    <t xml:space="preserve">1.4T  </t>
  </si>
  <si>
    <t xml:space="preserve">616G  </t>
  </si>
  <si>
    <t xml:space="preserve">2.0T  </t>
  </si>
  <si>
    <t xml:space="preserve">10.0.2.252:/hpc_home_disk6                     </t>
  </si>
  <si>
    <t xml:space="preserve">37G  </t>
  </si>
  <si>
    <t xml:space="preserve">5.0T   </t>
  </si>
  <si>
    <t>/disk6</t>
  </si>
  <si>
    <t>161G</t>
  </si>
  <si>
    <t>10.0.2.252:/hpc_drKyriaki_storage1</t>
  </si>
  <si>
    <t>1.8T</t>
  </si>
  <si>
    <t>268G</t>
  </si>
  <si>
    <t>22T</t>
  </si>
  <si>
    <t>14T</t>
  </si>
  <si>
    <t>7.8T</t>
  </si>
  <si>
    <t>/research/genomicds2</t>
  </si>
  <si>
    <t>378M</t>
  </si>
  <si>
    <t>10.0.2.252:/hpcmaster_drandreas_storage2</t>
  </si>
  <si>
    <t>/research/genomicds1</t>
  </si>
  <si>
    <t>34T</t>
  </si>
  <si>
    <t>10.0.2.252:/hpcmaster_drandreas_storage1</t>
  </si>
  <si>
    <t>917G</t>
  </si>
  <si>
    <t>108G</t>
  </si>
  <si>
    <t>884G</t>
  </si>
  <si>
    <t>141G</t>
  </si>
  <si>
    <t>759G</t>
  </si>
  <si>
    <t>10.0.2.252:/hpc_dust_forecast</t>
  </si>
  <si>
    <t>10.0.2.252:/hpc_meteo_forecast</t>
  </si>
  <si>
    <t>10.0.2.252:/hpc_fog_forecast</t>
  </si>
  <si>
    <t>567G</t>
  </si>
  <si>
    <t>10.0.2.252:/hpc_cesam4</t>
  </si>
  <si>
    <t>6.7T</t>
  </si>
  <si>
    <t>10.0.2.252:/hpc_cesam3</t>
  </si>
  <si>
    <t>10.0.2.252:/hpc_cesam2</t>
  </si>
  <si>
    <t>539G</t>
  </si>
  <si>
    <t>10.0.2.252:/hpc_cesam1</t>
  </si>
  <si>
    <t>21T</t>
  </si>
  <si>
    <t>669G</t>
  </si>
  <si>
    <t>5.4T</t>
  </si>
  <si>
    <t>myfolder.minet.ae:/DB_Backups/hpcmaster-xcatdb</t>
  </si>
  <si>
    <t>732G</t>
  </si>
  <si>
    <t>/shared_phpc_home</t>
  </si>
  <si>
    <t>1023G</t>
  </si>
  <si>
    <t>1.8G</t>
  </si>
  <si>
    <t>10.0.2.252:/hpc_home</t>
  </si>
  <si>
    <t>5.1T</t>
  </si>
  <si>
    <t>10.0.2.252:/hpc_scratch</t>
  </si>
  <si>
    <t>/shared_phpc</t>
  </si>
  <si>
    <t>145G</t>
  </si>
  <si>
    <t>56G</t>
  </si>
  <si>
    <t>200G</t>
  </si>
  <si>
    <t>10.0.2.252:/hpc_work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</si>
</sst>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.75"/>
      <color rgb="FF000000"/>
      <name val="Calibri"/>
      <charset val="134"/>
      <scheme val="minor"/>
    </font>
    <font>
      <sz val="9.75"/>
      <color rgb="FF000000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color indexed="8"/>
      <name val="Calibri"/>
      <charset val="134"/>
      <scheme val="minor"/>
    </font>
    <font>
      <b/>
      <sz val="10"/>
      <name val="Arial"/>
      <charset val="1"/>
    </font>
    <font>
      <sz val="10"/>
      <name val="Arial"/>
      <charset val="1"/>
    </font>
    <font>
      <sz val="11"/>
      <name val="Calibri"/>
      <charset val="134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66"/>
        <bgColor rgb="FF00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0" fillId="0" borderId="0" xfId="0" applyBorder="1">
      <alignment vertical="center"/>
    </xf>
    <xf numFmtId="0" fontId="1" fillId="5" borderId="1" xfId="0" applyFont="1" applyFill="1" applyBorder="1">
      <alignment vertical="center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4" borderId="1" xfId="0" applyFont="1" applyFill="1" applyBorder="1" applyAlignment="1"/>
    <xf numFmtId="0" fontId="4" fillId="0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4" fillId="6" borderId="15" xfId="0" applyNumberFormat="1" applyFont="1" applyFill="1" applyBorder="1" applyAlignment="1">
      <alignment horizontal="center" vertical="center"/>
    </xf>
    <xf numFmtId="164" fontId="4" fillId="0" borderId="16" xfId="0" applyNumberFormat="1" applyFont="1" applyFill="1" applyBorder="1" applyAlignment="1">
      <alignment horizontal="center" vertical="center"/>
    </xf>
    <xf numFmtId="164" fontId="4" fillId="6" borderId="17" xfId="0" applyNumberFormat="1" applyFont="1" applyFill="1" applyBorder="1" applyAlignment="1">
      <alignment horizontal="center" vertical="center"/>
    </xf>
    <xf numFmtId="164" fontId="4" fillId="6" borderId="16" xfId="0" applyNumberFormat="1" applyFont="1" applyFill="1" applyBorder="1" applyAlignment="1">
      <alignment horizontal="center" vertical="center"/>
    </xf>
    <xf numFmtId="164" fontId="4" fillId="6" borderId="18" xfId="0" applyNumberFormat="1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7" borderId="0" xfId="0" applyFont="1" applyFill="1" applyAlignment="1">
      <alignment vertical="top"/>
    </xf>
    <xf numFmtId="0" fontId="8" fillId="0" borderId="1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vertical="top"/>
    </xf>
    <xf numFmtId="0" fontId="8" fillId="0" borderId="1" xfId="0" applyFont="1" applyFill="1" applyBorder="1" applyAlignment="1">
      <alignment vertical="top"/>
    </xf>
    <xf numFmtId="0" fontId="8" fillId="9" borderId="1" xfId="0" applyFont="1" applyFill="1" applyBorder="1" applyAlignment="1">
      <alignment vertical="top"/>
    </xf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  <xf numFmtId="0" fontId="1" fillId="9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10" borderId="0" xfId="0" applyFont="1" applyFill="1" applyAlignment="1">
      <alignment vertical="center"/>
    </xf>
    <xf numFmtId="9" fontId="0" fillId="0" borderId="1" xfId="0" applyNumberFormat="1" applyFill="1" applyBorder="1" applyAlignment="1">
      <alignment vertical="center"/>
    </xf>
    <xf numFmtId="9" fontId="0" fillId="0" borderId="0" xfId="0" applyNumberFormat="1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1" xfId="0" applyFont="1" applyFill="1" applyBorder="1" applyAlignment="1"/>
    <xf numFmtId="0" fontId="0" fillId="0" borderId="1" xfId="0" applyFont="1" applyFill="1" applyBorder="1" applyAlignment="1"/>
    <xf numFmtId="0" fontId="0" fillId="0" borderId="0" xfId="0" applyFont="1" applyFill="1" applyAlignment="1"/>
    <xf numFmtId="0" fontId="0" fillId="4" borderId="1" xfId="0" applyFont="1" applyFill="1" applyBorder="1" applyAlignment="1"/>
    <xf numFmtId="0" fontId="1" fillId="0" borderId="1" xfId="0" applyFont="1" applyFill="1" applyBorder="1" applyAlignment="1"/>
    <xf numFmtId="0" fontId="5" fillId="4" borderId="4" xfId="0" applyFont="1" applyFill="1" applyBorder="1" applyAlignment="1"/>
    <xf numFmtId="0" fontId="9" fillId="0" borderId="8" xfId="0" applyFont="1" applyFill="1" applyBorder="1" applyAlignment="1"/>
    <xf numFmtId="0" fontId="9" fillId="0" borderId="1" xfId="0" applyFont="1" applyFill="1" applyBorder="1" applyAlignment="1"/>
    <xf numFmtId="0" fontId="9" fillId="0" borderId="10" xfId="0" applyFont="1" applyFill="1" applyBorder="1" applyAlignment="1"/>
    <xf numFmtId="0" fontId="9" fillId="0" borderId="12" xfId="0" applyFont="1" applyFill="1" applyBorder="1" applyAlignment="1"/>
    <xf numFmtId="0" fontId="9" fillId="0" borderId="13" xfId="0" applyFont="1" applyFill="1" applyBorder="1" applyAlignment="1"/>
    <xf numFmtId="0" fontId="9" fillId="0" borderId="14" xfId="0" applyFont="1" applyFill="1" applyBorder="1" applyAlignment="1"/>
    <xf numFmtId="0" fontId="9" fillId="0" borderId="9" xfId="0" applyFont="1" applyFill="1" applyBorder="1" applyAlignment="1"/>
    <xf numFmtId="0" fontId="9" fillId="0" borderId="5" xfId="0" applyFont="1" applyFill="1" applyBorder="1" applyAlignment="1"/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21" xfId="0" applyBorder="1">
      <alignment vertical="center"/>
    </xf>
    <xf numFmtId="0" fontId="0" fillId="0" borderId="4" xfId="0" applyBorder="1">
      <alignment vertical="center"/>
    </xf>
    <xf numFmtId="0" fontId="9" fillId="0" borderId="21" xfId="0" applyFont="1" applyFill="1" applyBorder="1" applyAlignment="1"/>
    <xf numFmtId="0" fontId="9" fillId="0" borderId="4" xfId="0" applyFont="1" applyFill="1" applyBorder="1" applyAlignment="1"/>
    <xf numFmtId="3" fontId="9" fillId="0" borderId="8" xfId="0" applyNumberFormat="1" applyFont="1" applyFill="1" applyBorder="1" applyAlignment="1"/>
    <xf numFmtId="3" fontId="9" fillId="0" borderId="1" xfId="0" applyNumberFormat="1" applyFont="1" applyFill="1" applyBorder="1" applyAlignment="1"/>
    <xf numFmtId="3" fontId="5" fillId="0" borderId="1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14" xfId="0" applyNumberFormat="1" applyFont="1" applyFill="1" applyBorder="1" applyAlignment="1"/>
    <xf numFmtId="0" fontId="1" fillId="0" borderId="12" xfId="0" applyFont="1" applyFill="1" applyBorder="1">
      <alignment vertical="center"/>
    </xf>
    <xf numFmtId="0" fontId="0" fillId="0" borderId="12" xfId="0" applyFill="1" applyBorder="1">
      <alignment vertical="center"/>
    </xf>
    <xf numFmtId="0" fontId="1" fillId="0" borderId="4" xfId="0" applyFont="1" applyBorder="1">
      <alignment vertical="center"/>
    </xf>
    <xf numFmtId="3" fontId="5" fillId="0" borderId="22" xfId="0" applyNumberFormat="1" applyFont="1" applyFill="1" applyBorder="1" applyAlignment="1"/>
    <xf numFmtId="3" fontId="9" fillId="0" borderId="4" xfId="0" applyNumberFormat="1" applyFont="1" applyFill="1" applyBorder="1" applyAlignment="1"/>
    <xf numFmtId="0" fontId="0" fillId="0" borderId="1" xfId="0" applyFill="1" applyBorder="1">
      <alignment vertical="center"/>
    </xf>
    <xf numFmtId="0" fontId="5" fillId="4" borderId="12" xfId="0" applyFont="1" applyFill="1" applyBorder="1" applyAlignment="1"/>
    <xf numFmtId="0" fontId="5" fillId="0" borderId="12" xfId="0" applyFont="1" applyFill="1" applyBorder="1" applyAlignment="1"/>
    <xf numFmtId="0" fontId="5" fillId="11" borderId="1" xfId="0" applyFont="1" applyFill="1" applyBorder="1" applyAlignment="1"/>
    <xf numFmtId="0" fontId="5" fillId="0" borderId="1" xfId="0" applyFont="1" applyFill="1" applyBorder="1" applyAlignment="1"/>
    <xf numFmtId="0" fontId="5" fillId="0" borderId="4" xfId="0" applyFont="1" applyFill="1" applyBorder="1" applyAlignment="1"/>
    <xf numFmtId="3" fontId="9" fillId="0" borderId="15" xfId="0" applyNumberFormat="1" applyFont="1" applyFill="1" applyBorder="1" applyAlignment="1"/>
    <xf numFmtId="3" fontId="9" fillId="0" borderId="16" xfId="0" applyNumberFormat="1" applyFont="1" applyFill="1" applyBorder="1" applyAlignment="1"/>
    <xf numFmtId="0" fontId="0" fillId="0" borderId="16" xfId="0" applyFill="1" applyBorder="1">
      <alignment vertical="center"/>
    </xf>
    <xf numFmtId="3" fontId="5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1" fillId="0" borderId="22" xfId="0" applyFont="1" applyFill="1" applyBorder="1">
      <alignment vertical="center"/>
    </xf>
    <xf numFmtId="0" fontId="0" fillId="0" borderId="16" xfId="0" applyBorder="1">
      <alignment vertical="center"/>
    </xf>
    <xf numFmtId="0" fontId="0" fillId="0" borderId="8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1" fillId="0" borderId="12" xfId="0" applyFont="1" applyBorder="1">
      <alignment vertical="center"/>
    </xf>
    <xf numFmtId="0" fontId="9" fillId="0" borderId="24" xfId="0" applyFont="1" applyFill="1" applyBorder="1" applyAlignment="1"/>
    <xf numFmtId="0" fontId="5" fillId="11" borderId="4" xfId="0" applyFont="1" applyFill="1" applyBorder="1" applyAlignment="1"/>
    <xf numFmtId="0" fontId="1" fillId="0" borderId="22" xfId="0" applyFont="1" applyBorder="1">
      <alignment vertical="center"/>
    </xf>
    <xf numFmtId="0" fontId="1" fillId="0" borderId="17" xfId="0" applyFont="1" applyBorder="1">
      <alignment vertical="center"/>
    </xf>
    <xf numFmtId="3" fontId="9" fillId="0" borderId="25" xfId="0" applyNumberFormat="1" applyFont="1" applyFill="1" applyBorder="1" applyAlignment="1"/>
    <xf numFmtId="0" fontId="0" fillId="0" borderId="9" xfId="0" applyBorder="1">
      <alignment vertical="center"/>
    </xf>
    <xf numFmtId="0" fontId="9" fillId="6" borderId="8" xfId="0" applyFont="1" applyFill="1" applyBorder="1" applyAlignment="1"/>
    <xf numFmtId="3" fontId="9" fillId="6" borderId="8" xfId="0" applyNumberFormat="1" applyFont="1" applyFill="1" applyBorder="1" applyAlignment="1"/>
    <xf numFmtId="0" fontId="9" fillId="6" borderId="1" xfId="0" applyFont="1" applyFill="1" applyBorder="1" applyAlignment="1"/>
    <xf numFmtId="3" fontId="9" fillId="6" borderId="1" xfId="0" applyNumberFormat="1" applyFont="1" applyFill="1" applyBorder="1" applyAlignment="1"/>
    <xf numFmtId="0" fontId="9" fillId="0" borderId="26" xfId="0" applyFont="1" applyFill="1" applyBorder="1" applyAlignment="1"/>
    <xf numFmtId="0" fontId="9" fillId="0" borderId="0" xfId="0" applyFont="1" applyFill="1" applyAlignment="1"/>
    <xf numFmtId="0" fontId="5" fillId="11" borderId="12" xfId="0" applyFont="1" applyFill="1" applyBorder="1" applyAlignment="1"/>
    <xf numFmtId="3" fontId="9" fillId="0" borderId="27" xfId="0" applyNumberFormat="1" applyFont="1" applyFill="1" applyBorder="1" applyAlignment="1"/>
    <xf numFmtId="3" fontId="9" fillId="0" borderId="28" xfId="0" applyNumberFormat="1" applyFont="1" applyFill="1" applyBorder="1" applyAlignment="1"/>
    <xf numFmtId="0" fontId="0" fillId="0" borderId="28" xfId="0" applyBorder="1">
      <alignment vertical="center"/>
    </xf>
    <xf numFmtId="0" fontId="0" fillId="0" borderId="22" xfId="0" applyBorder="1">
      <alignment vertical="center"/>
    </xf>
    <xf numFmtId="3" fontId="9" fillId="6" borderId="15" xfId="0" applyNumberFormat="1" applyFont="1" applyFill="1" applyBorder="1" applyAlignment="1"/>
    <xf numFmtId="3" fontId="9" fillId="6" borderId="16" xfId="0" applyNumberFormat="1" applyFont="1" applyFill="1" applyBorder="1" applyAlignment="1"/>
    <xf numFmtId="0" fontId="0" fillId="0" borderId="29" xfId="0" applyBorder="1">
      <alignment vertical="center"/>
    </xf>
    <xf numFmtId="0" fontId="9" fillId="11" borderId="1" xfId="0" applyFont="1" applyFill="1" applyBorder="1" applyAlignment="1"/>
    <xf numFmtId="3" fontId="9" fillId="11" borderId="16" xfId="0" applyNumberFormat="1" applyFont="1" applyFill="1" applyBorder="1" applyAlignment="1"/>
    <xf numFmtId="0" fontId="4" fillId="0" borderId="8" xfId="0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9" fillId="11" borderId="8" xfId="0" applyFont="1" applyFill="1" applyBorder="1" applyAlignment="1"/>
    <xf numFmtId="0" fontId="0" fillId="0" borderId="2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8" xfId="0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0" fillId="0" borderId="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9" fillId="0" borderId="30" xfId="0" applyFont="1" applyFill="1" applyBorder="1" applyAlignment="1"/>
    <xf numFmtId="0" fontId="9" fillId="0" borderId="29" xfId="0" applyFont="1" applyFill="1" applyBorder="1" applyAlignment="1"/>
    <xf numFmtId="0" fontId="0" fillId="0" borderId="29" xfId="0" applyFill="1" applyBorder="1" applyAlignment="1">
      <alignment vertical="center"/>
    </xf>
    <xf numFmtId="0" fontId="9" fillId="0" borderId="0" xfId="0" applyFont="1" applyFill="1" applyBorder="1" applyAlignment="1"/>
    <xf numFmtId="0" fontId="9" fillId="0" borderId="31" xfId="0" applyFont="1" applyFill="1" applyBorder="1" applyAlignment="1"/>
    <xf numFmtId="0" fontId="0" fillId="0" borderId="8" xfId="0" applyFill="1" applyBorder="1" applyAlignment="1">
      <alignment vertical="center"/>
    </xf>
    <xf numFmtId="3" fontId="9" fillId="0" borderId="26" xfId="0" applyNumberFormat="1" applyFont="1" applyFill="1" applyBorder="1" applyAlignment="1"/>
    <xf numFmtId="3" fontId="9" fillId="0" borderId="0" xfId="0" applyNumberFormat="1" applyFont="1" applyFill="1" applyAlignment="1"/>
    <xf numFmtId="0" fontId="0" fillId="0" borderId="0" xfId="0" applyFill="1" applyBorder="1" applyAlignment="1">
      <alignment vertical="center"/>
    </xf>
    <xf numFmtId="0" fontId="0" fillId="0" borderId="8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4" borderId="0" xfId="0" applyFont="1" applyFill="1" applyAlignment="1">
      <alignment vertical="center"/>
    </xf>
    <xf numFmtId="0" fontId="0" fillId="11" borderId="0" xfId="0" applyFill="1">
      <alignment vertical="center"/>
    </xf>
    <xf numFmtId="0" fontId="5" fillId="4" borderId="0" xfId="0" applyFont="1" applyFill="1" applyAlignment="1"/>
    <xf numFmtId="0" fontId="9" fillId="12" borderId="0" xfId="0" applyFont="1" applyFill="1" applyAlignment="1"/>
    <xf numFmtId="3" fontId="9" fillId="12" borderId="0" xfId="0" applyNumberFormat="1" applyFont="1" applyFill="1" applyAlignment="1"/>
    <xf numFmtId="3" fontId="9" fillId="11" borderId="0" xfId="0" applyNumberFormat="1" applyFont="1" applyFill="1" applyAlignment="1"/>
    <xf numFmtId="0" fontId="9" fillId="11" borderId="0" xfId="0" applyFont="1" applyFill="1" applyAlignment="1"/>
    <xf numFmtId="0" fontId="4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9" fontId="0" fillId="11" borderId="0" xfId="0" applyNumberFormat="1" applyFill="1" applyAlignment="1">
      <alignment vertical="center"/>
    </xf>
    <xf numFmtId="0" fontId="4" fillId="11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164" fontId="6" fillId="0" borderId="0" xfId="0" applyNumberFormat="1" applyFont="1" applyFill="1" applyAlignment="1">
      <alignment vertical="center"/>
    </xf>
    <xf numFmtId="0" fontId="0" fillId="4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3" fontId="9" fillId="11" borderId="1" xfId="0" applyNumberFormat="1" applyFont="1" applyFill="1" applyBorder="1" applyAlignment="1"/>
    <xf numFmtId="0" fontId="6" fillId="4" borderId="4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'VM '!$B$138</c:f>
              <c:strCache>
                <c:ptCount val="1"/>
                <c:pt idx="0">
                  <c:v>VM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'VM '!$A$139:$A$141</c:f>
              <c:strCache>
                <c:ptCount val="3"/>
                <c:pt idx="0">
                  <c:v>2016-2017 </c:v>
                </c:pt>
                <c:pt idx="1">
                  <c:v>2017-2018 </c:v>
                </c:pt>
                <c:pt idx="2">
                  <c:v>2018 -2019</c:v>
                </c:pt>
              </c:strCache>
            </c:strRef>
          </c:cat>
          <c:val>
            <c:numRef>
              <c:f>'VM '!$B$139:$B$141</c:f>
              <c:numCache>
                <c:formatCode>General</c:formatCode>
                <c:ptCount val="3"/>
                <c:pt idx="0">
                  <c:v>-1</c:v>
                </c:pt>
                <c:pt idx="1">
                  <c:v>16</c:v>
                </c:pt>
                <c:pt idx="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3-4450-9572-705ED8EEDE8C}"/>
            </c:ext>
          </c:extLst>
        </c:ser>
        <c:ser>
          <c:idx val="1"/>
          <c:order val="1"/>
          <c:tx>
            <c:strRef>
              <c:f>'VM '!$C$138</c:f>
              <c:strCache>
                <c:ptCount val="1"/>
                <c:pt idx="0">
                  <c:v>CPU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'VM '!$A$139:$A$141</c:f>
              <c:strCache>
                <c:ptCount val="3"/>
                <c:pt idx="0">
                  <c:v>2016-2017 </c:v>
                </c:pt>
                <c:pt idx="1">
                  <c:v>2017-2018 </c:v>
                </c:pt>
                <c:pt idx="2">
                  <c:v>2018 -2019</c:v>
                </c:pt>
              </c:strCache>
            </c:strRef>
          </c:cat>
          <c:val>
            <c:numRef>
              <c:f>'VM '!$C$139:$C$141</c:f>
              <c:numCache>
                <c:formatCode>General</c:formatCode>
                <c:ptCount val="3"/>
                <c:pt idx="0">
                  <c:v>-6</c:v>
                </c:pt>
                <c:pt idx="1">
                  <c:v>44</c:v>
                </c:pt>
                <c:pt idx="2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3-4450-9572-705ED8EEDE8C}"/>
            </c:ext>
          </c:extLst>
        </c:ser>
        <c:ser>
          <c:idx val="2"/>
          <c:order val="2"/>
          <c:tx>
            <c:strRef>
              <c:f>'VM '!$E$138</c:f>
              <c:strCache>
                <c:ptCount val="1"/>
                <c:pt idx="0">
                  <c:v>DISK  TB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'VM '!$A$139:$A$141</c:f>
              <c:strCache>
                <c:ptCount val="3"/>
                <c:pt idx="0">
                  <c:v>2016-2017 </c:v>
                </c:pt>
                <c:pt idx="1">
                  <c:v>2017-2018 </c:v>
                </c:pt>
                <c:pt idx="2">
                  <c:v>2018 -2019</c:v>
                </c:pt>
              </c:strCache>
            </c:strRef>
          </c:cat>
          <c:val>
            <c:numRef>
              <c:f>'VM '!$E$139:$E$141</c:f>
              <c:numCache>
                <c:formatCode>General</c:formatCode>
                <c:ptCount val="3"/>
                <c:pt idx="0">
                  <c:v>22</c:v>
                </c:pt>
                <c:pt idx="1">
                  <c:v>17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63-4450-9572-705ED8EED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459580"/>
        <c:axId val="41227443"/>
      </c:lineChart>
      <c:catAx>
        <c:axId val="981459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7443"/>
        <c:crosses val="autoZero"/>
        <c:auto val="1"/>
        <c:lblAlgn val="ctr"/>
        <c:lblOffset val="100"/>
        <c:noMultiLvlLbl val="0"/>
      </c:catAx>
      <c:valAx>
        <c:axId val="412274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95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'VM '!$B$176</c:f>
              <c:strCache>
                <c:ptCount val="1"/>
                <c:pt idx="0">
                  <c:v>VM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'VM '!$A$177:$A$180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'VM '!$B$177:$B$180</c:f>
              <c:numCache>
                <c:formatCode>General</c:formatCode>
                <c:ptCount val="4"/>
                <c:pt idx="0">
                  <c:v>38</c:v>
                </c:pt>
                <c:pt idx="1">
                  <c:v>37</c:v>
                </c:pt>
                <c:pt idx="2">
                  <c:v>53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2-4948-902F-3444A1753C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9564645"/>
        <c:axId val="36018240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'VM '!$A$176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'VM '!$A$177:$A$180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'VM '!$A$177:$A$180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72-4948-902F-3444A1753C65}"/>
                  </c:ext>
                </c:extLst>
              </c15:ser>
            </c15:filteredBarSeries>
          </c:ext>
        </c:extLst>
      </c:barChart>
      <c:catAx>
        <c:axId val="4795646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82402"/>
        <c:crosses val="autoZero"/>
        <c:auto val="1"/>
        <c:lblAlgn val="ctr"/>
        <c:lblOffset val="100"/>
        <c:noMultiLvlLbl val="0"/>
      </c:catAx>
      <c:valAx>
        <c:axId val="360182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646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'VM '!$B$183</c:f>
              <c:strCache>
                <c:ptCount val="1"/>
                <c:pt idx="0">
                  <c:v>CPU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'VM '!$A$184:$A$187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'VM '!$B$184:$B$187</c:f>
              <c:numCache>
                <c:formatCode>General</c:formatCode>
                <c:ptCount val="4"/>
                <c:pt idx="0">
                  <c:v>408</c:v>
                </c:pt>
                <c:pt idx="1">
                  <c:v>402</c:v>
                </c:pt>
                <c:pt idx="2">
                  <c:v>446</c:v>
                </c:pt>
                <c:pt idx="3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8-45D0-8312-06B16F04BE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4449922"/>
        <c:axId val="5529943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'VM '!$A$183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'VM '!$A$184:$A$187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'VM '!$A$184:$A$187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C38-45D0-8312-06B16F04BEE5}"/>
                  </c:ext>
                </c:extLst>
              </c15:ser>
            </c15:filteredBarSeries>
          </c:ext>
        </c:extLst>
      </c:barChart>
      <c:catAx>
        <c:axId val="964449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94363"/>
        <c:crosses val="autoZero"/>
        <c:auto val="1"/>
        <c:lblAlgn val="ctr"/>
        <c:lblOffset val="100"/>
        <c:noMultiLvlLbl val="0"/>
      </c:catAx>
      <c:valAx>
        <c:axId val="552994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49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'VM '!$B$190</c:f>
              <c:strCache>
                <c:ptCount val="1"/>
                <c:pt idx="0">
                  <c:v>Memory in GB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'VM '!$A$191:$A$194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'VM '!$B$191:$B$194</c:f>
              <c:numCache>
                <c:formatCode>General</c:formatCode>
                <c:ptCount val="4"/>
                <c:pt idx="0">
                  <c:v>1625</c:v>
                </c:pt>
                <c:pt idx="1">
                  <c:v>1640</c:v>
                </c:pt>
                <c:pt idx="2">
                  <c:v>1718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F-4A74-AAD9-F1B5AD1CFD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44711927"/>
        <c:axId val="6284121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'VM '!$A$190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'VM '!$A$191:$A$194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'VM '!$A$191:$A$194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D2F-4A74-AAD9-F1B5AD1CFDA7}"/>
                  </c:ext>
                </c:extLst>
              </c15:ser>
            </c15:filteredBarSeries>
          </c:ext>
        </c:extLst>
      </c:barChart>
      <c:catAx>
        <c:axId val="344711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12148"/>
        <c:crosses val="autoZero"/>
        <c:auto val="1"/>
        <c:lblAlgn val="ctr"/>
        <c:lblOffset val="100"/>
        <c:noMultiLvlLbl val="0"/>
      </c:catAx>
      <c:valAx>
        <c:axId val="628412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'VM '!$B$197</c:f>
              <c:strCache>
                <c:ptCount val="1"/>
                <c:pt idx="0">
                  <c:v>DISK  TB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'VM '!$A$198:$A$201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'VM '!$B$198:$B$201</c:f>
              <c:numCache>
                <c:formatCode>General</c:formatCode>
                <c:ptCount val="4"/>
                <c:pt idx="0">
                  <c:v>177</c:v>
                </c:pt>
                <c:pt idx="1">
                  <c:v>199</c:v>
                </c:pt>
                <c:pt idx="2">
                  <c:v>216</c:v>
                </c:pt>
                <c:pt idx="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5-4234-9D53-5B4A689EB4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4263388"/>
        <c:axId val="4440904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'VM '!$A$197:$A$201</c15:sqref>
                        </c15:formulaRef>
                      </c:ext>
                    </c:extLst>
                    <c:strCache>
                      <c:ptCount val="5"/>
                      <c:pt idx="0">
                        <c:v>YEAR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'VM '!$A$198:$A$201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CE85-4234-9D53-5B4A689EB44C}"/>
                  </c:ext>
                </c:extLst>
              </c15:ser>
            </c15:filteredBarSeries>
          </c:ext>
        </c:extLst>
      </c:barChart>
      <c:catAx>
        <c:axId val="6742633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9047"/>
        <c:crosses val="autoZero"/>
        <c:auto val="1"/>
        <c:lblAlgn val="ctr"/>
        <c:lblOffset val="100"/>
        <c:noMultiLvlLbl val="0"/>
      </c:catAx>
      <c:valAx>
        <c:axId val="4440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633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339768339768302E-2"/>
          <c:y val="0.33634259259259303"/>
          <c:w val="0.89889317889317899"/>
          <c:h val="0.5961574074074069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'VM '!$B$176</c:f>
              <c:strCache>
                <c:ptCount val="1"/>
                <c:pt idx="0">
                  <c:v>VM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'VM '!$A$177:$A$180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'VM '!$B$177:$B$180</c:f>
              <c:numCache>
                <c:formatCode>General</c:formatCode>
                <c:ptCount val="4"/>
                <c:pt idx="0">
                  <c:v>38</c:v>
                </c:pt>
                <c:pt idx="1">
                  <c:v>37</c:v>
                </c:pt>
                <c:pt idx="2">
                  <c:v>53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B-4A88-ACE8-37A04FEA1C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9564645"/>
        <c:axId val="36018240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'VM '!$A$176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'VM '!$A$177:$A$180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Lit>
                    <c:formatCode>General</c:formatCode>
                    <c:ptCount val="4"/>
                    <c:pt idx="0">
                      <c:v>2016</c:v>
                    </c:pt>
                    <c:pt idx="1">
                      <c:v>2017</c:v>
                    </c:pt>
                    <c:pt idx="2">
                      <c:v>2018</c:v>
                    </c:pt>
                    <c:pt idx="3">
                      <c:v>2019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E93B-4A88-ACE8-37A04FEA1CB6}"/>
                  </c:ext>
                </c:extLst>
              </c15:ser>
            </c15:filteredBarSeries>
          </c:ext>
        </c:extLst>
      </c:barChart>
      <c:catAx>
        <c:axId val="4795646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82402"/>
        <c:crosses val="autoZero"/>
        <c:auto val="1"/>
        <c:lblAlgn val="ctr"/>
        <c:lblOffset val="100"/>
        <c:noMultiLvlLbl val="0"/>
      </c:catAx>
      <c:valAx>
        <c:axId val="360182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646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855072463768099"/>
          <c:y val="4.51388888888889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'VM '!$B$165</c:f>
              <c:strCache>
                <c:ptCount val="1"/>
                <c:pt idx="0">
                  <c:v>DISK  TB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'VM '!$A$166:$A$168</c:f>
              <c:strCache>
                <c:ptCount val="3"/>
                <c:pt idx="0">
                  <c:v>2016-2017 </c:v>
                </c:pt>
                <c:pt idx="1">
                  <c:v>2017-2018 </c:v>
                </c:pt>
                <c:pt idx="2">
                  <c:v>2018 -2019</c:v>
                </c:pt>
              </c:strCache>
            </c:strRef>
          </c:cat>
          <c:val>
            <c:numRef>
              <c:f>'VM '!$B$166:$B$168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C-4068-A5EF-18516AE8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541007"/>
        <c:axId val="720178647"/>
      </c:lineChart>
      <c:catAx>
        <c:axId val="797541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178647"/>
        <c:crosses val="autoZero"/>
        <c:auto val="1"/>
        <c:lblAlgn val="ctr"/>
        <c:lblOffset val="100"/>
        <c:noMultiLvlLbl val="0"/>
      </c:catAx>
      <c:valAx>
        <c:axId val="72017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54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VM Used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Hardware!$A$75:$A$76</c:f>
              <c:strCache>
                <c:ptCount val="2"/>
                <c:pt idx="0">
                  <c:v>CPU</c:v>
                </c:pt>
                <c:pt idx="1">
                  <c:v>Memory in GB</c:v>
                </c:pt>
              </c:strCache>
            </c:strRef>
          </c:cat>
          <c:val>
            <c:numRef>
              <c:f>Hardware!$B$80:$C$80</c:f>
              <c:numCache>
                <c:formatCode>General</c:formatCode>
                <c:ptCount val="2"/>
                <c:pt idx="0">
                  <c:v>542</c:v>
                </c:pt>
                <c:pt idx="1">
                  <c:v>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7-4EE3-98CA-AD92DDC28CAF}"/>
            </c:ext>
          </c:extLst>
        </c:ser>
        <c:ser>
          <c:idx val="1"/>
          <c:order val="1"/>
          <c:tx>
            <c:strRef>
              <c:f>Hardware!$A$85</c:f>
              <c:strCache>
                <c:ptCount val="1"/>
                <c:pt idx="0">
                  <c:v>Hardware available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Hardware!$A$75:$A$76</c:f>
              <c:strCache>
                <c:ptCount val="2"/>
                <c:pt idx="0">
                  <c:v>CPU</c:v>
                </c:pt>
                <c:pt idx="1">
                  <c:v>Memory in GB</c:v>
                </c:pt>
              </c:strCache>
            </c:strRef>
          </c:cat>
          <c:val>
            <c:numRef>
              <c:f>Hardware!$B$81:$C$81</c:f>
              <c:numCache>
                <c:formatCode>General</c:formatCode>
                <c:ptCount val="2"/>
                <c:pt idx="0">
                  <c:v>552</c:v>
                </c:pt>
                <c:pt idx="1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7-4EE3-98CA-AD92DDC28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8344047"/>
        <c:axId val="387545859"/>
      </c:barChart>
      <c:catAx>
        <c:axId val="308344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45859"/>
        <c:crosses val="autoZero"/>
        <c:auto val="1"/>
        <c:lblAlgn val="ctr"/>
        <c:lblOffset val="100"/>
        <c:noMultiLvlLbl val="0"/>
      </c:catAx>
      <c:valAx>
        <c:axId val="3875458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409722222222201"/>
          <c:y val="2.43055555555556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Hardware!$A$102</c:f>
              <c:strCache>
                <c:ptCount val="1"/>
                <c:pt idx="0">
                  <c:v>VM Resource Used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Hardware!$B$101:$C$101</c:f>
              <c:strCache>
                <c:ptCount val="2"/>
                <c:pt idx="0">
                  <c:v>CPU</c:v>
                </c:pt>
                <c:pt idx="1">
                  <c:v>Memory in GB </c:v>
                </c:pt>
              </c:strCache>
            </c:strRef>
          </c:cat>
          <c:val>
            <c:numRef>
              <c:f>Hardware!$B$102:$C$102</c:f>
              <c:numCache>
                <c:formatCode>General</c:formatCode>
                <c:ptCount val="2"/>
                <c:pt idx="0">
                  <c:v>578</c:v>
                </c:pt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8-4C87-8223-D899010EA8D1}"/>
            </c:ext>
          </c:extLst>
        </c:ser>
        <c:ser>
          <c:idx val="1"/>
          <c:order val="1"/>
          <c:tx>
            <c:strRef>
              <c:f>Hardware!$A$103</c:f>
              <c:strCache>
                <c:ptCount val="1"/>
                <c:pt idx="0">
                  <c:v>Availbe Capacity 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Hardware!$B$101:$C$101</c:f>
              <c:strCache>
                <c:ptCount val="2"/>
                <c:pt idx="0">
                  <c:v>CPU</c:v>
                </c:pt>
                <c:pt idx="1">
                  <c:v>Memory in GB </c:v>
                </c:pt>
              </c:strCache>
            </c:strRef>
          </c:cat>
          <c:val>
            <c:numRef>
              <c:f>Hardware!$B$103:$C$103</c:f>
              <c:numCache>
                <c:formatCode>General</c:formatCode>
                <c:ptCount val="2"/>
                <c:pt idx="0">
                  <c:v>552</c:v>
                </c:pt>
                <c:pt idx="1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8-4C87-8223-D899010EA8D1}"/>
            </c:ext>
          </c:extLst>
        </c:ser>
        <c:ser>
          <c:idx val="2"/>
          <c:order val="2"/>
          <c:tx>
            <c:strRef>
              <c:f>Hardware!$A$104</c:f>
              <c:strCache>
                <c:ptCount val="1"/>
                <c:pt idx="0">
                  <c:v> Idle Resource Capacity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Hardware!$B$101:$C$101</c:f>
              <c:strCache>
                <c:ptCount val="2"/>
                <c:pt idx="0">
                  <c:v>CPU</c:v>
                </c:pt>
                <c:pt idx="1">
                  <c:v>Memory in GB </c:v>
                </c:pt>
              </c:strCache>
            </c:strRef>
          </c:cat>
          <c:val>
            <c:numRef>
              <c:f>Hardware!$B$104:$C$104</c:f>
              <c:numCache>
                <c:formatCode>General</c:formatCode>
                <c:ptCount val="2"/>
                <c:pt idx="0">
                  <c:v>240</c:v>
                </c:pt>
                <c:pt idx="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8-4C87-8223-D899010EA8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8984302"/>
        <c:axId val="832006066"/>
      </c:barChart>
      <c:catAx>
        <c:axId val="1189843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006066"/>
        <c:crosses val="autoZero"/>
        <c:auto val="1"/>
        <c:lblAlgn val="ctr"/>
        <c:lblOffset val="100"/>
        <c:noMultiLvlLbl val="0"/>
      </c:catAx>
      <c:valAx>
        <c:axId val="83200606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89843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909722222222202"/>
          <c:y val="3.819444444444439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Hardware!$A$61</c:f>
              <c:strCache>
                <c:ptCount val="1"/>
                <c:pt idx="0">
                  <c:v>VM Resource Used 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Hardware!$B$60:$C$60</c:f>
              <c:strCache>
                <c:ptCount val="2"/>
                <c:pt idx="0">
                  <c:v>CPU</c:v>
                </c:pt>
                <c:pt idx="1">
                  <c:v>Memory in GB </c:v>
                </c:pt>
              </c:strCache>
            </c:strRef>
          </c:cat>
          <c:val>
            <c:numRef>
              <c:f>Hardware!$B$61:$C$61</c:f>
              <c:numCache>
                <c:formatCode>General</c:formatCode>
                <c:ptCount val="2"/>
                <c:pt idx="0">
                  <c:v>33</c:v>
                </c:pt>
                <c:pt idx="1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D-4EE6-BC1A-3C00BEEAF35F}"/>
            </c:ext>
          </c:extLst>
        </c:ser>
        <c:ser>
          <c:idx val="1"/>
          <c:order val="1"/>
          <c:tx>
            <c:strRef>
              <c:f>Hardware!$A$62</c:f>
              <c:strCache>
                <c:ptCount val="1"/>
                <c:pt idx="0">
                  <c:v>Availbe Capacity  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Hardware!$B$60:$C$60</c:f>
              <c:strCache>
                <c:ptCount val="2"/>
                <c:pt idx="0">
                  <c:v>CPU</c:v>
                </c:pt>
                <c:pt idx="1">
                  <c:v>Memory in GB </c:v>
                </c:pt>
              </c:strCache>
            </c:strRef>
          </c:cat>
          <c:val>
            <c:numRef>
              <c:f>Hardware!$B$62:$C$62</c:f>
              <c:numCache>
                <c:formatCode>General</c:formatCode>
                <c:ptCount val="2"/>
                <c:pt idx="0">
                  <c:v>96</c:v>
                </c:pt>
                <c:pt idx="1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9D-4EE6-BC1A-3C00BEEAF3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5858468"/>
        <c:axId val="647125631"/>
      </c:barChart>
      <c:catAx>
        <c:axId val="4858584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25631"/>
        <c:crosses val="autoZero"/>
        <c:auto val="1"/>
        <c:lblAlgn val="ctr"/>
        <c:lblOffset val="100"/>
        <c:noMultiLvlLbl val="0"/>
      </c:catAx>
      <c:valAx>
        <c:axId val="647125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58584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Capacity Planned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Hardware!$A$129</c:f>
              <c:strCache>
                <c:ptCount val="1"/>
                <c:pt idx="0">
                  <c:v>Availbe Capacity  </c:v>
                </c:pt>
              </c:strCache>
            </c:strRef>
          </c:tx>
          <c:spPr>
            <a:gradFill rotWithShape="1">
              <a:gsLst>
                <a:gs pos="0">
                  <a:srgbClr val="9EE256"/>
                </a:gs>
                <a:gs pos="100000">
                  <a:srgbClr val="52762D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Hardware!$B$128:$C$128</c:f>
              <c:strCache>
                <c:ptCount val="2"/>
                <c:pt idx="0">
                  <c:v>Total CPU Planned </c:v>
                </c:pt>
                <c:pt idx="1">
                  <c:v>Total Memory Planned in GB </c:v>
                </c:pt>
              </c:strCache>
            </c:strRef>
          </c:cat>
          <c:val>
            <c:numRef>
              <c:f>Hardware!$B$129:$C$129</c:f>
              <c:numCache>
                <c:formatCode>General</c:formatCode>
                <c:ptCount val="2"/>
                <c:pt idx="0">
                  <c:v>552</c:v>
                </c:pt>
                <c:pt idx="1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2-41C9-A6FD-44AB38835E6D}"/>
            </c:ext>
          </c:extLst>
        </c:ser>
        <c:ser>
          <c:idx val="1"/>
          <c:order val="1"/>
          <c:tx>
            <c:strRef>
              <c:f>Hardware!$A$130</c:f>
              <c:strCache>
                <c:ptCount val="1"/>
                <c:pt idx="0">
                  <c:v>Resource shortage </c:v>
                </c:pt>
              </c:strCache>
            </c:strRef>
          </c:tx>
          <c:spPr>
            <a:gradFill rotWithShape="1">
              <a:gsLst>
                <a:gs pos="0">
                  <a:srgbClr val="FE4444"/>
                </a:gs>
                <a:gs pos="100000">
                  <a:srgbClr val="832B2B"/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Hardware!$B$128:$C$128</c:f>
              <c:strCache>
                <c:ptCount val="2"/>
                <c:pt idx="0">
                  <c:v>Total CPU Planned </c:v>
                </c:pt>
                <c:pt idx="1">
                  <c:v>Total Memory Planned in GB </c:v>
                </c:pt>
              </c:strCache>
            </c:strRef>
          </c:cat>
          <c:val>
            <c:numRef>
              <c:f>Hardware!$B$130:$C$130</c:f>
              <c:numCache>
                <c:formatCode>General</c:formatCode>
                <c:ptCount val="2"/>
                <c:pt idx="0">
                  <c:v>578</c:v>
                </c:pt>
                <c:pt idx="1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2-41C9-A6FD-44AB38835E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56287415"/>
        <c:axId val="99592070"/>
      </c:barChart>
      <c:catAx>
        <c:axId val="956287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2070"/>
        <c:crosses val="autoZero"/>
        <c:auto val="1"/>
        <c:lblAlgn val="ctr"/>
        <c:lblOffset val="100"/>
        <c:noMultiLvlLbl val="0"/>
      </c:catAx>
      <c:valAx>
        <c:axId val="995920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7416307820531"/>
          <c:y val="1.3888888888888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HPC!$B$133</c:f>
              <c:strCache>
                <c:ptCount val="1"/>
                <c:pt idx="0">
                  <c:v>DISK in TB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HPC!$A$134:$A$137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HPC!$B$134:$B$137</c:f>
              <c:numCache>
                <c:formatCode>General</c:formatCode>
                <c:ptCount val="4"/>
                <c:pt idx="0">
                  <c:v>72</c:v>
                </c:pt>
                <c:pt idx="1">
                  <c:v>102</c:v>
                </c:pt>
                <c:pt idx="2">
                  <c:v>183</c:v>
                </c:pt>
                <c:pt idx="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F-4D63-AFAA-7B5656006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5210713"/>
        <c:axId val="2447465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HPC!$A$133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HPC!$A$134:$A$137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HPC!$A$134:$A$137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1BF-4D63-AFAA-7B5656006ECD}"/>
                  </c:ext>
                </c:extLst>
              </c15:ser>
            </c15:filteredBarSeries>
          </c:ext>
        </c:extLst>
      </c:barChart>
      <c:catAx>
        <c:axId val="2652107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46555"/>
        <c:crosses val="autoZero"/>
        <c:auto val="1"/>
        <c:lblAlgn val="ctr"/>
        <c:lblOffset val="100"/>
        <c:noMultiLvlLbl val="0"/>
      </c:catAx>
      <c:valAx>
        <c:axId val="2447465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107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HPC!$B$145</c:f>
              <c:strCache>
                <c:ptCount val="1"/>
                <c:pt idx="0">
                  <c:v>DISK in TB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HPC!$A$146:$A$148</c:f>
              <c:strCache>
                <c:ptCount val="3"/>
                <c:pt idx="0">
                  <c:v>2016-2017 </c:v>
                </c:pt>
                <c:pt idx="1">
                  <c:v>2017-2018 </c:v>
                </c:pt>
                <c:pt idx="2">
                  <c:v>2018 -2019 </c:v>
                </c:pt>
              </c:strCache>
            </c:strRef>
          </c:cat>
          <c:val>
            <c:numRef>
              <c:f>HPC!$B$146:$B$148</c:f>
              <c:numCache>
                <c:formatCode>General</c:formatCode>
                <c:ptCount val="3"/>
                <c:pt idx="0">
                  <c:v>30</c:v>
                </c:pt>
                <c:pt idx="1">
                  <c:v>81</c:v>
                </c:pt>
                <c:pt idx="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2-49C7-ABBF-362930AFB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5309"/>
        <c:axId val="576093546"/>
      </c:lineChart>
      <c:catAx>
        <c:axId val="1870353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93546"/>
        <c:crosses val="autoZero"/>
        <c:auto val="1"/>
        <c:lblAlgn val="ctr"/>
        <c:lblOffset val="100"/>
        <c:noMultiLvlLbl val="0"/>
      </c:catAx>
      <c:valAx>
        <c:axId val="5760935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3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155</xdr:row>
      <xdr:rowOff>41275</xdr:rowOff>
    </xdr:from>
    <xdr:to>
      <xdr:col>10</xdr:col>
      <xdr:colOff>282575</xdr:colOff>
      <xdr:row>170</xdr:row>
      <xdr:rowOff>69850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523875</xdr:colOff>
      <xdr:row>172</xdr:row>
      <xdr:rowOff>174625</xdr:rowOff>
    </xdr:from>
    <xdr:to>
      <xdr:col>6</xdr:col>
      <xdr:colOff>323850</xdr:colOff>
      <xdr:row>188</xdr:row>
      <xdr:rowOff>22225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425450</xdr:colOff>
      <xdr:row>172</xdr:row>
      <xdr:rowOff>165100</xdr:rowOff>
    </xdr:from>
    <xdr:to>
      <xdr:col>10</xdr:col>
      <xdr:colOff>2254250</xdr:colOff>
      <xdr:row>188</xdr:row>
      <xdr:rowOff>12700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311150</xdr:colOff>
      <xdr:row>190</xdr:row>
      <xdr:rowOff>104775</xdr:rowOff>
    </xdr:from>
    <xdr:to>
      <xdr:col>11</xdr:col>
      <xdr:colOff>425450</xdr:colOff>
      <xdr:row>205</xdr:row>
      <xdr:rowOff>133350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815975</xdr:colOff>
      <xdr:row>191</xdr:row>
      <xdr:rowOff>22225</xdr:rowOff>
    </xdr:from>
    <xdr:to>
      <xdr:col>6</xdr:col>
      <xdr:colOff>615950</xdr:colOff>
      <xdr:row>206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753110</xdr:colOff>
      <xdr:row>121</xdr:row>
      <xdr:rowOff>67310</xdr:rowOff>
    </xdr:from>
    <xdr:to>
      <xdr:col>10</xdr:col>
      <xdr:colOff>2000885</xdr:colOff>
      <xdr:row>136</xdr:row>
      <xdr:rowOff>95885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138</xdr:row>
      <xdr:rowOff>63500</xdr:rowOff>
    </xdr:from>
    <xdr:to>
      <xdr:col>10</xdr:col>
      <xdr:colOff>2184400</xdr:colOff>
      <xdr:row>153</xdr:row>
      <xdr:rowOff>92075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1920875</xdr:colOff>
      <xdr:row>77</xdr:row>
      <xdr:rowOff>6350</xdr:rowOff>
    </xdr:from>
    <xdr:to>
      <xdr:col>4</xdr:col>
      <xdr:colOff>3378200</xdr:colOff>
      <xdr:row>94</xdr:row>
      <xdr:rowOff>81915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2022475</xdr:colOff>
      <xdr:row>99</xdr:row>
      <xdr:rowOff>130175</xdr:rowOff>
    </xdr:from>
    <xdr:to>
      <xdr:col>8</xdr:col>
      <xdr:colOff>669925</xdr:colOff>
      <xdr:row>114</xdr:row>
      <xdr:rowOff>158750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298450</xdr:colOff>
      <xdr:row>76</xdr:row>
      <xdr:rowOff>133350</xdr:rowOff>
    </xdr:from>
    <xdr:to>
      <xdr:col>9</xdr:col>
      <xdr:colOff>450850</xdr:colOff>
      <xdr:row>93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1108075</xdr:colOff>
      <xdr:row>118</xdr:row>
      <xdr:rowOff>25400</xdr:rowOff>
    </xdr:from>
    <xdr:to>
      <xdr:col>4</xdr:col>
      <xdr:colOff>2260600</xdr:colOff>
      <xdr:row>132</xdr:row>
      <xdr:rowOff>53975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132</xdr:row>
      <xdr:rowOff>82550</xdr:rowOff>
    </xdr:from>
    <xdr:to>
      <xdr:col>9</xdr:col>
      <xdr:colOff>325120</xdr:colOff>
      <xdr:row>147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163830</xdr:colOff>
      <xdr:row>132</xdr:row>
      <xdr:rowOff>130175</xdr:rowOff>
    </xdr:from>
    <xdr:to>
      <xdr:col>14</xdr:col>
      <xdr:colOff>186055</xdr:colOff>
      <xdr:row>147</xdr:row>
      <xdr:rowOff>158750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8576"/>
  <sheetViews>
    <sheetView tabSelected="1" topLeftCell="A190" workbookViewId="0">
      <selection activeCell="B204" sqref="B204"/>
    </sheetView>
  </sheetViews>
  <sheetFormatPr defaultColWidth="9" defaultRowHeight="15"/>
  <cols>
    <col min="1" max="1" width="25.5703125" style="21" customWidth="1"/>
    <col min="2" max="2" width="21.42578125" style="21" customWidth="1"/>
    <col min="3" max="3" width="21.7109375" style="21" customWidth="1"/>
    <col min="4" max="4" width="20.7109375" style="21" customWidth="1"/>
    <col min="5" max="5" width="15.140625" style="21" customWidth="1"/>
    <col min="6" max="6" width="12.42578125" style="21" customWidth="1"/>
    <col min="7" max="8" width="11.42578125" style="21" customWidth="1"/>
    <col min="9" max="9" width="10.28515625" style="21" customWidth="1"/>
    <col min="10" max="10" width="9" style="21"/>
    <col min="11" max="11" width="31.42578125" style="21" customWidth="1"/>
    <col min="12" max="12" width="15.28515625" style="21" customWidth="1"/>
    <col min="13" max="13" width="11.42578125" style="21" customWidth="1"/>
    <col min="14" max="14" width="13.5703125" style="21" customWidth="1"/>
    <col min="15" max="23" width="9" style="21"/>
    <col min="24" max="24" width="31.42578125" style="21" customWidth="1"/>
    <col min="25" max="25" width="13.28515625" style="21" customWidth="1"/>
    <col min="26" max="26" width="9.42578125" style="21" customWidth="1"/>
    <col min="27" max="27" width="21.28515625" style="21" customWidth="1"/>
    <col min="28" max="28" width="39.42578125" style="21" customWidth="1"/>
  </cols>
  <sheetData>
    <row r="1" spans="1:28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</row>
    <row r="2" spans="1:28">
      <c r="A2" s="78" t="s">
        <v>28</v>
      </c>
      <c r="B2" s="78" t="s">
        <v>29</v>
      </c>
      <c r="C2" s="78" t="s">
        <v>30</v>
      </c>
      <c r="D2" s="78" t="s">
        <v>31</v>
      </c>
      <c r="E2" s="78"/>
      <c r="F2" s="92">
        <v>4</v>
      </c>
      <c r="G2" s="92">
        <f>AVERAGE(F2:F2)</f>
        <v>4</v>
      </c>
      <c r="H2" s="92">
        <v>1</v>
      </c>
      <c r="I2" s="92">
        <v>3</v>
      </c>
      <c r="J2" s="78" t="s">
        <v>32</v>
      </c>
      <c r="K2" s="78" t="s">
        <v>33</v>
      </c>
      <c r="L2" s="92">
        <v>2259128</v>
      </c>
      <c r="M2" s="92">
        <v>1133773</v>
      </c>
      <c r="N2" s="92">
        <v>1125397</v>
      </c>
      <c r="O2" s="78" t="s">
        <v>34</v>
      </c>
      <c r="P2" s="92">
        <v>0</v>
      </c>
      <c r="Q2" s="92">
        <v>10000</v>
      </c>
      <c r="R2" s="78" t="s">
        <v>34</v>
      </c>
      <c r="S2" s="78" t="s">
        <v>34</v>
      </c>
      <c r="T2" s="78" t="s">
        <v>35</v>
      </c>
      <c r="U2" s="92">
        <v>8</v>
      </c>
      <c r="V2" s="78" t="s">
        <v>36</v>
      </c>
      <c r="W2" s="78" t="s">
        <v>37</v>
      </c>
      <c r="X2" s="78" t="s">
        <v>38</v>
      </c>
      <c r="Y2" s="78" t="s">
        <v>39</v>
      </c>
      <c r="Z2" s="78" t="s">
        <v>40</v>
      </c>
      <c r="AA2" s="78" t="s">
        <v>41</v>
      </c>
      <c r="AB2" s="78" t="s">
        <v>42</v>
      </c>
    </row>
    <row r="3" spans="1:28">
      <c r="A3" s="78" t="s">
        <v>43</v>
      </c>
      <c r="B3" s="78" t="s">
        <v>29</v>
      </c>
      <c r="C3" s="78" t="s">
        <v>44</v>
      </c>
      <c r="D3" s="78" t="s">
        <v>45</v>
      </c>
      <c r="E3" s="78"/>
      <c r="F3" s="92">
        <v>4</v>
      </c>
      <c r="G3" s="92">
        <v>8192</v>
      </c>
      <c r="H3" s="92">
        <v>1</v>
      </c>
      <c r="I3" s="92">
        <v>3</v>
      </c>
      <c r="J3" s="78" t="s">
        <v>32</v>
      </c>
      <c r="K3" s="78" t="s">
        <v>33</v>
      </c>
      <c r="L3" s="92">
        <v>6377657</v>
      </c>
      <c r="M3" s="92">
        <v>6377657</v>
      </c>
      <c r="N3" s="92">
        <v>6369280</v>
      </c>
      <c r="O3" s="78" t="s">
        <v>34</v>
      </c>
      <c r="P3" s="92">
        <v>0</v>
      </c>
      <c r="Q3" s="92">
        <v>10000</v>
      </c>
      <c r="R3" s="78" t="s">
        <v>34</v>
      </c>
      <c r="S3" s="78" t="s">
        <v>34</v>
      </c>
      <c r="T3" s="78" t="s">
        <v>35</v>
      </c>
      <c r="U3" s="92">
        <v>8</v>
      </c>
      <c r="V3" s="78" t="s">
        <v>36</v>
      </c>
      <c r="W3" s="78" t="s">
        <v>37</v>
      </c>
      <c r="X3" s="78" t="s">
        <v>38</v>
      </c>
      <c r="Y3" s="78" t="s">
        <v>39</v>
      </c>
      <c r="Z3" s="78" t="s">
        <v>40</v>
      </c>
      <c r="AA3" s="78" t="s">
        <v>46</v>
      </c>
      <c r="AB3" s="78" t="s">
        <v>42</v>
      </c>
    </row>
    <row r="4" spans="1:28">
      <c r="A4" s="78" t="s">
        <v>47</v>
      </c>
      <c r="B4" s="78" t="s">
        <v>29</v>
      </c>
      <c r="C4" s="78" t="s">
        <v>47</v>
      </c>
      <c r="D4" s="78" t="s">
        <v>48</v>
      </c>
      <c r="E4" s="78"/>
      <c r="F4" s="92">
        <v>16</v>
      </c>
      <c r="G4" s="92">
        <v>32768</v>
      </c>
      <c r="H4" s="92">
        <v>1</v>
      </c>
      <c r="I4" s="92">
        <v>4</v>
      </c>
      <c r="J4" s="78" t="s">
        <v>32</v>
      </c>
      <c r="K4" s="78" t="s">
        <v>33</v>
      </c>
      <c r="L4" s="194">
        <v>10833595</v>
      </c>
      <c r="M4" s="92">
        <v>5468241</v>
      </c>
      <c r="N4" s="92">
        <v>5369747</v>
      </c>
      <c r="O4" s="78" t="s">
        <v>34</v>
      </c>
      <c r="P4" s="92">
        <v>0</v>
      </c>
      <c r="Q4" s="92">
        <v>10000</v>
      </c>
      <c r="R4" s="78" t="s">
        <v>34</v>
      </c>
      <c r="S4" s="78" t="s">
        <v>34</v>
      </c>
      <c r="T4" s="78" t="s">
        <v>35</v>
      </c>
      <c r="U4" s="92">
        <v>11</v>
      </c>
      <c r="V4" s="78" t="s">
        <v>36</v>
      </c>
      <c r="W4" s="78" t="s">
        <v>37</v>
      </c>
      <c r="X4" s="78" t="s">
        <v>49</v>
      </c>
      <c r="Y4" s="78" t="s">
        <v>39</v>
      </c>
      <c r="Z4" s="78" t="s">
        <v>40</v>
      </c>
      <c r="AA4" s="78" t="s">
        <v>50</v>
      </c>
      <c r="AB4" s="78" t="s">
        <v>42</v>
      </c>
    </row>
    <row r="5" spans="1:28">
      <c r="A5" s="78" t="s">
        <v>51</v>
      </c>
      <c r="B5" s="78" t="s">
        <v>29</v>
      </c>
      <c r="C5" s="78" t="s">
        <v>51</v>
      </c>
      <c r="D5" s="78" t="s">
        <v>52</v>
      </c>
      <c r="E5" s="78"/>
      <c r="F5" s="92">
        <v>2</v>
      </c>
      <c r="G5" s="92">
        <v>8192</v>
      </c>
      <c r="H5" s="92">
        <v>1</v>
      </c>
      <c r="I5" s="92">
        <v>3</v>
      </c>
      <c r="J5" s="78" t="s">
        <v>53</v>
      </c>
      <c r="K5" s="78" t="s">
        <v>33</v>
      </c>
      <c r="L5" s="92">
        <v>774314</v>
      </c>
      <c r="M5" s="92">
        <v>668188</v>
      </c>
      <c r="N5" s="92">
        <v>651634</v>
      </c>
      <c r="O5" s="78" t="s">
        <v>34</v>
      </c>
      <c r="P5" s="92">
        <v>0</v>
      </c>
      <c r="Q5" s="92">
        <v>10000</v>
      </c>
      <c r="R5" s="78" t="s">
        <v>34</v>
      </c>
      <c r="S5" s="78" t="s">
        <v>34</v>
      </c>
      <c r="T5" s="78" t="s">
        <v>35</v>
      </c>
      <c r="U5" s="92">
        <v>11</v>
      </c>
      <c r="V5" s="78" t="s">
        <v>36</v>
      </c>
      <c r="W5" s="78" t="s">
        <v>37</v>
      </c>
      <c r="X5" s="78" t="s">
        <v>49</v>
      </c>
      <c r="Y5" s="78" t="s">
        <v>39</v>
      </c>
      <c r="Z5" s="78" t="s">
        <v>40</v>
      </c>
      <c r="AA5" s="78" t="s">
        <v>50</v>
      </c>
      <c r="AB5" s="78" t="s">
        <v>42</v>
      </c>
    </row>
    <row r="6" spans="1:28">
      <c r="A6" s="78" t="s">
        <v>54</v>
      </c>
      <c r="B6" s="78" t="s">
        <v>29</v>
      </c>
      <c r="C6" s="78" t="s">
        <v>54</v>
      </c>
      <c r="D6" s="78" t="s">
        <v>55</v>
      </c>
      <c r="E6" s="78"/>
      <c r="F6" s="92">
        <v>2</v>
      </c>
      <c r="G6" s="92">
        <v>8192</v>
      </c>
      <c r="H6" s="92">
        <v>1</v>
      </c>
      <c r="I6" s="92">
        <v>3</v>
      </c>
      <c r="J6" s="78" t="s">
        <v>32</v>
      </c>
      <c r="K6" s="78" t="s">
        <v>33</v>
      </c>
      <c r="L6" s="92">
        <v>643240</v>
      </c>
      <c r="M6" s="92">
        <v>8875</v>
      </c>
      <c r="N6" s="92">
        <v>515</v>
      </c>
      <c r="O6" s="78" t="s">
        <v>34</v>
      </c>
      <c r="P6" s="92">
        <v>0</v>
      </c>
      <c r="Q6" s="92">
        <v>10000</v>
      </c>
      <c r="R6" s="78" t="s">
        <v>34</v>
      </c>
      <c r="S6" s="78" t="s">
        <v>34</v>
      </c>
      <c r="T6" s="78" t="s">
        <v>35</v>
      </c>
      <c r="U6" s="92">
        <v>11</v>
      </c>
      <c r="V6" s="78" t="s">
        <v>36</v>
      </c>
      <c r="W6" s="78" t="s">
        <v>37</v>
      </c>
      <c r="X6" s="78" t="s">
        <v>49</v>
      </c>
      <c r="Y6" s="78" t="s">
        <v>39</v>
      </c>
      <c r="Z6" s="78" t="s">
        <v>40</v>
      </c>
      <c r="AA6" s="78" t="s">
        <v>50</v>
      </c>
      <c r="AB6" s="78" t="s">
        <v>42</v>
      </c>
    </row>
    <row r="7" spans="1:28">
      <c r="A7" s="78" t="s">
        <v>56</v>
      </c>
      <c r="B7" s="78" t="s">
        <v>29</v>
      </c>
      <c r="C7" s="78" t="s">
        <v>56</v>
      </c>
      <c r="D7" s="78" t="s">
        <v>57</v>
      </c>
      <c r="E7" s="78"/>
      <c r="F7" s="92">
        <v>2</v>
      </c>
      <c r="G7" s="92">
        <v>8192</v>
      </c>
      <c r="H7" s="92">
        <v>1</v>
      </c>
      <c r="I7" s="92">
        <v>3</v>
      </c>
      <c r="J7" s="78" t="s">
        <v>32</v>
      </c>
      <c r="K7" s="78" t="s">
        <v>33</v>
      </c>
      <c r="L7" s="92">
        <v>643237</v>
      </c>
      <c r="M7" s="92">
        <v>643237</v>
      </c>
      <c r="N7" s="92">
        <v>634880</v>
      </c>
      <c r="O7" s="78" t="s">
        <v>34</v>
      </c>
      <c r="P7" s="92">
        <v>0</v>
      </c>
      <c r="Q7" s="92">
        <v>10000</v>
      </c>
      <c r="R7" s="78" t="s">
        <v>34</v>
      </c>
      <c r="S7" s="78" t="s">
        <v>34</v>
      </c>
      <c r="T7" s="78" t="s">
        <v>35</v>
      </c>
      <c r="U7" s="92">
        <v>11</v>
      </c>
      <c r="V7" s="78" t="s">
        <v>36</v>
      </c>
      <c r="W7" s="78" t="s">
        <v>37</v>
      </c>
      <c r="X7" s="78" t="s">
        <v>49</v>
      </c>
      <c r="Y7" s="78" t="s">
        <v>39</v>
      </c>
      <c r="Z7" s="78" t="s">
        <v>40</v>
      </c>
      <c r="AA7" s="78" t="s">
        <v>50</v>
      </c>
      <c r="AB7" s="78" t="s">
        <v>42</v>
      </c>
    </row>
    <row r="8" spans="1:28">
      <c r="A8" s="78" t="s">
        <v>58</v>
      </c>
      <c r="B8" s="78" t="s">
        <v>29</v>
      </c>
      <c r="C8" s="78" t="s">
        <v>58</v>
      </c>
      <c r="D8" s="78" t="s">
        <v>59</v>
      </c>
      <c r="E8" s="78"/>
      <c r="F8" s="92">
        <v>2</v>
      </c>
      <c r="G8" s="92">
        <v>4096</v>
      </c>
      <c r="H8" s="92">
        <v>1</v>
      </c>
      <c r="I8" s="92">
        <v>4</v>
      </c>
      <c r="J8" s="78" t="s">
        <v>60</v>
      </c>
      <c r="K8" s="78" t="s">
        <v>61</v>
      </c>
      <c r="L8" s="92">
        <v>786603</v>
      </c>
      <c r="M8" s="92">
        <v>771229</v>
      </c>
      <c r="N8" s="92">
        <v>758770</v>
      </c>
      <c r="O8" s="78" t="s">
        <v>34</v>
      </c>
      <c r="P8" s="92">
        <v>0</v>
      </c>
      <c r="Q8" s="92">
        <v>10000</v>
      </c>
      <c r="R8" s="78" t="s">
        <v>34</v>
      </c>
      <c r="S8" s="78" t="s">
        <v>34</v>
      </c>
      <c r="T8" s="78" t="s">
        <v>35</v>
      </c>
      <c r="U8" s="92">
        <v>11</v>
      </c>
      <c r="V8" s="78" t="s">
        <v>36</v>
      </c>
      <c r="W8" s="78" t="s">
        <v>37</v>
      </c>
      <c r="X8" s="78"/>
      <c r="Y8" s="78" t="s">
        <v>39</v>
      </c>
      <c r="Z8" s="78" t="s">
        <v>40</v>
      </c>
      <c r="AA8" s="78" t="s">
        <v>62</v>
      </c>
      <c r="AB8" s="78" t="s">
        <v>42</v>
      </c>
    </row>
    <row r="9" spans="1:28">
      <c r="A9" s="78" t="s">
        <v>63</v>
      </c>
      <c r="B9" s="78" t="s">
        <v>29</v>
      </c>
      <c r="C9" s="78" t="s">
        <v>63</v>
      </c>
      <c r="D9" s="78" t="s">
        <v>64</v>
      </c>
      <c r="E9" s="78"/>
      <c r="F9" s="92">
        <v>4</v>
      </c>
      <c r="G9" s="92">
        <v>8192</v>
      </c>
      <c r="H9" s="92">
        <v>1</v>
      </c>
      <c r="I9" s="92">
        <v>4</v>
      </c>
      <c r="J9" s="78" t="s">
        <v>65</v>
      </c>
      <c r="K9" s="78" t="s">
        <v>61</v>
      </c>
      <c r="L9" s="92">
        <v>659627</v>
      </c>
      <c r="M9" s="92">
        <v>659627</v>
      </c>
      <c r="N9" s="92">
        <v>651264</v>
      </c>
      <c r="O9" s="78" t="s">
        <v>34</v>
      </c>
      <c r="P9" s="92">
        <v>0</v>
      </c>
      <c r="Q9" s="92">
        <v>10000</v>
      </c>
      <c r="R9" s="78" t="s">
        <v>34</v>
      </c>
      <c r="S9" s="78" t="s">
        <v>34</v>
      </c>
      <c r="T9" s="78" t="s">
        <v>35</v>
      </c>
      <c r="U9" s="92">
        <v>11</v>
      </c>
      <c r="V9" s="78" t="s">
        <v>36</v>
      </c>
      <c r="W9" s="78" t="s">
        <v>37</v>
      </c>
      <c r="X9" s="78"/>
      <c r="Y9" s="78" t="s">
        <v>39</v>
      </c>
      <c r="Z9" s="78" t="s">
        <v>40</v>
      </c>
      <c r="AA9" s="78" t="s">
        <v>62</v>
      </c>
      <c r="AB9" s="78" t="s">
        <v>42</v>
      </c>
    </row>
    <row r="10" spans="1:28">
      <c r="A10" s="78" t="s">
        <v>66</v>
      </c>
      <c r="B10" s="78" t="s">
        <v>29</v>
      </c>
      <c r="C10" s="78" t="s">
        <v>66</v>
      </c>
      <c r="D10" s="78" t="s">
        <v>67</v>
      </c>
      <c r="E10" s="78"/>
      <c r="F10" s="92">
        <v>2</v>
      </c>
      <c r="G10" s="92">
        <v>4096</v>
      </c>
      <c r="H10" s="92">
        <v>1</v>
      </c>
      <c r="I10" s="92">
        <v>4</v>
      </c>
      <c r="J10" s="78" t="s">
        <v>68</v>
      </c>
      <c r="K10" s="78" t="s">
        <v>61</v>
      </c>
      <c r="L10" s="92">
        <v>786603</v>
      </c>
      <c r="M10" s="92">
        <v>720509</v>
      </c>
      <c r="N10" s="92">
        <v>708050</v>
      </c>
      <c r="O10" s="78" t="s">
        <v>34</v>
      </c>
      <c r="P10" s="92">
        <v>0</v>
      </c>
      <c r="Q10" s="92">
        <v>10000</v>
      </c>
      <c r="R10" s="78" t="s">
        <v>34</v>
      </c>
      <c r="S10" s="78" t="s">
        <v>34</v>
      </c>
      <c r="T10" s="78" t="s">
        <v>35</v>
      </c>
      <c r="U10" s="92">
        <v>11</v>
      </c>
      <c r="V10" s="78" t="s">
        <v>36</v>
      </c>
      <c r="W10" s="78" t="s">
        <v>37</v>
      </c>
      <c r="X10" s="78"/>
      <c r="Y10" s="78" t="s">
        <v>39</v>
      </c>
      <c r="Z10" s="78" t="s">
        <v>40</v>
      </c>
      <c r="AA10" s="78" t="s">
        <v>62</v>
      </c>
      <c r="AB10" s="78" t="s">
        <v>42</v>
      </c>
    </row>
    <row r="11" spans="1:28">
      <c r="A11" s="78" t="s">
        <v>69</v>
      </c>
      <c r="B11" s="78" t="s">
        <v>29</v>
      </c>
      <c r="C11" s="78"/>
      <c r="D11" s="78" t="s">
        <v>70</v>
      </c>
      <c r="E11" s="78"/>
      <c r="F11" s="92">
        <v>2</v>
      </c>
      <c r="G11" s="92">
        <v>4128</v>
      </c>
      <c r="H11" s="92">
        <v>1</v>
      </c>
      <c r="I11" s="92">
        <v>2</v>
      </c>
      <c r="J11" s="78" t="s">
        <v>71</v>
      </c>
      <c r="K11" s="78" t="s">
        <v>33</v>
      </c>
      <c r="L11" s="92">
        <v>147654</v>
      </c>
      <c r="M11" s="92">
        <v>147654</v>
      </c>
      <c r="N11" s="92">
        <v>143360</v>
      </c>
      <c r="O11" s="78" t="s">
        <v>34</v>
      </c>
      <c r="P11" s="92">
        <v>0</v>
      </c>
      <c r="Q11" s="92">
        <v>10000</v>
      </c>
      <c r="R11" s="78" t="s">
        <v>34</v>
      </c>
      <c r="S11" s="78" t="s">
        <v>34</v>
      </c>
      <c r="T11" s="78" t="s">
        <v>35</v>
      </c>
      <c r="U11" s="92">
        <v>7</v>
      </c>
      <c r="V11" s="78" t="s">
        <v>36</v>
      </c>
      <c r="W11" s="78" t="s">
        <v>37</v>
      </c>
      <c r="X11" s="78" t="s">
        <v>72</v>
      </c>
      <c r="Y11" s="78" t="s">
        <v>39</v>
      </c>
      <c r="Z11" s="78" t="s">
        <v>40</v>
      </c>
      <c r="AA11" s="78" t="s">
        <v>73</v>
      </c>
      <c r="AB11" s="78" t="s">
        <v>42</v>
      </c>
    </row>
    <row r="12" spans="1:28">
      <c r="A12" s="78" t="s">
        <v>74</v>
      </c>
      <c r="B12" s="78" t="s">
        <v>29</v>
      </c>
      <c r="C12" s="78" t="s">
        <v>75</v>
      </c>
      <c r="D12" s="78" t="s">
        <v>76</v>
      </c>
      <c r="E12" s="78"/>
      <c r="F12" s="92">
        <v>2</v>
      </c>
      <c r="G12" s="92">
        <v>8192</v>
      </c>
      <c r="H12" s="92">
        <v>1</v>
      </c>
      <c r="I12" s="92">
        <v>5</v>
      </c>
      <c r="J12" s="78" t="s">
        <v>65</v>
      </c>
      <c r="K12" s="78" t="s">
        <v>61</v>
      </c>
      <c r="L12" s="92">
        <v>228542</v>
      </c>
      <c r="M12" s="92">
        <v>228542</v>
      </c>
      <c r="N12" s="92">
        <v>220160</v>
      </c>
      <c r="O12" s="78" t="s">
        <v>34</v>
      </c>
      <c r="P12" s="92">
        <v>0</v>
      </c>
      <c r="Q12" s="92">
        <v>10000</v>
      </c>
      <c r="R12" s="78" t="s">
        <v>34</v>
      </c>
      <c r="S12" s="78" t="s">
        <v>34</v>
      </c>
      <c r="T12" s="78" t="s">
        <v>35</v>
      </c>
      <c r="U12" s="92">
        <v>8</v>
      </c>
      <c r="V12" s="78" t="s">
        <v>36</v>
      </c>
      <c r="W12" s="78" t="s">
        <v>37</v>
      </c>
      <c r="X12" s="78"/>
      <c r="Y12" s="78" t="s">
        <v>39</v>
      </c>
      <c r="Z12" s="78" t="s">
        <v>40</v>
      </c>
      <c r="AA12" s="78" t="s">
        <v>62</v>
      </c>
      <c r="AB12" s="78" t="s">
        <v>42</v>
      </c>
    </row>
    <row r="13" spans="1:28">
      <c r="A13" s="78" t="s">
        <v>77</v>
      </c>
      <c r="B13" s="78" t="s">
        <v>29</v>
      </c>
      <c r="C13" s="78"/>
      <c r="D13" s="78"/>
      <c r="E13" s="78"/>
      <c r="F13" s="92">
        <v>8</v>
      </c>
      <c r="G13" s="92">
        <v>8192</v>
      </c>
      <c r="H13" s="92">
        <v>1</v>
      </c>
      <c r="I13" s="92">
        <v>1</v>
      </c>
      <c r="J13" s="78" t="s">
        <v>32</v>
      </c>
      <c r="K13" s="78" t="s">
        <v>33</v>
      </c>
      <c r="L13" s="92">
        <v>49323</v>
      </c>
      <c r="M13" s="92">
        <v>49323</v>
      </c>
      <c r="N13" s="92">
        <v>40960</v>
      </c>
      <c r="O13" s="78" t="s">
        <v>34</v>
      </c>
      <c r="P13" s="92">
        <v>0</v>
      </c>
      <c r="Q13" s="92">
        <v>10000</v>
      </c>
      <c r="R13" s="78" t="s">
        <v>34</v>
      </c>
      <c r="S13" s="78" t="s">
        <v>34</v>
      </c>
      <c r="T13" s="78" t="s">
        <v>35</v>
      </c>
      <c r="U13" s="92">
        <v>7</v>
      </c>
      <c r="V13" s="78" t="s">
        <v>36</v>
      </c>
      <c r="W13" s="78" t="s">
        <v>37</v>
      </c>
      <c r="X13" s="78" t="s">
        <v>78</v>
      </c>
      <c r="Y13" s="78" t="s">
        <v>39</v>
      </c>
      <c r="Z13" s="78" t="s">
        <v>40</v>
      </c>
      <c r="AA13" s="78" t="s">
        <v>41</v>
      </c>
      <c r="AB13" s="78" t="s">
        <v>42</v>
      </c>
    </row>
    <row r="14" spans="1:28">
      <c r="A14" s="78" t="s">
        <v>79</v>
      </c>
      <c r="B14" s="78" t="s">
        <v>29</v>
      </c>
      <c r="C14" s="78" t="s">
        <v>80</v>
      </c>
      <c r="D14" s="78" t="s">
        <v>81</v>
      </c>
      <c r="E14" s="78"/>
      <c r="F14" s="92">
        <v>4</v>
      </c>
      <c r="G14" s="92">
        <v>16384</v>
      </c>
      <c r="H14" s="92">
        <v>1</v>
      </c>
      <c r="I14" s="92">
        <v>5</v>
      </c>
      <c r="J14" s="78" t="s">
        <v>60</v>
      </c>
      <c r="K14" s="78" t="s">
        <v>61</v>
      </c>
      <c r="L14" s="92">
        <v>755015</v>
      </c>
      <c r="M14" s="92">
        <v>449580</v>
      </c>
      <c r="N14" s="92">
        <v>400250</v>
      </c>
      <c r="O14" s="78" t="s">
        <v>34</v>
      </c>
      <c r="P14" s="92">
        <v>0</v>
      </c>
      <c r="Q14" s="92">
        <v>10000</v>
      </c>
      <c r="R14" s="78" t="s">
        <v>34</v>
      </c>
      <c r="S14" s="78" t="s">
        <v>34</v>
      </c>
      <c r="T14" s="78" t="s">
        <v>35</v>
      </c>
      <c r="U14" s="92">
        <v>8</v>
      </c>
      <c r="V14" s="78" t="s">
        <v>36</v>
      </c>
      <c r="W14" s="78" t="s">
        <v>37</v>
      </c>
      <c r="X14" s="78"/>
      <c r="Y14" s="78" t="s">
        <v>39</v>
      </c>
      <c r="Z14" s="78" t="s">
        <v>40</v>
      </c>
      <c r="AA14" s="78" t="s">
        <v>62</v>
      </c>
      <c r="AB14" s="78" t="s">
        <v>42</v>
      </c>
    </row>
    <row r="15" spans="1:28">
      <c r="A15" s="78" t="s">
        <v>82</v>
      </c>
      <c r="B15" s="78" t="s">
        <v>29</v>
      </c>
      <c r="C15" s="78" t="s">
        <v>83</v>
      </c>
      <c r="D15" s="78" t="s">
        <v>84</v>
      </c>
      <c r="E15" s="78"/>
      <c r="F15" s="92">
        <v>4</v>
      </c>
      <c r="G15" s="92">
        <v>16384</v>
      </c>
      <c r="H15" s="92">
        <v>1</v>
      </c>
      <c r="I15" s="92">
        <v>5</v>
      </c>
      <c r="J15" s="78" t="s">
        <v>65</v>
      </c>
      <c r="K15" s="78" t="s">
        <v>61</v>
      </c>
      <c r="L15" s="92">
        <v>359600</v>
      </c>
      <c r="M15" s="92">
        <v>359600</v>
      </c>
      <c r="N15" s="92">
        <v>343040</v>
      </c>
      <c r="O15" s="78" t="s">
        <v>34</v>
      </c>
      <c r="P15" s="92">
        <v>0</v>
      </c>
      <c r="Q15" s="92">
        <v>10000</v>
      </c>
      <c r="R15" s="78" t="s">
        <v>34</v>
      </c>
      <c r="S15" s="78" t="s">
        <v>34</v>
      </c>
      <c r="T15" s="78" t="s">
        <v>35</v>
      </c>
      <c r="U15" s="92">
        <v>8</v>
      </c>
      <c r="V15" s="78" t="s">
        <v>36</v>
      </c>
      <c r="W15" s="78" t="s">
        <v>37</v>
      </c>
      <c r="X15" s="78"/>
      <c r="Y15" s="78" t="s">
        <v>39</v>
      </c>
      <c r="Z15" s="78" t="s">
        <v>40</v>
      </c>
      <c r="AA15" s="78" t="s">
        <v>62</v>
      </c>
      <c r="AB15" s="78" t="s">
        <v>42</v>
      </c>
    </row>
    <row r="16" spans="1:28">
      <c r="A16" s="78" t="s">
        <v>85</v>
      </c>
      <c r="B16" s="78" t="s">
        <v>29</v>
      </c>
      <c r="C16" s="78" t="s">
        <v>86</v>
      </c>
      <c r="D16" s="78" t="s">
        <v>87</v>
      </c>
      <c r="E16" s="78"/>
      <c r="F16" s="92">
        <v>2</v>
      </c>
      <c r="G16" s="92">
        <v>43008</v>
      </c>
      <c r="H16" s="92">
        <v>1</v>
      </c>
      <c r="I16" s="92">
        <v>4</v>
      </c>
      <c r="J16" s="78" t="s">
        <v>60</v>
      </c>
      <c r="K16" s="78" t="s">
        <v>61</v>
      </c>
      <c r="L16" s="92">
        <v>569513</v>
      </c>
      <c r="M16" s="92">
        <v>336205</v>
      </c>
      <c r="N16" s="92">
        <v>250020</v>
      </c>
      <c r="O16" s="78" t="s">
        <v>34</v>
      </c>
      <c r="P16" s="92">
        <v>0</v>
      </c>
      <c r="Q16" s="92">
        <v>10000</v>
      </c>
      <c r="R16" s="78" t="s">
        <v>34</v>
      </c>
      <c r="S16" s="78" t="s">
        <v>34</v>
      </c>
      <c r="T16" s="78" t="s">
        <v>35</v>
      </c>
      <c r="U16" s="92">
        <v>11</v>
      </c>
      <c r="V16" s="78" t="s">
        <v>36</v>
      </c>
      <c r="W16" s="78" t="s">
        <v>37</v>
      </c>
      <c r="X16" s="78"/>
      <c r="Y16" s="78" t="s">
        <v>39</v>
      </c>
      <c r="Z16" s="78" t="s">
        <v>40</v>
      </c>
      <c r="AA16" s="78" t="s">
        <v>62</v>
      </c>
      <c r="AB16" s="78" t="s">
        <v>42</v>
      </c>
    </row>
    <row r="17" spans="1:28">
      <c r="A17" s="78" t="s">
        <v>88</v>
      </c>
      <c r="B17" s="78" t="s">
        <v>29</v>
      </c>
      <c r="C17" s="78" t="s">
        <v>89</v>
      </c>
      <c r="D17" s="78" t="s">
        <v>90</v>
      </c>
      <c r="E17" s="78"/>
      <c r="F17" s="92">
        <v>2</v>
      </c>
      <c r="G17" s="92">
        <v>32768</v>
      </c>
      <c r="H17" s="92">
        <v>1</v>
      </c>
      <c r="I17" s="92">
        <v>4</v>
      </c>
      <c r="J17" s="78" t="s">
        <v>91</v>
      </c>
      <c r="K17" s="78" t="s">
        <v>61</v>
      </c>
      <c r="L17" s="92">
        <v>274596</v>
      </c>
      <c r="M17" s="92">
        <v>274596</v>
      </c>
      <c r="N17" s="92">
        <v>241664</v>
      </c>
      <c r="O17" s="78" t="s">
        <v>34</v>
      </c>
      <c r="P17" s="92">
        <v>0</v>
      </c>
      <c r="Q17" s="92">
        <v>10000</v>
      </c>
      <c r="R17" s="78" t="s">
        <v>34</v>
      </c>
      <c r="S17" s="78" t="s">
        <v>34</v>
      </c>
      <c r="T17" s="78" t="s">
        <v>35</v>
      </c>
      <c r="U17" s="92">
        <v>11</v>
      </c>
      <c r="V17" s="78" t="s">
        <v>36</v>
      </c>
      <c r="W17" s="78" t="s">
        <v>37</v>
      </c>
      <c r="X17" s="78"/>
      <c r="Y17" s="78" t="s">
        <v>39</v>
      </c>
      <c r="Z17" s="78" t="s">
        <v>40</v>
      </c>
      <c r="AA17" s="78" t="s">
        <v>62</v>
      </c>
      <c r="AB17" s="78" t="s">
        <v>42</v>
      </c>
    </row>
    <row r="18" spans="1:28">
      <c r="A18" s="78" t="s">
        <v>92</v>
      </c>
      <c r="B18" s="78" t="s">
        <v>29</v>
      </c>
      <c r="C18" s="78" t="s">
        <v>93</v>
      </c>
      <c r="D18" s="78"/>
      <c r="E18" s="78"/>
      <c r="F18" s="92">
        <v>1</v>
      </c>
      <c r="G18" s="92">
        <v>1024</v>
      </c>
      <c r="H18" s="92">
        <v>1</v>
      </c>
      <c r="I18" s="92">
        <v>2</v>
      </c>
      <c r="J18" s="78" t="s">
        <v>94</v>
      </c>
      <c r="K18" s="78" t="s">
        <v>33</v>
      </c>
      <c r="L18" s="92">
        <v>77988</v>
      </c>
      <c r="M18" s="92">
        <v>77988</v>
      </c>
      <c r="N18" s="92">
        <v>76800</v>
      </c>
      <c r="O18" s="78" t="s">
        <v>34</v>
      </c>
      <c r="P18" s="92">
        <v>0</v>
      </c>
      <c r="Q18" s="92">
        <v>10000</v>
      </c>
      <c r="R18" s="78" t="s">
        <v>34</v>
      </c>
      <c r="S18" s="78" t="s">
        <v>34</v>
      </c>
      <c r="T18" s="78" t="s">
        <v>35</v>
      </c>
      <c r="U18" s="92">
        <v>8</v>
      </c>
      <c r="V18" s="78" t="s">
        <v>36</v>
      </c>
      <c r="W18" s="78" t="s">
        <v>37</v>
      </c>
      <c r="X18" s="78" t="s">
        <v>72</v>
      </c>
      <c r="Y18" s="78" t="s">
        <v>39</v>
      </c>
      <c r="Z18" s="78" t="s">
        <v>40</v>
      </c>
      <c r="AA18" s="78" t="s">
        <v>95</v>
      </c>
      <c r="AB18" s="78" t="s">
        <v>42</v>
      </c>
    </row>
    <row r="19" spans="1:28">
      <c r="A19" s="78" t="s">
        <v>96</v>
      </c>
      <c r="B19" s="78" t="s">
        <v>29</v>
      </c>
      <c r="C19" s="78" t="s">
        <v>89</v>
      </c>
      <c r="D19" s="78" t="s">
        <v>97</v>
      </c>
      <c r="E19" s="78"/>
      <c r="F19" s="92">
        <v>4</v>
      </c>
      <c r="G19" s="92">
        <v>4096</v>
      </c>
      <c r="H19" s="92">
        <v>1</v>
      </c>
      <c r="I19" s="92">
        <v>2</v>
      </c>
      <c r="J19" s="78" t="s">
        <v>98</v>
      </c>
      <c r="K19" s="78" t="s">
        <v>33</v>
      </c>
      <c r="L19" s="92">
        <v>127142</v>
      </c>
      <c r="M19" s="92">
        <v>13677</v>
      </c>
      <c r="N19" s="92">
        <v>9415</v>
      </c>
      <c r="O19" s="78" t="s">
        <v>34</v>
      </c>
      <c r="P19" s="92">
        <v>0</v>
      </c>
      <c r="Q19" s="92">
        <v>10000</v>
      </c>
      <c r="R19" s="78" t="s">
        <v>34</v>
      </c>
      <c r="S19" s="78" t="s">
        <v>34</v>
      </c>
      <c r="T19" s="78" t="s">
        <v>35</v>
      </c>
      <c r="U19" s="92">
        <v>11</v>
      </c>
      <c r="V19" s="78" t="s">
        <v>36</v>
      </c>
      <c r="W19" s="78" t="s">
        <v>37</v>
      </c>
      <c r="X19" s="78"/>
      <c r="Y19" s="78" t="s">
        <v>39</v>
      </c>
      <c r="Z19" s="78" t="s">
        <v>40</v>
      </c>
      <c r="AA19" s="78" t="s">
        <v>99</v>
      </c>
      <c r="AB19" s="78" t="s">
        <v>42</v>
      </c>
    </row>
    <row r="20" spans="1:28">
      <c r="A20" s="78" t="s">
        <v>100</v>
      </c>
      <c r="B20" s="78" t="s">
        <v>29</v>
      </c>
      <c r="C20" s="78" t="s">
        <v>101</v>
      </c>
      <c r="D20" s="78" t="s">
        <v>102</v>
      </c>
      <c r="E20" s="78"/>
      <c r="F20" s="92">
        <v>16</v>
      </c>
      <c r="G20" s="92">
        <v>16384</v>
      </c>
      <c r="H20" s="92">
        <v>2</v>
      </c>
      <c r="I20" s="92">
        <v>3</v>
      </c>
      <c r="J20" s="78" t="s">
        <v>32</v>
      </c>
      <c r="K20" s="78" t="s">
        <v>33</v>
      </c>
      <c r="L20" s="92">
        <v>16124287</v>
      </c>
      <c r="M20" s="92">
        <v>15827320</v>
      </c>
      <c r="N20" s="92">
        <v>15810756</v>
      </c>
      <c r="O20" s="78" t="s">
        <v>34</v>
      </c>
      <c r="P20" s="92">
        <v>0</v>
      </c>
      <c r="Q20" s="92">
        <v>10000</v>
      </c>
      <c r="R20" s="78" t="s">
        <v>34</v>
      </c>
      <c r="S20" s="78" t="s">
        <v>34</v>
      </c>
      <c r="T20" s="78" t="s">
        <v>35</v>
      </c>
      <c r="U20" s="92">
        <v>11</v>
      </c>
      <c r="V20" s="78" t="s">
        <v>36</v>
      </c>
      <c r="W20" s="78" t="s">
        <v>37</v>
      </c>
      <c r="X20" s="78"/>
      <c r="Y20" s="78" t="s">
        <v>39</v>
      </c>
      <c r="Z20" s="78" t="s">
        <v>40</v>
      </c>
      <c r="AA20" s="78" t="s">
        <v>99</v>
      </c>
      <c r="AB20" s="78" t="s">
        <v>103</v>
      </c>
    </row>
    <row r="21" spans="1:28">
      <c r="A21" s="78" t="s">
        <v>104</v>
      </c>
      <c r="B21" s="78" t="s">
        <v>29</v>
      </c>
      <c r="C21" s="78" t="s">
        <v>105</v>
      </c>
      <c r="D21" s="78" t="s">
        <v>106</v>
      </c>
      <c r="E21" s="78"/>
      <c r="F21" s="92">
        <v>16</v>
      </c>
      <c r="G21" s="92">
        <v>32768</v>
      </c>
      <c r="H21" s="92">
        <v>1</v>
      </c>
      <c r="I21" s="92">
        <v>3</v>
      </c>
      <c r="J21" s="78" t="s">
        <v>32</v>
      </c>
      <c r="K21" s="78" t="s">
        <v>33</v>
      </c>
      <c r="L21" s="92">
        <v>6032016</v>
      </c>
      <c r="M21" s="92">
        <v>5653138</v>
      </c>
      <c r="N21" s="92">
        <v>5620186</v>
      </c>
      <c r="O21" s="78" t="s">
        <v>34</v>
      </c>
      <c r="P21" s="92">
        <v>0</v>
      </c>
      <c r="Q21" s="92">
        <v>10000</v>
      </c>
      <c r="R21" s="78" t="s">
        <v>34</v>
      </c>
      <c r="S21" s="78" t="s">
        <v>34</v>
      </c>
      <c r="T21" s="78" t="s">
        <v>35</v>
      </c>
      <c r="U21" s="92">
        <v>11</v>
      </c>
      <c r="V21" s="78" t="s">
        <v>36</v>
      </c>
      <c r="W21" s="78" t="s">
        <v>37</v>
      </c>
      <c r="X21" s="78"/>
      <c r="Y21" s="78" t="s">
        <v>39</v>
      </c>
      <c r="Z21" s="78" t="s">
        <v>40</v>
      </c>
      <c r="AA21" s="78" t="s">
        <v>99</v>
      </c>
      <c r="AB21" s="78" t="s">
        <v>103</v>
      </c>
    </row>
    <row r="22" spans="1:28">
      <c r="A22" s="78" t="s">
        <v>107</v>
      </c>
      <c r="B22" s="78" t="s">
        <v>29</v>
      </c>
      <c r="C22" s="78" t="s">
        <v>108</v>
      </c>
      <c r="D22" s="78" t="s">
        <v>109</v>
      </c>
      <c r="E22" s="78"/>
      <c r="F22" s="92">
        <v>16</v>
      </c>
      <c r="G22" s="92">
        <v>16384</v>
      </c>
      <c r="H22" s="92">
        <v>2</v>
      </c>
      <c r="I22" s="92">
        <v>2</v>
      </c>
      <c r="J22" s="78" t="s">
        <v>32</v>
      </c>
      <c r="K22" s="78" t="s">
        <v>33</v>
      </c>
      <c r="L22" s="92">
        <v>415940</v>
      </c>
      <c r="M22" s="92">
        <v>37062</v>
      </c>
      <c r="N22" s="92">
        <v>20499</v>
      </c>
      <c r="O22" s="78" t="s">
        <v>34</v>
      </c>
      <c r="P22" s="92">
        <v>0</v>
      </c>
      <c r="Q22" s="92">
        <v>10000</v>
      </c>
      <c r="R22" s="78" t="s">
        <v>34</v>
      </c>
      <c r="S22" s="78" t="s">
        <v>34</v>
      </c>
      <c r="T22" s="78" t="s">
        <v>35</v>
      </c>
      <c r="U22" s="92">
        <v>11</v>
      </c>
      <c r="V22" s="78" t="s">
        <v>36</v>
      </c>
      <c r="W22" s="78" t="s">
        <v>37</v>
      </c>
      <c r="X22" s="78"/>
      <c r="Y22" s="78" t="s">
        <v>39</v>
      </c>
      <c r="Z22" s="78" t="s">
        <v>40</v>
      </c>
      <c r="AA22" s="78" t="s">
        <v>99</v>
      </c>
      <c r="AB22" s="78" t="s">
        <v>103</v>
      </c>
    </row>
    <row r="23" spans="1:28">
      <c r="A23" s="78" t="s">
        <v>110</v>
      </c>
      <c r="B23" s="78" t="s">
        <v>29</v>
      </c>
      <c r="C23" s="78" t="s">
        <v>110</v>
      </c>
      <c r="D23" s="78" t="s">
        <v>111</v>
      </c>
      <c r="E23" s="78"/>
      <c r="F23" s="92">
        <v>16</v>
      </c>
      <c r="G23" s="92">
        <v>12288</v>
      </c>
      <c r="H23" s="92">
        <v>1</v>
      </c>
      <c r="I23" s="92">
        <v>2</v>
      </c>
      <c r="J23" s="78" t="s">
        <v>32</v>
      </c>
      <c r="K23" s="78" t="s">
        <v>33</v>
      </c>
      <c r="L23" s="92">
        <v>353892</v>
      </c>
      <c r="M23" s="92">
        <v>235030</v>
      </c>
      <c r="N23" s="92">
        <v>152894</v>
      </c>
      <c r="O23" s="78" t="s">
        <v>34</v>
      </c>
      <c r="P23" s="92">
        <v>0</v>
      </c>
      <c r="Q23" s="92">
        <v>10000</v>
      </c>
      <c r="R23" s="78" t="s">
        <v>34</v>
      </c>
      <c r="S23" s="78" t="s">
        <v>34</v>
      </c>
      <c r="T23" s="78" t="s">
        <v>35</v>
      </c>
      <c r="U23" s="92">
        <v>11</v>
      </c>
      <c r="V23" s="78" t="s">
        <v>36</v>
      </c>
      <c r="W23" s="78" t="s">
        <v>37</v>
      </c>
      <c r="X23" s="78" t="s">
        <v>112</v>
      </c>
      <c r="Y23" s="78" t="s">
        <v>39</v>
      </c>
      <c r="Z23" s="78" t="s">
        <v>40</v>
      </c>
      <c r="AA23" s="78" t="s">
        <v>113</v>
      </c>
      <c r="AB23" s="78" t="s">
        <v>42</v>
      </c>
    </row>
    <row r="24" spans="1:28">
      <c r="A24" s="78" t="s">
        <v>114</v>
      </c>
      <c r="B24" s="78" t="s">
        <v>29</v>
      </c>
      <c r="C24" s="78" t="s">
        <v>114</v>
      </c>
      <c r="D24" s="78"/>
      <c r="E24" s="78"/>
      <c r="F24" s="92">
        <v>8</v>
      </c>
      <c r="G24" s="92">
        <v>16384</v>
      </c>
      <c r="H24" s="92">
        <v>1</v>
      </c>
      <c r="I24" s="92">
        <v>3</v>
      </c>
      <c r="J24" s="78" t="s">
        <v>32</v>
      </c>
      <c r="K24" s="78" t="s">
        <v>33</v>
      </c>
      <c r="L24" s="92">
        <v>1638586</v>
      </c>
      <c r="M24" s="92">
        <v>1638586</v>
      </c>
      <c r="N24" s="92">
        <v>1622016</v>
      </c>
      <c r="O24" s="78" t="s">
        <v>34</v>
      </c>
      <c r="P24" s="92">
        <v>0</v>
      </c>
      <c r="Q24" s="92">
        <v>10000</v>
      </c>
      <c r="R24" s="78" t="s">
        <v>34</v>
      </c>
      <c r="S24" s="78" t="s">
        <v>34</v>
      </c>
      <c r="T24" s="78" t="s">
        <v>35</v>
      </c>
      <c r="U24" s="92">
        <v>8</v>
      </c>
      <c r="V24" s="78" t="s">
        <v>36</v>
      </c>
      <c r="W24" s="78" t="s">
        <v>37</v>
      </c>
      <c r="X24" s="78" t="s">
        <v>115</v>
      </c>
      <c r="Y24" s="78" t="s">
        <v>39</v>
      </c>
      <c r="Z24" s="78" t="s">
        <v>40</v>
      </c>
      <c r="AA24" s="78" t="s">
        <v>41</v>
      </c>
      <c r="AB24" s="78" t="s">
        <v>42</v>
      </c>
    </row>
    <row r="25" spans="1:28">
      <c r="A25" s="78" t="s">
        <v>116</v>
      </c>
      <c r="B25" s="78" t="s">
        <v>29</v>
      </c>
      <c r="C25" s="78" t="s">
        <v>116</v>
      </c>
      <c r="D25" s="78" t="s">
        <v>117</v>
      </c>
      <c r="E25" s="78"/>
      <c r="F25" s="92">
        <v>4</v>
      </c>
      <c r="G25" s="92">
        <v>16384</v>
      </c>
      <c r="H25" s="92">
        <v>1</v>
      </c>
      <c r="I25" s="92">
        <v>3</v>
      </c>
      <c r="J25" s="78" t="s">
        <v>32</v>
      </c>
      <c r="K25" s="78" t="s">
        <v>33</v>
      </c>
      <c r="L25" s="92">
        <v>1188007</v>
      </c>
      <c r="M25" s="92">
        <v>1188007</v>
      </c>
      <c r="N25" s="92">
        <v>1171456</v>
      </c>
      <c r="O25" s="78" t="s">
        <v>34</v>
      </c>
      <c r="P25" s="92">
        <v>0</v>
      </c>
      <c r="Q25" s="92">
        <v>10000</v>
      </c>
      <c r="R25" s="78" t="s">
        <v>34</v>
      </c>
      <c r="S25" s="78" t="s">
        <v>34</v>
      </c>
      <c r="T25" s="78" t="s">
        <v>35</v>
      </c>
      <c r="U25" s="92">
        <v>11</v>
      </c>
      <c r="V25" s="78" t="s">
        <v>36</v>
      </c>
      <c r="W25" s="78" t="s">
        <v>37</v>
      </c>
      <c r="X25" s="78" t="s">
        <v>49</v>
      </c>
      <c r="Y25" s="78" t="s">
        <v>39</v>
      </c>
      <c r="Z25" s="78" t="s">
        <v>40</v>
      </c>
      <c r="AA25" s="78" t="s">
        <v>95</v>
      </c>
      <c r="AB25" s="78" t="s">
        <v>42</v>
      </c>
    </row>
    <row r="26" spans="1:28">
      <c r="A26" s="78" t="s">
        <v>118</v>
      </c>
      <c r="B26" s="78" t="s">
        <v>29</v>
      </c>
      <c r="C26" s="78" t="s">
        <v>118</v>
      </c>
      <c r="D26" s="78" t="s">
        <v>119</v>
      </c>
      <c r="E26" s="78"/>
      <c r="F26" s="92">
        <v>4</v>
      </c>
      <c r="G26" s="92">
        <v>8192</v>
      </c>
      <c r="H26" s="92">
        <v>1</v>
      </c>
      <c r="I26" s="92">
        <v>3</v>
      </c>
      <c r="J26" s="78" t="s">
        <v>32</v>
      </c>
      <c r="K26" s="78" t="s">
        <v>33</v>
      </c>
      <c r="L26" s="92">
        <v>643239</v>
      </c>
      <c r="M26" s="92">
        <v>8586</v>
      </c>
      <c r="N26" s="92">
        <v>227</v>
      </c>
      <c r="O26" s="78" t="s">
        <v>34</v>
      </c>
      <c r="P26" s="92">
        <v>0</v>
      </c>
      <c r="Q26" s="92">
        <v>10000</v>
      </c>
      <c r="R26" s="78" t="s">
        <v>34</v>
      </c>
      <c r="S26" s="78" t="s">
        <v>34</v>
      </c>
      <c r="T26" s="78" t="s">
        <v>35</v>
      </c>
      <c r="U26" s="92">
        <v>11</v>
      </c>
      <c r="V26" s="78" t="s">
        <v>36</v>
      </c>
      <c r="W26" s="78" t="s">
        <v>37</v>
      </c>
      <c r="X26" s="78" t="s">
        <v>49</v>
      </c>
      <c r="Y26" s="78" t="s">
        <v>39</v>
      </c>
      <c r="Z26" s="78" t="s">
        <v>40</v>
      </c>
      <c r="AA26" s="78" t="s">
        <v>50</v>
      </c>
      <c r="AB26" s="78" t="s">
        <v>42</v>
      </c>
    </row>
    <row r="27" spans="1:28">
      <c r="A27" s="78" t="s">
        <v>120</v>
      </c>
      <c r="B27" s="78" t="s">
        <v>29</v>
      </c>
      <c r="C27" s="78" t="s">
        <v>121</v>
      </c>
      <c r="D27" s="78" t="s">
        <v>122</v>
      </c>
      <c r="E27" s="78"/>
      <c r="F27" s="92">
        <v>16</v>
      </c>
      <c r="G27" s="92">
        <v>32768</v>
      </c>
      <c r="H27" s="92">
        <v>1</v>
      </c>
      <c r="I27" s="92">
        <v>5</v>
      </c>
      <c r="J27" s="78" t="s">
        <v>32</v>
      </c>
      <c r="K27" s="78" t="s">
        <v>33</v>
      </c>
      <c r="L27" s="92">
        <v>43126986</v>
      </c>
      <c r="M27" s="92">
        <v>43099709</v>
      </c>
      <c r="N27" s="92">
        <v>43066739</v>
      </c>
      <c r="O27" s="78" t="s">
        <v>34</v>
      </c>
      <c r="P27" s="92">
        <v>0</v>
      </c>
      <c r="Q27" s="92">
        <v>10000</v>
      </c>
      <c r="R27" s="78" t="s">
        <v>34</v>
      </c>
      <c r="S27" s="78" t="s">
        <v>34</v>
      </c>
      <c r="T27" s="78" t="s">
        <v>35</v>
      </c>
      <c r="U27" s="92">
        <v>11</v>
      </c>
      <c r="V27" s="78" t="s">
        <v>36</v>
      </c>
      <c r="W27" s="78" t="s">
        <v>37</v>
      </c>
      <c r="X27" s="78" t="s">
        <v>49</v>
      </c>
      <c r="Y27" s="78" t="s">
        <v>39</v>
      </c>
      <c r="Z27" s="78" t="s">
        <v>40</v>
      </c>
      <c r="AA27" s="78" t="s">
        <v>50</v>
      </c>
      <c r="AB27" s="78" t="s">
        <v>123</v>
      </c>
    </row>
    <row r="28" spans="1:28">
      <c r="A28" s="78" t="s">
        <v>124</v>
      </c>
      <c r="B28" s="78" t="s">
        <v>29</v>
      </c>
      <c r="C28" s="78" t="s">
        <v>125</v>
      </c>
      <c r="D28" s="78" t="s">
        <v>126</v>
      </c>
      <c r="E28" s="78"/>
      <c r="F28" s="92">
        <v>16</v>
      </c>
      <c r="G28" s="92">
        <v>32768</v>
      </c>
      <c r="H28" s="92">
        <v>1</v>
      </c>
      <c r="I28" s="92">
        <v>1</v>
      </c>
      <c r="J28" s="78" t="s">
        <v>32</v>
      </c>
      <c r="K28" s="78" t="s">
        <v>33</v>
      </c>
      <c r="L28" s="92">
        <v>170211</v>
      </c>
      <c r="M28" s="92">
        <v>68900</v>
      </c>
      <c r="N28" s="92">
        <v>35890</v>
      </c>
      <c r="O28" s="78" t="s">
        <v>34</v>
      </c>
      <c r="P28" s="92">
        <v>0</v>
      </c>
      <c r="Q28" s="92">
        <v>10000</v>
      </c>
      <c r="R28" s="78" t="s">
        <v>34</v>
      </c>
      <c r="S28" s="78" t="s">
        <v>34</v>
      </c>
      <c r="T28" s="78" t="s">
        <v>35</v>
      </c>
      <c r="U28" s="92">
        <v>11</v>
      </c>
      <c r="V28" s="78" t="s">
        <v>36</v>
      </c>
      <c r="W28" s="78" t="s">
        <v>37</v>
      </c>
      <c r="X28" s="78" t="s">
        <v>49</v>
      </c>
      <c r="Y28" s="78" t="s">
        <v>39</v>
      </c>
      <c r="Z28" s="78" t="s">
        <v>40</v>
      </c>
      <c r="AA28" s="78" t="s">
        <v>46</v>
      </c>
      <c r="AB28" s="78" t="s">
        <v>123</v>
      </c>
    </row>
    <row r="29" spans="1:28">
      <c r="A29" s="78" t="s">
        <v>127</v>
      </c>
      <c r="B29" s="78" t="s">
        <v>29</v>
      </c>
      <c r="C29" s="78" t="s">
        <v>128</v>
      </c>
      <c r="D29" s="78"/>
      <c r="E29" s="78"/>
      <c r="F29" s="92">
        <v>16</v>
      </c>
      <c r="G29" s="92">
        <v>32768</v>
      </c>
      <c r="H29" s="92">
        <v>1</v>
      </c>
      <c r="I29" s="92">
        <v>1</v>
      </c>
      <c r="J29" s="78" t="s">
        <v>32</v>
      </c>
      <c r="K29" s="78" t="s">
        <v>33</v>
      </c>
      <c r="L29" s="92">
        <v>135368</v>
      </c>
      <c r="M29" s="92">
        <v>70978</v>
      </c>
      <c r="N29" s="92">
        <v>38010</v>
      </c>
      <c r="O29" s="78" t="s">
        <v>34</v>
      </c>
      <c r="P29" s="92">
        <v>0</v>
      </c>
      <c r="Q29" s="92">
        <v>10000</v>
      </c>
      <c r="R29" s="78" t="s">
        <v>34</v>
      </c>
      <c r="S29" s="78" t="s">
        <v>34</v>
      </c>
      <c r="T29" s="78" t="s">
        <v>35</v>
      </c>
      <c r="U29" s="92">
        <v>11</v>
      </c>
      <c r="V29" s="78" t="s">
        <v>36</v>
      </c>
      <c r="W29" s="78" t="s">
        <v>37</v>
      </c>
      <c r="X29" s="78" t="s">
        <v>49</v>
      </c>
      <c r="Y29" s="78" t="s">
        <v>39</v>
      </c>
      <c r="Z29" s="78" t="s">
        <v>40</v>
      </c>
      <c r="AA29" s="78" t="s">
        <v>41</v>
      </c>
      <c r="AB29" s="78" t="s">
        <v>123</v>
      </c>
    </row>
    <row r="30" spans="1:28">
      <c r="A30" s="78" t="s">
        <v>129</v>
      </c>
      <c r="B30" s="78" t="s">
        <v>29</v>
      </c>
      <c r="C30" s="78" t="s">
        <v>129</v>
      </c>
      <c r="D30" s="78" t="s">
        <v>130</v>
      </c>
      <c r="E30" s="78"/>
      <c r="F30" s="92">
        <v>8</v>
      </c>
      <c r="G30" s="92">
        <v>32768</v>
      </c>
      <c r="H30" s="92">
        <v>1</v>
      </c>
      <c r="I30" s="92">
        <v>3</v>
      </c>
      <c r="J30" s="78" t="s">
        <v>32</v>
      </c>
      <c r="K30" s="78" t="s">
        <v>33</v>
      </c>
      <c r="L30" s="92">
        <v>1204394</v>
      </c>
      <c r="M30" s="92">
        <v>33167</v>
      </c>
      <c r="N30" s="92">
        <v>229</v>
      </c>
      <c r="O30" s="78" t="s">
        <v>34</v>
      </c>
      <c r="P30" s="92">
        <v>0</v>
      </c>
      <c r="Q30" s="92">
        <v>10000</v>
      </c>
      <c r="R30" s="78" t="s">
        <v>34</v>
      </c>
      <c r="S30" s="78" t="s">
        <v>34</v>
      </c>
      <c r="T30" s="78" t="s">
        <v>35</v>
      </c>
      <c r="U30" s="92">
        <v>11</v>
      </c>
      <c r="V30" s="78" t="s">
        <v>36</v>
      </c>
      <c r="W30" s="78" t="s">
        <v>37</v>
      </c>
      <c r="X30" s="78" t="s">
        <v>49</v>
      </c>
      <c r="Y30" s="78" t="s">
        <v>39</v>
      </c>
      <c r="Z30" s="78" t="s">
        <v>40</v>
      </c>
      <c r="AA30" s="78" t="s">
        <v>41</v>
      </c>
      <c r="AB30" s="78" t="s">
        <v>42</v>
      </c>
    </row>
    <row r="31" spans="1:28">
      <c r="A31" s="78" t="s">
        <v>131</v>
      </c>
      <c r="B31" s="78" t="s">
        <v>29</v>
      </c>
      <c r="C31" s="78" t="s">
        <v>132</v>
      </c>
      <c r="D31" s="78" t="s">
        <v>133</v>
      </c>
      <c r="E31" s="78"/>
      <c r="F31" s="92">
        <v>8</v>
      </c>
      <c r="G31" s="92">
        <v>24576</v>
      </c>
      <c r="H31" s="92">
        <v>1</v>
      </c>
      <c r="I31" s="92">
        <v>3</v>
      </c>
      <c r="J31" s="78" t="s">
        <v>32</v>
      </c>
      <c r="K31" s="78" t="s">
        <v>33</v>
      </c>
      <c r="L31" s="92">
        <v>1420279</v>
      </c>
      <c r="M31" s="92">
        <v>1306121</v>
      </c>
      <c r="N31" s="92">
        <v>1281373</v>
      </c>
      <c r="O31" s="78" t="s">
        <v>34</v>
      </c>
      <c r="P31" s="92">
        <v>0</v>
      </c>
      <c r="Q31" s="92">
        <v>10000</v>
      </c>
      <c r="R31" s="78" t="s">
        <v>34</v>
      </c>
      <c r="S31" s="78" t="s">
        <v>34</v>
      </c>
      <c r="T31" s="78" t="s">
        <v>35</v>
      </c>
      <c r="U31" s="92">
        <v>11</v>
      </c>
      <c r="V31" s="78" t="s">
        <v>36</v>
      </c>
      <c r="W31" s="78" t="s">
        <v>37</v>
      </c>
      <c r="X31" s="78" t="s">
        <v>49</v>
      </c>
      <c r="Y31" s="78" t="s">
        <v>39</v>
      </c>
      <c r="Z31" s="78" t="s">
        <v>40</v>
      </c>
      <c r="AA31" s="78" t="s">
        <v>41</v>
      </c>
      <c r="AB31" s="78" t="s">
        <v>42</v>
      </c>
    </row>
    <row r="32" spans="1:28">
      <c r="A32" s="78" t="s">
        <v>134</v>
      </c>
      <c r="B32" s="78" t="s">
        <v>29</v>
      </c>
      <c r="C32" s="78" t="s">
        <v>134</v>
      </c>
      <c r="D32" s="78" t="s">
        <v>135</v>
      </c>
      <c r="E32" s="78"/>
      <c r="F32" s="92">
        <v>8</v>
      </c>
      <c r="G32" s="92">
        <v>16384</v>
      </c>
      <c r="H32" s="92">
        <v>1</v>
      </c>
      <c r="I32" s="92">
        <v>3</v>
      </c>
      <c r="J32" s="78" t="s">
        <v>32</v>
      </c>
      <c r="K32" s="78" t="s">
        <v>33</v>
      </c>
      <c r="L32" s="92">
        <v>1188011</v>
      </c>
      <c r="M32" s="92">
        <v>16944</v>
      </c>
      <c r="N32" s="92">
        <v>389</v>
      </c>
      <c r="O32" s="78" t="s">
        <v>34</v>
      </c>
      <c r="P32" s="92">
        <v>0</v>
      </c>
      <c r="Q32" s="92">
        <v>10000</v>
      </c>
      <c r="R32" s="78" t="s">
        <v>34</v>
      </c>
      <c r="S32" s="78" t="s">
        <v>34</v>
      </c>
      <c r="T32" s="78" t="s">
        <v>35</v>
      </c>
      <c r="U32" s="92">
        <v>11</v>
      </c>
      <c r="V32" s="78" t="s">
        <v>36</v>
      </c>
      <c r="W32" s="78" t="s">
        <v>37</v>
      </c>
      <c r="X32" s="78" t="s">
        <v>49</v>
      </c>
      <c r="Y32" s="78" t="s">
        <v>39</v>
      </c>
      <c r="Z32" s="78" t="s">
        <v>40</v>
      </c>
      <c r="AA32" s="78" t="s">
        <v>50</v>
      </c>
      <c r="AB32" s="78" t="s">
        <v>42</v>
      </c>
    </row>
    <row r="33" spans="1:28">
      <c r="A33" s="78" t="s">
        <v>136</v>
      </c>
      <c r="B33" s="78" t="s">
        <v>29</v>
      </c>
      <c r="C33" s="78" t="s">
        <v>137</v>
      </c>
      <c r="D33" s="78" t="s">
        <v>138</v>
      </c>
      <c r="E33" s="78"/>
      <c r="F33" s="92">
        <v>8</v>
      </c>
      <c r="G33" s="92">
        <v>32768</v>
      </c>
      <c r="H33" s="92">
        <v>1</v>
      </c>
      <c r="I33" s="92">
        <v>14</v>
      </c>
      <c r="J33" s="78" t="s">
        <v>32</v>
      </c>
      <c r="K33" s="78" t="s">
        <v>33</v>
      </c>
      <c r="L33" s="92">
        <v>142067912</v>
      </c>
      <c r="M33" s="92">
        <v>142067789</v>
      </c>
      <c r="N33" s="92">
        <v>142034821</v>
      </c>
      <c r="O33" s="78" t="s">
        <v>34</v>
      </c>
      <c r="P33" s="92">
        <v>0</v>
      </c>
      <c r="Q33" s="92">
        <v>10000</v>
      </c>
      <c r="R33" s="78" t="s">
        <v>34</v>
      </c>
      <c r="S33" s="78" t="s">
        <v>34</v>
      </c>
      <c r="T33" s="78" t="s">
        <v>35</v>
      </c>
      <c r="U33" s="92">
        <v>10</v>
      </c>
      <c r="V33" s="78" t="s">
        <v>36</v>
      </c>
      <c r="W33" s="78" t="s">
        <v>37</v>
      </c>
      <c r="X33" s="78" t="s">
        <v>38</v>
      </c>
      <c r="Y33" s="78" t="s">
        <v>39</v>
      </c>
      <c r="Z33" s="78" t="s">
        <v>40</v>
      </c>
      <c r="AA33" s="78" t="s">
        <v>95</v>
      </c>
      <c r="AB33" s="78" t="s">
        <v>123</v>
      </c>
    </row>
    <row r="34" spans="1:28">
      <c r="A34" s="78" t="s">
        <v>139</v>
      </c>
      <c r="B34" s="78" t="s">
        <v>29</v>
      </c>
      <c r="C34" s="78" t="s">
        <v>140</v>
      </c>
      <c r="D34" s="78" t="s">
        <v>141</v>
      </c>
      <c r="E34" s="78"/>
      <c r="F34" s="92">
        <v>12</v>
      </c>
      <c r="G34" s="92">
        <v>24576</v>
      </c>
      <c r="H34" s="92">
        <v>1</v>
      </c>
      <c r="I34" s="92">
        <v>2</v>
      </c>
      <c r="J34" s="78" t="s">
        <v>32</v>
      </c>
      <c r="K34" s="78" t="s">
        <v>33</v>
      </c>
      <c r="L34" s="92">
        <v>280821</v>
      </c>
      <c r="M34" s="92">
        <v>280821</v>
      </c>
      <c r="N34" s="92">
        <v>256000</v>
      </c>
      <c r="O34" s="78" t="s">
        <v>34</v>
      </c>
      <c r="P34" s="92">
        <v>0</v>
      </c>
      <c r="Q34" s="92">
        <v>10000</v>
      </c>
      <c r="R34" s="78" t="s">
        <v>34</v>
      </c>
      <c r="S34" s="78" t="s">
        <v>34</v>
      </c>
      <c r="T34" s="78" t="s">
        <v>35</v>
      </c>
      <c r="U34" s="92">
        <v>11</v>
      </c>
      <c r="V34" s="78" t="s">
        <v>36</v>
      </c>
      <c r="W34" s="78" t="s">
        <v>37</v>
      </c>
      <c r="X34" s="78" t="s">
        <v>38</v>
      </c>
      <c r="Y34" s="78" t="s">
        <v>39</v>
      </c>
      <c r="Z34" s="78" t="s">
        <v>40</v>
      </c>
      <c r="AA34" s="78" t="s">
        <v>113</v>
      </c>
      <c r="AB34" s="78" t="s">
        <v>142</v>
      </c>
    </row>
    <row r="35" spans="1:28">
      <c r="A35" s="78" t="s">
        <v>143</v>
      </c>
      <c r="B35" s="78" t="s">
        <v>29</v>
      </c>
      <c r="C35" s="78" t="s">
        <v>143</v>
      </c>
      <c r="D35" s="78" t="s">
        <v>144</v>
      </c>
      <c r="E35" s="78"/>
      <c r="F35" s="92">
        <v>4</v>
      </c>
      <c r="G35" s="92">
        <v>8192</v>
      </c>
      <c r="H35" s="92">
        <v>1</v>
      </c>
      <c r="I35" s="92">
        <v>4</v>
      </c>
      <c r="J35" s="78" t="s">
        <v>32</v>
      </c>
      <c r="K35" s="78" t="s">
        <v>33</v>
      </c>
      <c r="L35" s="92">
        <v>250025</v>
      </c>
      <c r="M35" s="92">
        <v>250025</v>
      </c>
      <c r="N35" s="92">
        <v>241664</v>
      </c>
      <c r="O35" s="78" t="s">
        <v>34</v>
      </c>
      <c r="P35" s="92">
        <v>0</v>
      </c>
      <c r="Q35" s="92">
        <v>10000</v>
      </c>
      <c r="R35" s="78" t="s">
        <v>34</v>
      </c>
      <c r="S35" s="78" t="s">
        <v>34</v>
      </c>
      <c r="T35" s="78" t="s">
        <v>35</v>
      </c>
      <c r="U35" s="92">
        <v>11</v>
      </c>
      <c r="V35" s="78" t="s">
        <v>36</v>
      </c>
      <c r="W35" s="78" t="s">
        <v>37</v>
      </c>
      <c r="X35" s="78" t="s">
        <v>38</v>
      </c>
      <c r="Y35" s="78" t="s">
        <v>39</v>
      </c>
      <c r="Z35" s="78" t="s">
        <v>40</v>
      </c>
      <c r="AA35" s="78" t="s">
        <v>99</v>
      </c>
      <c r="AB35" s="78" t="s">
        <v>42</v>
      </c>
    </row>
    <row r="36" spans="1:28">
      <c r="A36" s="78" t="s">
        <v>145</v>
      </c>
      <c r="B36" s="78" t="s">
        <v>29</v>
      </c>
      <c r="C36" s="78" t="s">
        <v>145</v>
      </c>
      <c r="D36" s="78" t="s">
        <v>146</v>
      </c>
      <c r="E36" s="78"/>
      <c r="F36" s="92">
        <v>8</v>
      </c>
      <c r="G36" s="92">
        <v>6144</v>
      </c>
      <c r="H36" s="92">
        <v>1</v>
      </c>
      <c r="I36" s="92">
        <v>3</v>
      </c>
      <c r="J36" s="78" t="s">
        <v>32</v>
      </c>
      <c r="K36" s="78" t="s">
        <v>33</v>
      </c>
      <c r="L36" s="92">
        <v>1177771</v>
      </c>
      <c r="M36" s="92">
        <v>6544</v>
      </c>
      <c r="N36" s="92">
        <v>229</v>
      </c>
      <c r="O36" s="78" t="s">
        <v>34</v>
      </c>
      <c r="P36" s="92">
        <v>0</v>
      </c>
      <c r="Q36" s="92">
        <v>10000</v>
      </c>
      <c r="R36" s="78" t="s">
        <v>34</v>
      </c>
      <c r="S36" s="78" t="s">
        <v>34</v>
      </c>
      <c r="T36" s="78" t="s">
        <v>35</v>
      </c>
      <c r="U36" s="92">
        <v>11</v>
      </c>
      <c r="V36" s="78" t="s">
        <v>36</v>
      </c>
      <c r="W36" s="78" t="s">
        <v>37</v>
      </c>
      <c r="X36" s="78" t="s">
        <v>38</v>
      </c>
      <c r="Y36" s="78" t="s">
        <v>39</v>
      </c>
      <c r="Z36" s="78" t="s">
        <v>40</v>
      </c>
      <c r="AA36" s="78" t="s">
        <v>99</v>
      </c>
      <c r="AB36" s="78" t="s">
        <v>42</v>
      </c>
    </row>
    <row r="37" spans="1:28">
      <c r="A37" s="78" t="s">
        <v>147</v>
      </c>
      <c r="B37" s="78" t="s">
        <v>29</v>
      </c>
      <c r="C37" s="78" t="s">
        <v>147</v>
      </c>
      <c r="D37" s="78" t="s">
        <v>148</v>
      </c>
      <c r="E37" s="78"/>
      <c r="F37" s="92">
        <v>32</v>
      </c>
      <c r="G37" s="92">
        <v>102400</v>
      </c>
      <c r="H37" s="92">
        <v>1</v>
      </c>
      <c r="I37" s="92">
        <v>4</v>
      </c>
      <c r="J37" s="78" t="s">
        <v>32</v>
      </c>
      <c r="K37" s="78" t="s">
        <v>33</v>
      </c>
      <c r="L37" s="92">
        <v>778440</v>
      </c>
      <c r="M37" s="92">
        <v>778440</v>
      </c>
      <c r="N37" s="92">
        <v>675840</v>
      </c>
      <c r="O37" s="78" t="s">
        <v>34</v>
      </c>
      <c r="P37" s="92">
        <v>0</v>
      </c>
      <c r="Q37" s="92">
        <v>10000</v>
      </c>
      <c r="R37" s="78" t="s">
        <v>34</v>
      </c>
      <c r="S37" s="78" t="s">
        <v>34</v>
      </c>
      <c r="T37" s="78" t="s">
        <v>35</v>
      </c>
      <c r="U37" s="92">
        <v>8</v>
      </c>
      <c r="V37" s="78" t="s">
        <v>36</v>
      </c>
      <c r="W37" s="78" t="s">
        <v>37</v>
      </c>
      <c r="X37" s="78" t="s">
        <v>149</v>
      </c>
      <c r="Y37" s="78" t="s">
        <v>39</v>
      </c>
      <c r="Z37" s="78" t="s">
        <v>40</v>
      </c>
      <c r="AA37" s="78" t="s">
        <v>50</v>
      </c>
      <c r="AB37" s="78" t="s">
        <v>42</v>
      </c>
    </row>
    <row r="38" spans="1:28">
      <c r="A38" s="78" t="s">
        <v>150</v>
      </c>
      <c r="B38" s="78" t="s">
        <v>29</v>
      </c>
      <c r="C38" s="78" t="s">
        <v>151</v>
      </c>
      <c r="D38" s="78" t="s">
        <v>152</v>
      </c>
      <c r="E38" s="78"/>
      <c r="F38" s="92">
        <v>8</v>
      </c>
      <c r="G38" s="92">
        <v>8192</v>
      </c>
      <c r="H38" s="92">
        <v>1</v>
      </c>
      <c r="I38" s="92">
        <v>3</v>
      </c>
      <c r="J38" s="78" t="s">
        <v>32</v>
      </c>
      <c r="K38" s="78" t="s">
        <v>33</v>
      </c>
      <c r="L38" s="92">
        <v>643244</v>
      </c>
      <c r="M38" s="92">
        <v>643244</v>
      </c>
      <c r="N38" s="92">
        <v>634880</v>
      </c>
      <c r="O38" s="78" t="s">
        <v>34</v>
      </c>
      <c r="P38" s="92">
        <v>0</v>
      </c>
      <c r="Q38" s="92">
        <v>10000</v>
      </c>
      <c r="R38" s="78" t="s">
        <v>34</v>
      </c>
      <c r="S38" s="78" t="s">
        <v>34</v>
      </c>
      <c r="T38" s="78" t="s">
        <v>35</v>
      </c>
      <c r="U38" s="92">
        <v>11</v>
      </c>
      <c r="V38" s="78" t="s">
        <v>36</v>
      </c>
      <c r="W38" s="78" t="s">
        <v>37</v>
      </c>
      <c r="X38" s="78" t="s">
        <v>38</v>
      </c>
      <c r="Y38" s="78" t="s">
        <v>39</v>
      </c>
      <c r="Z38" s="78" t="s">
        <v>40</v>
      </c>
      <c r="AA38" s="78" t="s">
        <v>46</v>
      </c>
      <c r="AB38" s="78" t="s">
        <v>42</v>
      </c>
    </row>
    <row r="39" spans="1:28">
      <c r="A39" s="78" t="s">
        <v>153</v>
      </c>
      <c r="B39" s="78" t="s">
        <v>29</v>
      </c>
      <c r="C39" s="78" t="s">
        <v>153</v>
      </c>
      <c r="D39" s="78" t="s">
        <v>154</v>
      </c>
      <c r="E39" s="78"/>
      <c r="F39" s="92">
        <v>1</v>
      </c>
      <c r="G39" s="92">
        <v>8192</v>
      </c>
      <c r="H39" s="92">
        <v>1</v>
      </c>
      <c r="I39" s="92">
        <v>3</v>
      </c>
      <c r="J39" s="78" t="s">
        <v>53</v>
      </c>
      <c r="K39" s="78" t="s">
        <v>33</v>
      </c>
      <c r="L39" s="92">
        <v>735396</v>
      </c>
      <c r="M39" s="92">
        <v>735396</v>
      </c>
      <c r="N39" s="92">
        <v>727040</v>
      </c>
      <c r="O39" s="78" t="s">
        <v>34</v>
      </c>
      <c r="P39" s="92">
        <v>0</v>
      </c>
      <c r="Q39" s="92">
        <v>10000</v>
      </c>
      <c r="R39" s="78" t="s">
        <v>34</v>
      </c>
      <c r="S39" s="78" t="s">
        <v>34</v>
      </c>
      <c r="T39" s="78" t="s">
        <v>35</v>
      </c>
      <c r="U39" s="92">
        <v>8</v>
      </c>
      <c r="V39" s="78" t="s">
        <v>36</v>
      </c>
      <c r="W39" s="78" t="s">
        <v>37</v>
      </c>
      <c r="X39" s="78" t="s">
        <v>38</v>
      </c>
      <c r="Y39" s="78" t="s">
        <v>39</v>
      </c>
      <c r="Z39" s="78" t="s">
        <v>40</v>
      </c>
      <c r="AA39" s="78" t="s">
        <v>46</v>
      </c>
      <c r="AB39" s="78" t="s">
        <v>42</v>
      </c>
    </row>
    <row r="40" spans="1:28">
      <c r="A40" s="78" t="s">
        <v>155</v>
      </c>
      <c r="B40" s="78" t="s">
        <v>29</v>
      </c>
      <c r="C40" s="78" t="s">
        <v>155</v>
      </c>
      <c r="D40" s="78"/>
      <c r="E40" s="78"/>
      <c r="F40" s="92">
        <v>1</v>
      </c>
      <c r="G40" s="92">
        <v>8192</v>
      </c>
      <c r="H40" s="92">
        <v>1</v>
      </c>
      <c r="I40" s="92">
        <v>3</v>
      </c>
      <c r="J40" s="78" t="s">
        <v>156</v>
      </c>
      <c r="K40" s="78" t="s">
        <v>157</v>
      </c>
      <c r="L40" s="92">
        <v>735412</v>
      </c>
      <c r="M40" s="92">
        <v>735412</v>
      </c>
      <c r="N40" s="92">
        <v>727040</v>
      </c>
      <c r="O40" s="78" t="s">
        <v>34</v>
      </c>
      <c r="P40" s="92">
        <v>0</v>
      </c>
      <c r="Q40" s="92">
        <v>10000</v>
      </c>
      <c r="R40" s="78" t="s">
        <v>34</v>
      </c>
      <c r="S40" s="78" t="s">
        <v>34</v>
      </c>
      <c r="T40" s="78" t="s">
        <v>35</v>
      </c>
      <c r="U40" s="92">
        <v>8</v>
      </c>
      <c r="V40" s="78" t="s">
        <v>36</v>
      </c>
      <c r="W40" s="78" t="s">
        <v>37</v>
      </c>
      <c r="X40" s="78"/>
      <c r="Y40" s="78" t="s">
        <v>39</v>
      </c>
      <c r="Z40" s="78" t="s">
        <v>40</v>
      </c>
      <c r="AA40" s="78" t="s">
        <v>158</v>
      </c>
      <c r="AB40" s="78" t="s">
        <v>42</v>
      </c>
    </row>
    <row r="41" spans="1:28">
      <c r="A41" s="78" t="s">
        <v>159</v>
      </c>
      <c r="B41" s="78" t="s">
        <v>29</v>
      </c>
      <c r="C41" s="78" t="s">
        <v>160</v>
      </c>
      <c r="D41" s="78" t="s">
        <v>161</v>
      </c>
      <c r="E41" s="78"/>
      <c r="F41" s="92">
        <v>4</v>
      </c>
      <c r="G41" s="92">
        <v>8192</v>
      </c>
      <c r="H41" s="92">
        <v>1</v>
      </c>
      <c r="I41" s="92">
        <v>7</v>
      </c>
      <c r="J41" s="78" t="s">
        <v>32</v>
      </c>
      <c r="K41" s="78" t="s">
        <v>33</v>
      </c>
      <c r="L41" s="92">
        <v>15982781</v>
      </c>
      <c r="M41" s="92">
        <v>15877711</v>
      </c>
      <c r="N41" s="92">
        <v>15869330</v>
      </c>
      <c r="O41" s="78" t="s">
        <v>34</v>
      </c>
      <c r="P41" s="92">
        <v>0</v>
      </c>
      <c r="Q41" s="92">
        <v>10000</v>
      </c>
      <c r="R41" s="78" t="s">
        <v>34</v>
      </c>
      <c r="S41" s="78" t="s">
        <v>34</v>
      </c>
      <c r="T41" s="78" t="s">
        <v>35</v>
      </c>
      <c r="U41" s="92">
        <v>11</v>
      </c>
      <c r="V41" s="78" t="s">
        <v>36</v>
      </c>
      <c r="W41" s="78" t="s">
        <v>37</v>
      </c>
      <c r="X41" s="78"/>
      <c r="Y41" s="78" t="s">
        <v>39</v>
      </c>
      <c r="Z41" s="78" t="s">
        <v>40</v>
      </c>
      <c r="AA41" s="78" t="s">
        <v>73</v>
      </c>
      <c r="AB41" s="78" t="s">
        <v>42</v>
      </c>
    </row>
    <row r="42" spans="1:28">
      <c r="A42" s="78" t="s">
        <v>162</v>
      </c>
      <c r="B42" s="78" t="s">
        <v>29</v>
      </c>
      <c r="C42" s="78" t="s">
        <v>163</v>
      </c>
      <c r="D42" s="78" t="s">
        <v>164</v>
      </c>
      <c r="E42" s="78"/>
      <c r="F42" s="92">
        <v>8</v>
      </c>
      <c r="G42" s="92">
        <v>16384</v>
      </c>
      <c r="H42" s="92">
        <v>1</v>
      </c>
      <c r="I42" s="92">
        <v>3</v>
      </c>
      <c r="J42" s="78" t="s">
        <v>32</v>
      </c>
      <c r="K42" s="78" t="s">
        <v>33</v>
      </c>
      <c r="L42" s="92">
        <v>2472149</v>
      </c>
      <c r="M42" s="92">
        <v>2472149</v>
      </c>
      <c r="N42" s="92">
        <v>2455552</v>
      </c>
      <c r="O42" s="78" t="s">
        <v>34</v>
      </c>
      <c r="P42" s="92">
        <v>0</v>
      </c>
      <c r="Q42" s="92">
        <v>10000</v>
      </c>
      <c r="R42" s="78" t="s">
        <v>34</v>
      </c>
      <c r="S42" s="78" t="s">
        <v>34</v>
      </c>
      <c r="T42" s="78" t="s">
        <v>35</v>
      </c>
      <c r="U42" s="92">
        <v>8</v>
      </c>
      <c r="V42" s="78" t="s">
        <v>36</v>
      </c>
      <c r="W42" s="78" t="s">
        <v>37</v>
      </c>
      <c r="X42" s="78" t="s">
        <v>165</v>
      </c>
      <c r="Y42" s="78" t="s">
        <v>39</v>
      </c>
      <c r="Z42" s="78" t="s">
        <v>40</v>
      </c>
      <c r="AA42" s="78" t="s">
        <v>73</v>
      </c>
      <c r="AB42" s="78" t="s">
        <v>166</v>
      </c>
    </row>
    <row r="43" spans="1:28">
      <c r="A43" s="78" t="s">
        <v>167</v>
      </c>
      <c r="B43" s="78" t="s">
        <v>29</v>
      </c>
      <c r="C43" s="78"/>
      <c r="D43" s="78"/>
      <c r="E43" s="78"/>
      <c r="F43" s="92">
        <v>1</v>
      </c>
      <c r="G43" s="92">
        <v>2048</v>
      </c>
      <c r="H43" s="92">
        <v>2</v>
      </c>
      <c r="I43" s="92">
        <v>1</v>
      </c>
      <c r="J43" s="78" t="s">
        <v>156</v>
      </c>
      <c r="K43" s="78" t="s">
        <v>157</v>
      </c>
      <c r="L43" s="92">
        <v>209116</v>
      </c>
      <c r="M43" s="92">
        <v>134093</v>
      </c>
      <c r="N43" s="92">
        <v>129777</v>
      </c>
      <c r="O43" s="78" t="s">
        <v>34</v>
      </c>
      <c r="P43" s="92">
        <v>0</v>
      </c>
      <c r="Q43" s="92">
        <v>10000</v>
      </c>
      <c r="R43" s="78" t="s">
        <v>34</v>
      </c>
      <c r="S43" s="78" t="s">
        <v>34</v>
      </c>
      <c r="T43" s="78" t="s">
        <v>35</v>
      </c>
      <c r="U43" s="92">
        <v>8</v>
      </c>
      <c r="V43" s="78" t="s">
        <v>36</v>
      </c>
      <c r="W43" s="78" t="s">
        <v>37</v>
      </c>
      <c r="X43" s="78"/>
      <c r="Y43" s="78" t="s">
        <v>39</v>
      </c>
      <c r="Z43" s="78" t="s">
        <v>40</v>
      </c>
      <c r="AA43" s="78" t="s">
        <v>168</v>
      </c>
      <c r="AB43" s="78" t="s">
        <v>166</v>
      </c>
    </row>
    <row r="44" spans="1:28">
      <c r="A44" s="78" t="s">
        <v>169</v>
      </c>
      <c r="B44" s="78" t="s">
        <v>29</v>
      </c>
      <c r="C44" s="78"/>
      <c r="D44" s="78" t="s">
        <v>170</v>
      </c>
      <c r="E44" s="78"/>
      <c r="F44" s="92">
        <v>1</v>
      </c>
      <c r="G44" s="92">
        <v>2048</v>
      </c>
      <c r="H44" s="92">
        <v>1</v>
      </c>
      <c r="I44" s="92">
        <v>1</v>
      </c>
      <c r="J44" s="78" t="s">
        <v>156</v>
      </c>
      <c r="K44" s="78" t="s">
        <v>157</v>
      </c>
      <c r="L44" s="92">
        <v>63670</v>
      </c>
      <c r="M44" s="92">
        <v>63670</v>
      </c>
      <c r="N44" s="92">
        <v>61440</v>
      </c>
      <c r="O44" s="78" t="s">
        <v>34</v>
      </c>
      <c r="P44" s="92">
        <v>0</v>
      </c>
      <c r="Q44" s="92">
        <v>10000</v>
      </c>
      <c r="R44" s="78" t="s">
        <v>34</v>
      </c>
      <c r="S44" s="78" t="s">
        <v>34</v>
      </c>
      <c r="T44" s="78" t="s">
        <v>35</v>
      </c>
      <c r="U44" s="92">
        <v>8</v>
      </c>
      <c r="V44" s="78" t="s">
        <v>36</v>
      </c>
      <c r="W44" s="78" t="s">
        <v>37</v>
      </c>
      <c r="X44" s="78"/>
      <c r="Y44" s="78" t="s">
        <v>39</v>
      </c>
      <c r="Z44" s="78" t="s">
        <v>40</v>
      </c>
      <c r="AA44" s="78" t="s">
        <v>168</v>
      </c>
      <c r="AB44" s="78" t="s">
        <v>171</v>
      </c>
    </row>
    <row r="45" spans="1:28">
      <c r="A45" s="78" t="s">
        <v>172</v>
      </c>
      <c r="B45" s="78" t="s">
        <v>173</v>
      </c>
      <c r="C45" s="78" t="s">
        <v>174</v>
      </c>
      <c r="D45" s="78"/>
      <c r="E45" s="78"/>
      <c r="F45" s="92">
        <v>2</v>
      </c>
      <c r="G45" s="92">
        <v>2048</v>
      </c>
      <c r="H45" s="92">
        <v>1</v>
      </c>
      <c r="I45" s="92">
        <v>3</v>
      </c>
      <c r="J45" s="78" t="s">
        <v>65</v>
      </c>
      <c r="K45" s="78" t="s">
        <v>61</v>
      </c>
      <c r="L45" s="92">
        <v>478451</v>
      </c>
      <c r="M45" s="92">
        <v>476239</v>
      </c>
      <c r="N45" s="92">
        <v>476160</v>
      </c>
      <c r="O45" s="78" t="s">
        <v>34</v>
      </c>
      <c r="P45" s="92">
        <v>0</v>
      </c>
      <c r="Q45" s="92">
        <v>10000</v>
      </c>
      <c r="R45" s="78" t="s">
        <v>34</v>
      </c>
      <c r="S45" s="78" t="s">
        <v>34</v>
      </c>
      <c r="T45" s="78" t="s">
        <v>35</v>
      </c>
      <c r="U45" s="92">
        <v>8</v>
      </c>
      <c r="V45" s="78" t="s">
        <v>36</v>
      </c>
      <c r="W45" s="78" t="s">
        <v>37</v>
      </c>
      <c r="X45" s="78"/>
      <c r="Y45" s="78" t="s">
        <v>39</v>
      </c>
      <c r="Z45" s="78" t="s">
        <v>40</v>
      </c>
      <c r="AA45" s="78" t="s">
        <v>62</v>
      </c>
      <c r="AB45" s="78" t="s">
        <v>42</v>
      </c>
    </row>
    <row r="46" spans="1:28">
      <c r="A46" s="78" t="s">
        <v>175</v>
      </c>
      <c r="B46" s="78" t="s">
        <v>29</v>
      </c>
      <c r="C46" s="78" t="s">
        <v>176</v>
      </c>
      <c r="D46" s="78" t="s">
        <v>177</v>
      </c>
      <c r="E46" s="78"/>
      <c r="F46" s="92">
        <v>1</v>
      </c>
      <c r="G46" s="92">
        <v>1024</v>
      </c>
      <c r="H46" s="92">
        <v>1</v>
      </c>
      <c r="I46" s="92">
        <v>2</v>
      </c>
      <c r="J46" s="78" t="s">
        <v>60</v>
      </c>
      <c r="K46" s="78" t="s">
        <v>61</v>
      </c>
      <c r="L46" s="92">
        <v>124067</v>
      </c>
      <c r="M46" s="92">
        <v>124067</v>
      </c>
      <c r="N46" s="92">
        <v>122880</v>
      </c>
      <c r="O46" s="78" t="s">
        <v>34</v>
      </c>
      <c r="P46" s="92">
        <v>0</v>
      </c>
      <c r="Q46" s="92">
        <v>10000</v>
      </c>
      <c r="R46" s="78" t="s">
        <v>34</v>
      </c>
      <c r="S46" s="78" t="s">
        <v>34</v>
      </c>
      <c r="T46" s="78" t="s">
        <v>35</v>
      </c>
      <c r="U46" s="92">
        <v>11</v>
      </c>
      <c r="V46" s="78" t="s">
        <v>36</v>
      </c>
      <c r="W46" s="78" t="s">
        <v>37</v>
      </c>
      <c r="X46" s="78"/>
      <c r="Y46" s="78" t="s">
        <v>39</v>
      </c>
      <c r="Z46" s="78" t="s">
        <v>40</v>
      </c>
      <c r="AA46" s="78" t="s">
        <v>62</v>
      </c>
      <c r="AB46" s="78" t="s">
        <v>42</v>
      </c>
    </row>
    <row r="47" spans="1:28">
      <c r="A47" s="78" t="s">
        <v>178</v>
      </c>
      <c r="B47" s="78" t="s">
        <v>29</v>
      </c>
      <c r="C47" s="78" t="s">
        <v>178</v>
      </c>
      <c r="D47" s="78" t="s">
        <v>179</v>
      </c>
      <c r="E47" s="78"/>
      <c r="F47" s="92">
        <v>2</v>
      </c>
      <c r="G47" s="92">
        <v>4096</v>
      </c>
      <c r="H47" s="92">
        <v>1</v>
      </c>
      <c r="I47" s="92">
        <v>4</v>
      </c>
      <c r="J47" s="78" t="s">
        <v>60</v>
      </c>
      <c r="K47" s="78" t="s">
        <v>61</v>
      </c>
      <c r="L47" s="92">
        <v>495786</v>
      </c>
      <c r="M47" s="92">
        <v>454974</v>
      </c>
      <c r="N47" s="92">
        <v>442516</v>
      </c>
      <c r="O47" s="78" t="s">
        <v>34</v>
      </c>
      <c r="P47" s="92">
        <v>0</v>
      </c>
      <c r="Q47" s="92">
        <v>10000</v>
      </c>
      <c r="R47" s="78" t="s">
        <v>34</v>
      </c>
      <c r="S47" s="78" t="s">
        <v>34</v>
      </c>
      <c r="T47" s="78" t="s">
        <v>35</v>
      </c>
      <c r="U47" s="92">
        <v>11</v>
      </c>
      <c r="V47" s="78" t="s">
        <v>36</v>
      </c>
      <c r="W47" s="78" t="s">
        <v>37</v>
      </c>
      <c r="X47" s="78"/>
      <c r="Y47" s="78" t="s">
        <v>39</v>
      </c>
      <c r="Z47" s="78" t="s">
        <v>40</v>
      </c>
      <c r="AA47" s="78" t="s">
        <v>62</v>
      </c>
      <c r="AB47" s="78" t="s">
        <v>42</v>
      </c>
    </row>
    <row r="48" spans="1:28">
      <c r="A48" s="78" t="s">
        <v>180</v>
      </c>
      <c r="B48" s="78" t="s">
        <v>29</v>
      </c>
      <c r="C48" s="78" t="s">
        <v>180</v>
      </c>
      <c r="D48" s="78" t="s">
        <v>181</v>
      </c>
      <c r="E48" s="78"/>
      <c r="F48" s="92">
        <v>2</v>
      </c>
      <c r="G48" s="92">
        <v>4096</v>
      </c>
      <c r="H48" s="92">
        <v>1</v>
      </c>
      <c r="I48" s="92">
        <v>4</v>
      </c>
      <c r="J48" s="78" t="s">
        <v>91</v>
      </c>
      <c r="K48" s="78" t="s">
        <v>61</v>
      </c>
      <c r="L48" s="92">
        <v>245925</v>
      </c>
      <c r="M48" s="92">
        <v>245925</v>
      </c>
      <c r="N48" s="92">
        <v>241664</v>
      </c>
      <c r="O48" s="78" t="s">
        <v>34</v>
      </c>
      <c r="P48" s="92">
        <v>0</v>
      </c>
      <c r="Q48" s="92">
        <v>10000</v>
      </c>
      <c r="R48" s="78" t="s">
        <v>34</v>
      </c>
      <c r="S48" s="78" t="s">
        <v>34</v>
      </c>
      <c r="T48" s="78" t="s">
        <v>35</v>
      </c>
      <c r="U48" s="92">
        <v>11</v>
      </c>
      <c r="V48" s="78" t="s">
        <v>36</v>
      </c>
      <c r="W48" s="78" t="s">
        <v>37</v>
      </c>
      <c r="X48" s="78"/>
      <c r="Y48" s="78" t="s">
        <v>39</v>
      </c>
      <c r="Z48" s="78" t="s">
        <v>40</v>
      </c>
      <c r="AA48" s="78" t="s">
        <v>62</v>
      </c>
      <c r="AB48" s="78" t="s">
        <v>42</v>
      </c>
    </row>
    <row r="49" spans="1:28">
      <c r="A49" s="78" t="s">
        <v>182</v>
      </c>
      <c r="B49" s="78" t="s">
        <v>29</v>
      </c>
      <c r="C49" s="78"/>
      <c r="D49" s="78"/>
      <c r="E49" s="78"/>
      <c r="F49" s="92">
        <v>8</v>
      </c>
      <c r="G49" s="92">
        <v>12288</v>
      </c>
      <c r="H49" s="92">
        <v>1</v>
      </c>
      <c r="I49" s="92">
        <v>2</v>
      </c>
      <c r="J49" s="78" t="s">
        <v>32</v>
      </c>
      <c r="K49" s="78" t="s">
        <v>33</v>
      </c>
      <c r="L49" s="92">
        <v>585902</v>
      </c>
      <c r="M49" s="92">
        <v>585902</v>
      </c>
      <c r="N49" s="92">
        <v>573440</v>
      </c>
      <c r="O49" s="78" t="s">
        <v>34</v>
      </c>
      <c r="P49" s="92">
        <v>0</v>
      </c>
      <c r="Q49" s="92">
        <v>10000</v>
      </c>
      <c r="R49" s="78" t="s">
        <v>34</v>
      </c>
      <c r="S49" s="78" t="s">
        <v>34</v>
      </c>
      <c r="T49" s="78" t="s">
        <v>35</v>
      </c>
      <c r="U49" s="92">
        <v>8</v>
      </c>
      <c r="V49" s="78" t="s">
        <v>36</v>
      </c>
      <c r="W49" s="78" t="s">
        <v>37</v>
      </c>
      <c r="X49" s="78" t="s">
        <v>183</v>
      </c>
      <c r="Y49" s="78" t="s">
        <v>39</v>
      </c>
      <c r="Z49" s="78" t="s">
        <v>40</v>
      </c>
      <c r="AA49" s="78" t="s">
        <v>41</v>
      </c>
      <c r="AB49" s="78" t="s">
        <v>171</v>
      </c>
    </row>
    <row r="50" spans="1:28">
      <c r="A50" s="78" t="s">
        <v>184</v>
      </c>
      <c r="B50" s="78" t="s">
        <v>29</v>
      </c>
      <c r="C50" s="78"/>
      <c r="D50" s="78"/>
      <c r="E50" s="78"/>
      <c r="F50" s="92">
        <v>2</v>
      </c>
      <c r="G50" s="92">
        <v>4096</v>
      </c>
      <c r="H50" s="92">
        <v>1</v>
      </c>
      <c r="I50" s="92">
        <v>3</v>
      </c>
      <c r="J50" s="78" t="s">
        <v>53</v>
      </c>
      <c r="K50" s="78" t="s">
        <v>33</v>
      </c>
      <c r="L50" s="92">
        <v>229539</v>
      </c>
      <c r="M50" s="92">
        <v>225280</v>
      </c>
      <c r="N50" s="92">
        <v>225280</v>
      </c>
      <c r="O50" s="78" t="s">
        <v>34</v>
      </c>
      <c r="P50" s="92">
        <v>0</v>
      </c>
      <c r="Q50" s="92">
        <v>10000</v>
      </c>
      <c r="R50" s="78" t="s">
        <v>34</v>
      </c>
      <c r="S50" s="78" t="s">
        <v>34</v>
      </c>
      <c r="T50" s="78" t="s">
        <v>35</v>
      </c>
      <c r="U50" s="92">
        <v>11</v>
      </c>
      <c r="V50" s="78" t="s">
        <v>36</v>
      </c>
      <c r="W50" s="78" t="s">
        <v>37</v>
      </c>
      <c r="X50" s="78"/>
      <c r="Y50" s="78" t="s">
        <v>39</v>
      </c>
      <c r="Z50" s="78" t="s">
        <v>40</v>
      </c>
      <c r="AA50" s="78" t="s">
        <v>46</v>
      </c>
      <c r="AB50" s="78" t="s">
        <v>42</v>
      </c>
    </row>
    <row r="51" spans="1:28">
      <c r="A51" s="78" t="s">
        <v>185</v>
      </c>
      <c r="B51" s="78" t="s">
        <v>29</v>
      </c>
      <c r="C51" s="78"/>
      <c r="D51" s="78"/>
      <c r="E51" s="78"/>
      <c r="F51" s="92">
        <v>2</v>
      </c>
      <c r="G51" s="92">
        <v>4096</v>
      </c>
      <c r="H51" s="92">
        <v>1</v>
      </c>
      <c r="I51" s="92">
        <v>3</v>
      </c>
      <c r="J51" s="78" t="s">
        <v>32</v>
      </c>
      <c r="K51" s="78" t="s">
        <v>33</v>
      </c>
      <c r="L51" s="92">
        <v>229539</v>
      </c>
      <c r="M51" s="92">
        <v>225280</v>
      </c>
      <c r="N51" s="92">
        <v>225280</v>
      </c>
      <c r="O51" s="78" t="s">
        <v>34</v>
      </c>
      <c r="P51" s="92">
        <v>0</v>
      </c>
      <c r="Q51" s="92">
        <v>10000</v>
      </c>
      <c r="R51" s="78" t="s">
        <v>34</v>
      </c>
      <c r="S51" s="78" t="s">
        <v>34</v>
      </c>
      <c r="T51" s="78" t="s">
        <v>35</v>
      </c>
      <c r="U51" s="92">
        <v>11</v>
      </c>
      <c r="V51" s="78" t="s">
        <v>36</v>
      </c>
      <c r="W51" s="78" t="s">
        <v>37</v>
      </c>
      <c r="X51" s="78"/>
      <c r="Y51" s="78" t="s">
        <v>39</v>
      </c>
      <c r="Z51" s="78" t="s">
        <v>40</v>
      </c>
      <c r="AA51" s="78" t="s">
        <v>46</v>
      </c>
      <c r="AB51" s="78" t="s">
        <v>42</v>
      </c>
    </row>
    <row r="52" spans="1:28">
      <c r="A52" s="78" t="s">
        <v>186</v>
      </c>
      <c r="B52" s="78" t="s">
        <v>29</v>
      </c>
      <c r="C52" s="78" t="s">
        <v>186</v>
      </c>
      <c r="D52" s="78" t="s">
        <v>187</v>
      </c>
      <c r="E52" s="78"/>
      <c r="F52" s="92">
        <v>2</v>
      </c>
      <c r="G52" s="92">
        <v>4096</v>
      </c>
      <c r="H52" s="92">
        <v>1</v>
      </c>
      <c r="I52" s="92">
        <v>4</v>
      </c>
      <c r="J52" s="78" t="s">
        <v>60</v>
      </c>
      <c r="K52" s="78" t="s">
        <v>61</v>
      </c>
      <c r="L52" s="92">
        <v>245926</v>
      </c>
      <c r="M52" s="92">
        <v>245926</v>
      </c>
      <c r="N52" s="92">
        <v>241664</v>
      </c>
      <c r="O52" s="78" t="s">
        <v>34</v>
      </c>
      <c r="P52" s="92">
        <v>0</v>
      </c>
      <c r="Q52" s="92">
        <v>10000</v>
      </c>
      <c r="R52" s="78" t="s">
        <v>34</v>
      </c>
      <c r="S52" s="78" t="s">
        <v>34</v>
      </c>
      <c r="T52" s="78" t="s">
        <v>35</v>
      </c>
      <c r="U52" s="92">
        <v>11</v>
      </c>
      <c r="V52" s="78" t="s">
        <v>36</v>
      </c>
      <c r="W52" s="78" t="s">
        <v>37</v>
      </c>
      <c r="X52" s="78"/>
      <c r="Y52" s="78" t="s">
        <v>39</v>
      </c>
      <c r="Z52" s="78" t="s">
        <v>40</v>
      </c>
      <c r="AA52" s="78" t="s">
        <v>62</v>
      </c>
      <c r="AB52" s="78" t="s">
        <v>42</v>
      </c>
    </row>
    <row r="53" spans="1:28">
      <c r="A53" s="78" t="s">
        <v>188</v>
      </c>
      <c r="B53" s="78" t="s">
        <v>29</v>
      </c>
      <c r="C53" s="78" t="s">
        <v>188</v>
      </c>
      <c r="D53" s="78" t="s">
        <v>189</v>
      </c>
      <c r="E53" s="78"/>
      <c r="F53" s="92">
        <v>2</v>
      </c>
      <c r="G53" s="92">
        <v>8192</v>
      </c>
      <c r="H53" s="92">
        <v>1</v>
      </c>
      <c r="I53" s="92">
        <v>4</v>
      </c>
      <c r="J53" s="78" t="s">
        <v>65</v>
      </c>
      <c r="K53" s="78" t="s">
        <v>61</v>
      </c>
      <c r="L53" s="92">
        <v>659625</v>
      </c>
      <c r="M53" s="92">
        <v>659625</v>
      </c>
      <c r="N53" s="92">
        <v>651264</v>
      </c>
      <c r="O53" s="78" t="s">
        <v>34</v>
      </c>
      <c r="P53" s="92">
        <v>0</v>
      </c>
      <c r="Q53" s="92">
        <v>10000</v>
      </c>
      <c r="R53" s="78" t="s">
        <v>34</v>
      </c>
      <c r="S53" s="78" t="s">
        <v>34</v>
      </c>
      <c r="T53" s="78" t="s">
        <v>35</v>
      </c>
      <c r="U53" s="92">
        <v>11</v>
      </c>
      <c r="V53" s="78" t="s">
        <v>36</v>
      </c>
      <c r="W53" s="78" t="s">
        <v>37</v>
      </c>
      <c r="X53" s="78"/>
      <c r="Y53" s="78" t="s">
        <v>39</v>
      </c>
      <c r="Z53" s="78" t="s">
        <v>40</v>
      </c>
      <c r="AA53" s="78" t="s">
        <v>62</v>
      </c>
      <c r="AB53" s="78" t="s">
        <v>42</v>
      </c>
    </row>
    <row r="54" spans="1:28">
      <c r="A54" s="78" t="s">
        <v>190</v>
      </c>
      <c r="B54" s="78" t="s">
        <v>29</v>
      </c>
      <c r="C54" s="78" t="s">
        <v>190</v>
      </c>
      <c r="D54" s="78" t="s">
        <v>191</v>
      </c>
      <c r="E54" s="78"/>
      <c r="F54" s="92">
        <v>2</v>
      </c>
      <c r="G54" s="92">
        <v>4096</v>
      </c>
      <c r="H54" s="92">
        <v>1</v>
      </c>
      <c r="I54" s="92">
        <v>4</v>
      </c>
      <c r="J54" s="78" t="s">
        <v>91</v>
      </c>
      <c r="K54" s="78" t="s">
        <v>61</v>
      </c>
      <c r="L54" s="92">
        <v>245925</v>
      </c>
      <c r="M54" s="92">
        <v>245925</v>
      </c>
      <c r="N54" s="92">
        <v>241664</v>
      </c>
      <c r="O54" s="78" t="s">
        <v>34</v>
      </c>
      <c r="P54" s="92">
        <v>0</v>
      </c>
      <c r="Q54" s="92">
        <v>10000</v>
      </c>
      <c r="R54" s="78" t="s">
        <v>34</v>
      </c>
      <c r="S54" s="78" t="s">
        <v>34</v>
      </c>
      <c r="T54" s="78" t="s">
        <v>35</v>
      </c>
      <c r="U54" s="92">
        <v>11</v>
      </c>
      <c r="V54" s="78" t="s">
        <v>36</v>
      </c>
      <c r="W54" s="78" t="s">
        <v>37</v>
      </c>
      <c r="X54" s="78"/>
      <c r="Y54" s="78" t="s">
        <v>39</v>
      </c>
      <c r="Z54" s="78" t="s">
        <v>40</v>
      </c>
      <c r="AA54" s="78" t="s">
        <v>62</v>
      </c>
      <c r="AB54" s="78" t="s">
        <v>42</v>
      </c>
    </row>
    <row r="55" spans="1:28">
      <c r="A55" s="78" t="s">
        <v>192</v>
      </c>
      <c r="B55" s="78" t="s">
        <v>29</v>
      </c>
      <c r="C55" s="78" t="s">
        <v>192</v>
      </c>
      <c r="D55" s="78" t="s">
        <v>193</v>
      </c>
      <c r="E55" s="78"/>
      <c r="F55" s="92">
        <v>8</v>
      </c>
      <c r="G55" s="92">
        <v>131072</v>
      </c>
      <c r="H55" s="92">
        <v>1</v>
      </c>
      <c r="I55" s="92">
        <v>2</v>
      </c>
      <c r="J55" s="78" t="s">
        <v>71</v>
      </c>
      <c r="K55" s="78" t="s">
        <v>33</v>
      </c>
      <c r="L55" s="92">
        <v>991403</v>
      </c>
      <c r="M55" s="92">
        <v>991403</v>
      </c>
      <c r="N55" s="92">
        <v>860160</v>
      </c>
      <c r="O55" s="78" t="s">
        <v>34</v>
      </c>
      <c r="P55" s="92">
        <v>0</v>
      </c>
      <c r="Q55" s="92">
        <v>10000</v>
      </c>
      <c r="R55" s="78" t="s">
        <v>34</v>
      </c>
      <c r="S55" s="78" t="s">
        <v>34</v>
      </c>
      <c r="T55" s="78" t="s">
        <v>35</v>
      </c>
      <c r="U55" s="92">
        <v>7</v>
      </c>
      <c r="V55" s="78" t="s">
        <v>36</v>
      </c>
      <c r="W55" s="78" t="s">
        <v>37</v>
      </c>
      <c r="X55" s="78"/>
      <c r="Y55" s="78" t="s">
        <v>39</v>
      </c>
      <c r="Z55" s="78" t="s">
        <v>40</v>
      </c>
      <c r="AA55" s="78" t="s">
        <v>41</v>
      </c>
      <c r="AB55" s="78" t="s">
        <v>42</v>
      </c>
    </row>
    <row r="56" spans="1:28">
      <c r="A56" s="78" t="s">
        <v>194</v>
      </c>
      <c r="B56" s="78" t="s">
        <v>29</v>
      </c>
      <c r="C56" s="78" t="s">
        <v>194</v>
      </c>
      <c r="D56" s="78"/>
      <c r="E56" s="78"/>
      <c r="F56" s="92">
        <v>8</v>
      </c>
      <c r="G56" s="92">
        <v>65536</v>
      </c>
      <c r="H56" s="92">
        <v>1</v>
      </c>
      <c r="I56" s="92">
        <v>2</v>
      </c>
      <c r="J56" s="78" t="s">
        <v>71</v>
      </c>
      <c r="K56" s="78" t="s">
        <v>33</v>
      </c>
      <c r="L56" s="92">
        <v>925869</v>
      </c>
      <c r="M56" s="92">
        <v>925869</v>
      </c>
      <c r="N56" s="92">
        <v>860160</v>
      </c>
      <c r="O56" s="78" t="s">
        <v>34</v>
      </c>
      <c r="P56" s="92">
        <v>0</v>
      </c>
      <c r="Q56" s="92">
        <v>10000</v>
      </c>
      <c r="R56" s="78" t="s">
        <v>34</v>
      </c>
      <c r="S56" s="78" t="s">
        <v>34</v>
      </c>
      <c r="T56" s="78" t="s">
        <v>35</v>
      </c>
      <c r="U56" s="92">
        <v>7</v>
      </c>
      <c r="V56" s="78" t="s">
        <v>36</v>
      </c>
      <c r="W56" s="78" t="s">
        <v>37</v>
      </c>
      <c r="X56" s="78" t="s">
        <v>72</v>
      </c>
      <c r="Y56" s="78" t="s">
        <v>39</v>
      </c>
      <c r="Z56" s="78" t="s">
        <v>40</v>
      </c>
      <c r="AA56" s="78" t="s">
        <v>195</v>
      </c>
      <c r="AB56" s="78" t="s">
        <v>42</v>
      </c>
    </row>
    <row r="57" spans="1:28">
      <c r="A57" s="78" t="s">
        <v>196</v>
      </c>
      <c r="B57" s="78" t="s">
        <v>29</v>
      </c>
      <c r="C57" s="78" t="s">
        <v>197</v>
      </c>
      <c r="D57" s="78" t="s">
        <v>198</v>
      </c>
      <c r="E57" s="78"/>
      <c r="F57" s="92">
        <v>12</v>
      </c>
      <c r="G57" s="92">
        <v>65536</v>
      </c>
      <c r="H57" s="92">
        <v>1</v>
      </c>
      <c r="I57" s="92">
        <v>2</v>
      </c>
      <c r="J57" s="78" t="s">
        <v>32</v>
      </c>
      <c r="K57" s="78" t="s">
        <v>33</v>
      </c>
      <c r="L57" s="92">
        <v>782538</v>
      </c>
      <c r="M57" s="92">
        <v>782538</v>
      </c>
      <c r="N57" s="92">
        <v>716800</v>
      </c>
      <c r="O57" s="78" t="s">
        <v>34</v>
      </c>
      <c r="P57" s="92">
        <v>0</v>
      </c>
      <c r="Q57" s="92">
        <v>10000</v>
      </c>
      <c r="R57" s="78" t="s">
        <v>34</v>
      </c>
      <c r="S57" s="78" t="s">
        <v>34</v>
      </c>
      <c r="T57" s="78" t="s">
        <v>35</v>
      </c>
      <c r="U57" s="92">
        <v>8</v>
      </c>
      <c r="V57" s="78" t="s">
        <v>36</v>
      </c>
      <c r="W57" s="78" t="s">
        <v>37</v>
      </c>
      <c r="X57" s="78" t="s">
        <v>199</v>
      </c>
      <c r="Y57" s="78" t="s">
        <v>39</v>
      </c>
      <c r="Z57" s="78" t="s">
        <v>40</v>
      </c>
      <c r="AA57" s="78" t="s">
        <v>50</v>
      </c>
      <c r="AB57" s="78" t="s">
        <v>200</v>
      </c>
    </row>
    <row r="58" spans="1:28">
      <c r="A58" s="78" t="s">
        <v>201</v>
      </c>
      <c r="B58" s="78" t="s">
        <v>29</v>
      </c>
      <c r="C58" s="78" t="s">
        <v>201</v>
      </c>
      <c r="D58" s="78" t="s">
        <v>202</v>
      </c>
      <c r="E58" s="78"/>
      <c r="F58" s="92">
        <v>24</v>
      </c>
      <c r="G58" s="92">
        <v>131072</v>
      </c>
      <c r="H58" s="92">
        <v>1</v>
      </c>
      <c r="I58" s="92">
        <v>2</v>
      </c>
      <c r="J58" s="78" t="s">
        <v>32</v>
      </c>
      <c r="K58" s="78" t="s">
        <v>33</v>
      </c>
      <c r="L58" s="92">
        <v>499900</v>
      </c>
      <c r="M58" s="92">
        <v>499900</v>
      </c>
      <c r="N58" s="92">
        <v>368640</v>
      </c>
      <c r="O58" s="78" t="s">
        <v>34</v>
      </c>
      <c r="P58" s="92">
        <v>0</v>
      </c>
      <c r="Q58" s="92">
        <v>10000</v>
      </c>
      <c r="R58" s="78" t="s">
        <v>34</v>
      </c>
      <c r="S58" s="78" t="s">
        <v>34</v>
      </c>
      <c r="T58" s="78" t="s">
        <v>35</v>
      </c>
      <c r="U58" s="92">
        <v>8</v>
      </c>
      <c r="V58" s="78" t="s">
        <v>36</v>
      </c>
      <c r="W58" s="78" t="s">
        <v>37</v>
      </c>
      <c r="X58" s="78" t="s">
        <v>203</v>
      </c>
      <c r="Y58" s="78" t="s">
        <v>39</v>
      </c>
      <c r="Z58" s="78" t="s">
        <v>40</v>
      </c>
      <c r="AA58" s="78" t="s">
        <v>50</v>
      </c>
      <c r="AB58" s="78" t="s">
        <v>171</v>
      </c>
    </row>
    <row r="59" spans="1:28">
      <c r="A59" s="78" t="s">
        <v>204</v>
      </c>
      <c r="B59" s="78" t="s">
        <v>29</v>
      </c>
      <c r="C59" s="78" t="s">
        <v>204</v>
      </c>
      <c r="D59" s="78"/>
      <c r="E59" s="78"/>
      <c r="F59" s="92">
        <v>24</v>
      </c>
      <c r="G59" s="92">
        <v>131072</v>
      </c>
      <c r="H59" s="92">
        <v>1</v>
      </c>
      <c r="I59" s="92">
        <v>2</v>
      </c>
      <c r="J59" s="78" t="s">
        <v>32</v>
      </c>
      <c r="K59" s="78" t="s">
        <v>33</v>
      </c>
      <c r="L59" s="92">
        <v>499900</v>
      </c>
      <c r="M59" s="92">
        <v>499900</v>
      </c>
      <c r="N59" s="92">
        <v>368640</v>
      </c>
      <c r="O59" s="78" t="s">
        <v>34</v>
      </c>
      <c r="P59" s="92">
        <v>0</v>
      </c>
      <c r="Q59" s="92">
        <v>10000</v>
      </c>
      <c r="R59" s="78" t="s">
        <v>34</v>
      </c>
      <c r="S59" s="78" t="s">
        <v>34</v>
      </c>
      <c r="T59" s="78" t="s">
        <v>35</v>
      </c>
      <c r="U59" s="92">
        <v>8</v>
      </c>
      <c r="V59" s="78" t="s">
        <v>36</v>
      </c>
      <c r="W59" s="78" t="s">
        <v>37</v>
      </c>
      <c r="X59" s="78" t="s">
        <v>203</v>
      </c>
      <c r="Y59" s="78" t="s">
        <v>39</v>
      </c>
      <c r="Z59" s="78" t="s">
        <v>40</v>
      </c>
      <c r="AA59" s="78" t="s">
        <v>73</v>
      </c>
      <c r="AB59" s="78" t="s">
        <v>171</v>
      </c>
    </row>
    <row r="60" spans="1:28">
      <c r="A60" s="78" t="s">
        <v>205</v>
      </c>
      <c r="B60" s="78" t="s">
        <v>29</v>
      </c>
      <c r="C60" s="78" t="s">
        <v>205</v>
      </c>
      <c r="D60" s="78" t="s">
        <v>206</v>
      </c>
      <c r="E60" s="78"/>
      <c r="F60" s="92">
        <v>24</v>
      </c>
      <c r="G60" s="92">
        <v>131072</v>
      </c>
      <c r="H60" s="92">
        <v>1</v>
      </c>
      <c r="I60" s="92">
        <v>2</v>
      </c>
      <c r="J60" s="78" t="s">
        <v>32</v>
      </c>
      <c r="K60" s="78" t="s">
        <v>33</v>
      </c>
      <c r="L60" s="92">
        <v>499900</v>
      </c>
      <c r="M60" s="92">
        <v>499900</v>
      </c>
      <c r="N60" s="92">
        <v>368640</v>
      </c>
      <c r="O60" s="78" t="s">
        <v>34</v>
      </c>
      <c r="P60" s="92">
        <v>0</v>
      </c>
      <c r="Q60" s="92">
        <v>10000</v>
      </c>
      <c r="R60" s="78" t="s">
        <v>34</v>
      </c>
      <c r="S60" s="78" t="s">
        <v>34</v>
      </c>
      <c r="T60" s="78" t="s">
        <v>35</v>
      </c>
      <c r="U60" s="92">
        <v>8</v>
      </c>
      <c r="V60" s="78" t="s">
        <v>36</v>
      </c>
      <c r="W60" s="78" t="s">
        <v>37</v>
      </c>
      <c r="X60" s="78" t="s">
        <v>207</v>
      </c>
      <c r="Y60" s="78" t="s">
        <v>39</v>
      </c>
      <c r="Z60" s="78" t="s">
        <v>40</v>
      </c>
      <c r="AA60" s="78" t="s">
        <v>95</v>
      </c>
      <c r="AB60" s="78" t="s">
        <v>171</v>
      </c>
    </row>
    <row r="61" spans="1:28">
      <c r="A61" s="78" t="s">
        <v>208</v>
      </c>
      <c r="B61" s="78" t="s">
        <v>29</v>
      </c>
      <c r="C61" s="78" t="s">
        <v>208</v>
      </c>
      <c r="D61" s="78"/>
      <c r="E61" s="78"/>
      <c r="F61" s="92">
        <v>24</v>
      </c>
      <c r="G61" s="92">
        <v>131072</v>
      </c>
      <c r="H61" s="92">
        <v>1</v>
      </c>
      <c r="I61" s="92">
        <v>2</v>
      </c>
      <c r="J61" s="78" t="s">
        <v>32</v>
      </c>
      <c r="K61" s="78" t="s">
        <v>33</v>
      </c>
      <c r="L61" s="92">
        <v>999614</v>
      </c>
      <c r="M61" s="92">
        <v>645472</v>
      </c>
      <c r="N61" s="92">
        <v>383138</v>
      </c>
      <c r="O61" s="78" t="s">
        <v>34</v>
      </c>
      <c r="P61" s="92">
        <v>0</v>
      </c>
      <c r="Q61" s="92">
        <v>10000</v>
      </c>
      <c r="R61" s="78" t="s">
        <v>34</v>
      </c>
      <c r="S61" s="78" t="s">
        <v>34</v>
      </c>
      <c r="T61" s="78" t="s">
        <v>35</v>
      </c>
      <c r="U61" s="92">
        <v>8</v>
      </c>
      <c r="V61" s="78" t="s">
        <v>36</v>
      </c>
      <c r="W61" s="78" t="s">
        <v>37</v>
      </c>
      <c r="X61" s="78" t="s">
        <v>207</v>
      </c>
      <c r="Y61" s="78" t="s">
        <v>39</v>
      </c>
      <c r="Z61" s="78" t="s">
        <v>40</v>
      </c>
      <c r="AA61" s="78" t="s">
        <v>195</v>
      </c>
      <c r="AB61" s="78" t="s">
        <v>171</v>
      </c>
    </row>
    <row r="62" spans="1:28">
      <c r="A62" s="78" t="s">
        <v>209</v>
      </c>
      <c r="B62" s="78" t="s">
        <v>29</v>
      </c>
      <c r="C62" s="78" t="s">
        <v>210</v>
      </c>
      <c r="D62" s="78" t="s">
        <v>211</v>
      </c>
      <c r="E62" s="78"/>
      <c r="F62" s="92">
        <v>12</v>
      </c>
      <c r="G62" s="92">
        <v>32768</v>
      </c>
      <c r="H62" s="92">
        <v>1</v>
      </c>
      <c r="I62" s="92">
        <v>3</v>
      </c>
      <c r="J62" s="78" t="s">
        <v>32</v>
      </c>
      <c r="K62" s="78" t="s">
        <v>33</v>
      </c>
      <c r="L62" s="92">
        <v>9158863</v>
      </c>
      <c r="M62" s="92">
        <v>4595938</v>
      </c>
      <c r="N62" s="92">
        <v>4562963</v>
      </c>
      <c r="O62" s="78" t="s">
        <v>34</v>
      </c>
      <c r="P62" s="92">
        <v>0</v>
      </c>
      <c r="Q62" s="92">
        <v>10000</v>
      </c>
      <c r="R62" s="78" t="s">
        <v>34</v>
      </c>
      <c r="S62" s="78" t="s">
        <v>34</v>
      </c>
      <c r="T62" s="78" t="s">
        <v>35</v>
      </c>
      <c r="U62" s="92">
        <v>8</v>
      </c>
      <c r="V62" s="78" t="s">
        <v>36</v>
      </c>
      <c r="W62" s="78" t="s">
        <v>37</v>
      </c>
      <c r="X62" s="78" t="s">
        <v>212</v>
      </c>
      <c r="Y62" s="78" t="s">
        <v>39</v>
      </c>
      <c r="Z62" s="78" t="s">
        <v>40</v>
      </c>
      <c r="AA62" s="78" t="s">
        <v>99</v>
      </c>
      <c r="AB62" s="78" t="s">
        <v>200</v>
      </c>
    </row>
    <row r="63" spans="1:28">
      <c r="A63" s="78" t="s">
        <v>213</v>
      </c>
      <c r="B63" s="78" t="s">
        <v>29</v>
      </c>
      <c r="C63" s="78" t="s">
        <v>214</v>
      </c>
      <c r="D63" s="78"/>
      <c r="E63" s="78"/>
      <c r="F63" s="92">
        <v>12</v>
      </c>
      <c r="G63" s="92">
        <v>32768</v>
      </c>
      <c r="H63" s="92">
        <v>1</v>
      </c>
      <c r="I63" s="92">
        <v>3</v>
      </c>
      <c r="J63" s="78" t="s">
        <v>32</v>
      </c>
      <c r="K63" s="78" t="s">
        <v>33</v>
      </c>
      <c r="L63" s="92">
        <v>4554959</v>
      </c>
      <c r="M63" s="92">
        <v>4554959</v>
      </c>
      <c r="N63" s="92">
        <v>4521984</v>
      </c>
      <c r="O63" s="78" t="s">
        <v>34</v>
      </c>
      <c r="P63" s="92">
        <v>0</v>
      </c>
      <c r="Q63" s="92">
        <v>10000</v>
      </c>
      <c r="R63" s="78" t="s">
        <v>34</v>
      </c>
      <c r="S63" s="78" t="s">
        <v>34</v>
      </c>
      <c r="T63" s="78" t="s">
        <v>35</v>
      </c>
      <c r="U63" s="92">
        <v>8</v>
      </c>
      <c r="V63" s="78" t="s">
        <v>36</v>
      </c>
      <c r="W63" s="78" t="s">
        <v>37</v>
      </c>
      <c r="X63" s="78" t="s">
        <v>212</v>
      </c>
      <c r="Y63" s="78" t="s">
        <v>39</v>
      </c>
      <c r="Z63" s="78" t="s">
        <v>40</v>
      </c>
      <c r="AA63" s="78" t="s">
        <v>195</v>
      </c>
      <c r="AB63" s="78" t="s">
        <v>200</v>
      </c>
    </row>
    <row r="64" spans="1:28">
      <c r="A64" s="78" t="s">
        <v>215</v>
      </c>
      <c r="B64" s="78" t="s">
        <v>29</v>
      </c>
      <c r="C64" s="78" t="s">
        <v>216</v>
      </c>
      <c r="D64" s="78" t="s">
        <v>217</v>
      </c>
      <c r="E64" s="78"/>
      <c r="F64" s="92">
        <v>16</v>
      </c>
      <c r="G64" s="92">
        <v>65536</v>
      </c>
      <c r="H64" s="92">
        <v>1</v>
      </c>
      <c r="I64" s="92">
        <v>2</v>
      </c>
      <c r="J64" s="78" t="s">
        <v>32</v>
      </c>
      <c r="K64" s="78" t="s">
        <v>33</v>
      </c>
      <c r="L64" s="92">
        <v>4516051</v>
      </c>
      <c r="M64" s="92">
        <v>4516051</v>
      </c>
      <c r="N64" s="92">
        <v>4450304</v>
      </c>
      <c r="O64" s="78" t="s">
        <v>34</v>
      </c>
      <c r="P64" s="92">
        <v>0</v>
      </c>
      <c r="Q64" s="92">
        <v>10000</v>
      </c>
      <c r="R64" s="78" t="s">
        <v>34</v>
      </c>
      <c r="S64" s="78" t="s">
        <v>34</v>
      </c>
      <c r="T64" s="78" t="s">
        <v>35</v>
      </c>
      <c r="U64" s="92">
        <v>8</v>
      </c>
      <c r="V64" s="78" t="s">
        <v>36</v>
      </c>
      <c r="W64" s="78" t="s">
        <v>37</v>
      </c>
      <c r="X64" s="78" t="s">
        <v>212</v>
      </c>
      <c r="Y64" s="78" t="s">
        <v>39</v>
      </c>
      <c r="Z64" s="78" t="s">
        <v>40</v>
      </c>
      <c r="AA64" s="78" t="s">
        <v>113</v>
      </c>
      <c r="AB64" s="78" t="s">
        <v>200</v>
      </c>
    </row>
    <row r="65" spans="1:28">
      <c r="A65" s="78" t="s">
        <v>218</v>
      </c>
      <c r="B65" s="78" t="s">
        <v>29</v>
      </c>
      <c r="C65" s="78" t="s">
        <v>218</v>
      </c>
      <c r="D65" s="78" t="s">
        <v>219</v>
      </c>
      <c r="E65" s="78"/>
      <c r="F65" s="92">
        <v>32</v>
      </c>
      <c r="G65" s="92">
        <v>131072</v>
      </c>
      <c r="H65" s="92">
        <v>1</v>
      </c>
      <c r="I65" s="92">
        <v>2</v>
      </c>
      <c r="J65" s="78" t="s">
        <v>32</v>
      </c>
      <c r="K65" s="78" t="s">
        <v>33</v>
      </c>
      <c r="L65" s="92">
        <v>704709</v>
      </c>
      <c r="M65" s="92">
        <v>704709</v>
      </c>
      <c r="N65" s="92">
        <v>573440</v>
      </c>
      <c r="O65" s="78" t="s">
        <v>34</v>
      </c>
      <c r="P65" s="92">
        <v>0</v>
      </c>
      <c r="Q65" s="92">
        <v>10000</v>
      </c>
      <c r="R65" s="78" t="s">
        <v>34</v>
      </c>
      <c r="S65" s="78" t="s">
        <v>34</v>
      </c>
      <c r="T65" s="78" t="s">
        <v>35</v>
      </c>
      <c r="U65" s="92">
        <v>8</v>
      </c>
      <c r="V65" s="78" t="s">
        <v>36</v>
      </c>
      <c r="W65" s="78" t="s">
        <v>37</v>
      </c>
      <c r="X65" s="78" t="s">
        <v>203</v>
      </c>
      <c r="Y65" s="78" t="s">
        <v>39</v>
      </c>
      <c r="Z65" s="78" t="s">
        <v>40</v>
      </c>
      <c r="AA65" s="78" t="s">
        <v>50</v>
      </c>
      <c r="AB65" s="78" t="s">
        <v>171</v>
      </c>
    </row>
    <row r="66" spans="1:28">
      <c r="A66" s="78" t="s">
        <v>220</v>
      </c>
      <c r="B66" s="78" t="s">
        <v>29</v>
      </c>
      <c r="C66" s="78" t="s">
        <v>220</v>
      </c>
      <c r="D66" s="78" t="s">
        <v>221</v>
      </c>
      <c r="E66" s="78"/>
      <c r="F66" s="92">
        <v>32</v>
      </c>
      <c r="G66" s="92">
        <v>131072</v>
      </c>
      <c r="H66" s="92">
        <v>1</v>
      </c>
      <c r="I66" s="92">
        <v>2</v>
      </c>
      <c r="J66" s="78" t="s">
        <v>32</v>
      </c>
      <c r="K66" s="78" t="s">
        <v>33</v>
      </c>
      <c r="L66" s="92">
        <v>704740</v>
      </c>
      <c r="M66" s="92">
        <v>704740</v>
      </c>
      <c r="N66" s="92">
        <v>573440</v>
      </c>
      <c r="O66" s="78" t="s">
        <v>34</v>
      </c>
      <c r="P66" s="92">
        <v>0</v>
      </c>
      <c r="Q66" s="92">
        <v>10000</v>
      </c>
      <c r="R66" s="78" t="s">
        <v>34</v>
      </c>
      <c r="S66" s="78" t="s">
        <v>34</v>
      </c>
      <c r="T66" s="78" t="s">
        <v>35</v>
      </c>
      <c r="U66" s="92">
        <v>8</v>
      </c>
      <c r="V66" s="78" t="s">
        <v>36</v>
      </c>
      <c r="W66" s="78" t="s">
        <v>37</v>
      </c>
      <c r="X66" s="78" t="s">
        <v>203</v>
      </c>
      <c r="Y66" s="78" t="s">
        <v>39</v>
      </c>
      <c r="Z66" s="78" t="s">
        <v>40</v>
      </c>
      <c r="AA66" s="78" t="s">
        <v>113</v>
      </c>
      <c r="AB66" s="78" t="s">
        <v>171</v>
      </c>
    </row>
    <row r="67" spans="1:28">
      <c r="A67" s="78" t="s">
        <v>222</v>
      </c>
      <c r="B67" s="78" t="s">
        <v>29</v>
      </c>
      <c r="C67" s="78"/>
      <c r="D67" s="78" t="s">
        <v>223</v>
      </c>
      <c r="E67" s="78"/>
      <c r="F67" s="92">
        <v>16</v>
      </c>
      <c r="G67" s="92">
        <v>32768</v>
      </c>
      <c r="H67" s="92">
        <v>1</v>
      </c>
      <c r="I67" s="92">
        <v>2</v>
      </c>
      <c r="J67" s="78" t="s">
        <v>32</v>
      </c>
      <c r="K67" s="78" t="s">
        <v>33</v>
      </c>
      <c r="L67" s="92">
        <v>401586</v>
      </c>
      <c r="M67" s="92">
        <v>401586</v>
      </c>
      <c r="N67" s="92">
        <v>368640</v>
      </c>
      <c r="O67" s="78" t="s">
        <v>34</v>
      </c>
      <c r="P67" s="92">
        <v>0</v>
      </c>
      <c r="Q67" s="92">
        <v>10000</v>
      </c>
      <c r="R67" s="78" t="s">
        <v>34</v>
      </c>
      <c r="S67" s="78" t="s">
        <v>34</v>
      </c>
      <c r="T67" s="78" t="s">
        <v>35</v>
      </c>
      <c r="U67" s="92">
        <v>8</v>
      </c>
      <c r="V67" s="78" t="s">
        <v>36</v>
      </c>
      <c r="W67" s="78" t="s">
        <v>37</v>
      </c>
      <c r="X67" s="78"/>
      <c r="Y67" s="78" t="s">
        <v>39</v>
      </c>
      <c r="Z67" s="78" t="s">
        <v>40</v>
      </c>
      <c r="AA67" s="78" t="s">
        <v>95</v>
      </c>
      <c r="AB67" s="78" t="s">
        <v>171</v>
      </c>
    </row>
    <row r="68" spans="1:28">
      <c r="A68" s="78" t="s">
        <v>224</v>
      </c>
      <c r="B68" s="78" t="s">
        <v>173</v>
      </c>
      <c r="C68" s="78" t="s">
        <v>225</v>
      </c>
      <c r="D68" s="78"/>
      <c r="E68" s="78"/>
      <c r="F68" s="92">
        <v>4</v>
      </c>
      <c r="G68" s="92">
        <v>8192</v>
      </c>
      <c r="H68" s="92">
        <v>1</v>
      </c>
      <c r="I68" s="92">
        <v>2</v>
      </c>
      <c r="J68" s="78" t="s">
        <v>32</v>
      </c>
      <c r="K68" s="78" t="s">
        <v>33</v>
      </c>
      <c r="L68" s="194">
        <v>10555559</v>
      </c>
      <c r="M68" s="92">
        <v>10547201</v>
      </c>
      <c r="N68" s="92">
        <v>10547200</v>
      </c>
      <c r="O68" s="78" t="s">
        <v>34</v>
      </c>
      <c r="P68" s="92">
        <v>0</v>
      </c>
      <c r="Q68" s="92">
        <v>10000</v>
      </c>
      <c r="R68" s="78" t="s">
        <v>34</v>
      </c>
      <c r="S68" s="78" t="s">
        <v>34</v>
      </c>
      <c r="T68" s="78" t="s">
        <v>35</v>
      </c>
      <c r="U68" s="92">
        <v>8</v>
      </c>
      <c r="V68" s="78" t="s">
        <v>36</v>
      </c>
      <c r="W68" s="78" t="s">
        <v>37</v>
      </c>
      <c r="X68" s="78" t="s">
        <v>226</v>
      </c>
      <c r="Y68" s="78" t="s">
        <v>39</v>
      </c>
      <c r="Z68" s="78" t="s">
        <v>40</v>
      </c>
      <c r="AA68" s="78" t="s">
        <v>41</v>
      </c>
      <c r="AB68" s="78" t="s">
        <v>142</v>
      </c>
    </row>
    <row r="69" spans="1:28">
      <c r="A69" s="78" t="s">
        <v>227</v>
      </c>
      <c r="B69" s="78" t="s">
        <v>29</v>
      </c>
      <c r="C69" s="78"/>
      <c r="D69" s="78" t="s">
        <v>228</v>
      </c>
      <c r="E69" s="78"/>
      <c r="F69" s="92">
        <v>4</v>
      </c>
      <c r="G69" s="92">
        <v>8192</v>
      </c>
      <c r="H69" s="92">
        <v>1</v>
      </c>
      <c r="I69" s="92">
        <v>2</v>
      </c>
      <c r="J69" s="78" t="s">
        <v>32</v>
      </c>
      <c r="K69" s="78" t="s">
        <v>33</v>
      </c>
      <c r="L69" s="92">
        <v>753838</v>
      </c>
      <c r="M69" s="92">
        <v>385616</v>
      </c>
      <c r="N69" s="92">
        <v>369058</v>
      </c>
      <c r="O69" s="78" t="s">
        <v>34</v>
      </c>
      <c r="P69" s="92">
        <v>0</v>
      </c>
      <c r="Q69" s="92">
        <v>10000</v>
      </c>
      <c r="R69" s="78" t="s">
        <v>34</v>
      </c>
      <c r="S69" s="78" t="s">
        <v>34</v>
      </c>
      <c r="T69" s="78" t="s">
        <v>35</v>
      </c>
      <c r="U69" s="92">
        <v>8</v>
      </c>
      <c r="V69" s="78" t="s">
        <v>36</v>
      </c>
      <c r="W69" s="78" t="s">
        <v>37</v>
      </c>
      <c r="X69" s="78" t="s">
        <v>229</v>
      </c>
      <c r="Y69" s="78" t="s">
        <v>39</v>
      </c>
      <c r="Z69" s="78" t="s">
        <v>40</v>
      </c>
      <c r="AA69" s="78" t="s">
        <v>73</v>
      </c>
      <c r="AB69" s="78" t="s">
        <v>171</v>
      </c>
    </row>
    <row r="76" spans="1:28">
      <c r="A76" s="26" t="s">
        <v>230</v>
      </c>
      <c r="B76" s="26" t="s">
        <v>231</v>
      </c>
      <c r="C76" s="26" t="s">
        <v>232</v>
      </c>
      <c r="D76" s="178" t="s">
        <v>233</v>
      </c>
      <c r="E76" s="26" t="s">
        <v>234</v>
      </c>
      <c r="F76" s="26" t="s">
        <v>235</v>
      </c>
      <c r="G76" s="26" t="s">
        <v>236</v>
      </c>
      <c r="H76" s="26" t="s">
        <v>237</v>
      </c>
      <c r="I76" s="26" t="s">
        <v>238</v>
      </c>
    </row>
    <row r="77" spans="1:28">
      <c r="A77" s="198" t="s">
        <v>239</v>
      </c>
      <c r="B77" s="33" t="s">
        <v>240</v>
      </c>
      <c r="C77" s="33">
        <v>3</v>
      </c>
      <c r="D77" s="23"/>
      <c r="E77" s="198"/>
      <c r="F77" s="198">
        <v>66</v>
      </c>
      <c r="G77" s="198">
        <v>6</v>
      </c>
      <c r="H77" s="198">
        <v>30</v>
      </c>
      <c r="I77" s="198">
        <f>SUM(F77:H77)</f>
        <v>102</v>
      </c>
    </row>
    <row r="78" spans="1:28">
      <c r="A78" s="198"/>
      <c r="B78" s="18" t="s">
        <v>241</v>
      </c>
      <c r="C78" s="18">
        <v>14</v>
      </c>
      <c r="D78" s="23"/>
      <c r="E78" s="198"/>
      <c r="F78" s="198"/>
      <c r="G78" s="198"/>
      <c r="H78" s="198"/>
      <c r="I78" s="198"/>
    </row>
    <row r="79" spans="1:28">
      <c r="A79" s="198"/>
      <c r="B79" s="33" t="s">
        <v>242</v>
      </c>
      <c r="C79" s="33">
        <v>49</v>
      </c>
      <c r="D79" s="23"/>
      <c r="E79" s="198"/>
      <c r="F79" s="198"/>
      <c r="G79" s="198"/>
      <c r="H79" s="198"/>
      <c r="I79" s="198"/>
    </row>
    <row r="80" spans="1:28">
      <c r="A80" s="198" t="s">
        <v>243</v>
      </c>
      <c r="B80" s="33" t="s">
        <v>240</v>
      </c>
      <c r="C80" s="33">
        <v>3</v>
      </c>
      <c r="D80" s="23">
        <v>1</v>
      </c>
      <c r="E80" s="198">
        <v>12</v>
      </c>
      <c r="F80" s="198">
        <v>578</v>
      </c>
      <c r="G80" s="198">
        <v>192</v>
      </c>
      <c r="H80" s="198">
        <f>SUM(H77*E80)</f>
        <v>360</v>
      </c>
      <c r="I80" s="198">
        <f>SUM(F80:H80)</f>
        <v>1130</v>
      </c>
    </row>
    <row r="81" spans="1:9">
      <c r="A81" s="198"/>
      <c r="B81" s="18" t="s">
        <v>241</v>
      </c>
      <c r="C81" s="33">
        <v>33</v>
      </c>
      <c r="D81" s="23">
        <f>AVERAGE(F8,F9,F10,F12,F14,F15,F16,F17,F45,F46,F47,F48,F52,F53,F54)</f>
        <v>2.3333333333333335</v>
      </c>
      <c r="E81" s="198"/>
      <c r="F81" s="198"/>
      <c r="G81" s="198"/>
      <c r="H81" s="198"/>
      <c r="I81" s="198"/>
    </row>
    <row r="82" spans="1:9">
      <c r="A82" s="198"/>
      <c r="B82" s="33" t="s">
        <v>242</v>
      </c>
      <c r="C82" s="33">
        <v>542</v>
      </c>
      <c r="D82" s="23">
        <f>AVERAGE(F2,F3,F4,F5,F6,F7,F11,F13,F18,F19,F20,F21,F22,F23,F25,F24,F26,F27,F28,F29,F30,F31,F32,F34,F33,F35,F36,F37,F38,F39,F42,F41,F49,F50,F51,F55,F56,F57,F58,F59,F60,F61,F62,F63,F64,F65,F67,F66,F68,F69)</f>
        <v>10.92</v>
      </c>
      <c r="E82" s="198"/>
      <c r="F82" s="198"/>
      <c r="G82" s="198"/>
      <c r="H82" s="198"/>
      <c r="I82" s="198"/>
    </row>
    <row r="83" spans="1:9">
      <c r="A83" s="198" t="s">
        <v>244</v>
      </c>
      <c r="B83" s="33" t="s">
        <v>240</v>
      </c>
      <c r="C83" s="33">
        <v>12288</v>
      </c>
      <c r="D83" s="23" t="s">
        <v>245</v>
      </c>
      <c r="E83" s="198">
        <v>24</v>
      </c>
      <c r="F83" s="198">
        <v>2000</v>
      </c>
      <c r="G83" s="198">
        <v>415</v>
      </c>
      <c r="H83" s="198">
        <f>SUM(H77*E83)</f>
        <v>720</v>
      </c>
      <c r="I83" s="198">
        <f>SUM(F83:H83)</f>
        <v>3135</v>
      </c>
    </row>
    <row r="84" spans="1:9">
      <c r="A84" s="198"/>
      <c r="B84" s="18" t="s">
        <v>241</v>
      </c>
      <c r="C84" s="33">
        <v>158720</v>
      </c>
      <c r="D84" s="23">
        <f>AVERAGE(G8,G9,G10,G12,G14,G15,G16,G17,G45,G46,G47,G48,G52,G53,G54)</f>
        <v>10717.866666666667</v>
      </c>
      <c r="E84" s="198"/>
      <c r="F84" s="198"/>
      <c r="G84" s="198"/>
      <c r="H84" s="198"/>
      <c r="I84" s="198"/>
    </row>
    <row r="85" spans="1:9">
      <c r="A85" s="198"/>
      <c r="B85" s="33" t="s">
        <v>242</v>
      </c>
      <c r="C85" s="33">
        <v>1838112</v>
      </c>
      <c r="D85" s="23">
        <f>AVERAGE(G2,G3,G4,G5,G6,G7,G11,G13,G18,G19,G20,G21,G22,G23,G24,G25,G26,G27,G28,G29,G30,G31,G32,G33,G34,G35,G36,G37,G38,G39,G41,G42,G49,G50,G51,G55,G56,G57,G58,G59,G60,G61,G62,G63,G64,G65,G66,G67,G68,G69)</f>
        <v>36762.32</v>
      </c>
      <c r="E85" s="198"/>
      <c r="F85" s="198"/>
      <c r="G85" s="198"/>
      <c r="H85" s="198"/>
      <c r="I85" s="198"/>
    </row>
    <row r="86" spans="1:9">
      <c r="A86" s="198" t="s">
        <v>246</v>
      </c>
      <c r="B86" s="33" t="s">
        <v>247</v>
      </c>
      <c r="C86" s="33">
        <v>15</v>
      </c>
      <c r="D86" s="23">
        <v>0.12</v>
      </c>
      <c r="E86" s="198">
        <v>5</v>
      </c>
      <c r="F86" s="198">
        <v>305</v>
      </c>
      <c r="G86" s="198">
        <v>11.4</v>
      </c>
      <c r="H86" s="198">
        <f>SUM(H77*E86)</f>
        <v>150</v>
      </c>
      <c r="I86" s="198">
        <f>SUM(F86:H86)</f>
        <v>466.4</v>
      </c>
    </row>
    <row r="87" spans="1:9">
      <c r="A87" s="198"/>
      <c r="B87" s="33" t="s">
        <v>248</v>
      </c>
      <c r="C87" s="33">
        <v>276</v>
      </c>
      <c r="D87" s="23">
        <v>5</v>
      </c>
      <c r="E87" s="198"/>
      <c r="F87" s="198"/>
      <c r="G87" s="198"/>
      <c r="H87" s="198"/>
      <c r="I87" s="198"/>
    </row>
    <row r="90" spans="1:9">
      <c r="D90" s="21">
        <v>131072</v>
      </c>
    </row>
    <row r="91" spans="1:9">
      <c r="D91" s="21">
        <v>5171348.6670000004</v>
      </c>
    </row>
    <row r="95" spans="1:9">
      <c r="D95" s="21">
        <v>1</v>
      </c>
      <c r="E95" s="21">
        <v>4</v>
      </c>
    </row>
    <row r="96" spans="1:9">
      <c r="D96" s="21">
        <v>4</v>
      </c>
      <c r="E96" s="21">
        <v>12</v>
      </c>
    </row>
    <row r="97" spans="1:5">
      <c r="D97" s="21">
        <v>12</v>
      </c>
      <c r="E97" s="21">
        <v>32</v>
      </c>
    </row>
    <row r="101" spans="1:5">
      <c r="B101" s="195" t="s">
        <v>29</v>
      </c>
      <c r="C101" s="195" t="s">
        <v>243</v>
      </c>
      <c r="D101" s="195" t="s">
        <v>249</v>
      </c>
    </row>
    <row r="102" spans="1:5">
      <c r="A102" s="23" t="s">
        <v>250</v>
      </c>
      <c r="B102" s="23">
        <v>3</v>
      </c>
      <c r="C102" s="23">
        <v>3</v>
      </c>
      <c r="D102" s="23">
        <f>SUM(G40,G43,G44)</f>
        <v>12288</v>
      </c>
    </row>
    <row r="103" spans="1:5">
      <c r="A103" s="23" t="s">
        <v>251</v>
      </c>
      <c r="B103" s="23">
        <v>14</v>
      </c>
      <c r="C103" s="23">
        <f>SUM(F8,F9,F10,F12,F14,F15,F16,F17,F46,F47,F48,F52,F53,F54)</f>
        <v>33</v>
      </c>
      <c r="D103" s="23">
        <f>SUM(G8,G9,G10,G12,G14,G15,G16,G17,G46,G47,G48,G52,G53,G54)</f>
        <v>158720</v>
      </c>
      <c r="E103" s="21" t="s">
        <v>252</v>
      </c>
    </row>
    <row r="104" spans="1:5">
      <c r="A104" s="23" t="s">
        <v>253</v>
      </c>
      <c r="B104" s="23">
        <v>49</v>
      </c>
      <c r="C104" s="23">
        <f>SUM(F2,F3,F4,F5,F6,F7,F11,F13,F18,F19,F20,F21,F22,F23,F25,F24,F26,F27,F28,F29,F30,F31,F32,F33,F34,F35,F36,F37,F38,F39,F41,F42,F50,F49,F51,F55,F56,F57,F58,F59,F61,F60,F62,F63,F64,F65,F66,F67,F69)</f>
        <v>542</v>
      </c>
      <c r="D104" s="23">
        <f>SUM(G2,G3,G4,G5,G6,G7,G11,G13,G18,G19,G20,G21,G22,G23,G25,G24,G26,G27,G28,G29,G30,G31,G32,G33,G34,G35,G36,G37,G38,G39,G41,G42,G50,G49,G51,G55,G56,G57,G58,G59,G61,G60,G62,G63,G64,G65,G66,G67,G69)</f>
        <v>1829924</v>
      </c>
      <c r="E104" s="21" t="s">
        <v>254</v>
      </c>
    </row>
    <row r="107" spans="1:5">
      <c r="A107" s="196">
        <v>2019</v>
      </c>
    </row>
    <row r="108" spans="1:5">
      <c r="A108" s="178" t="s">
        <v>230</v>
      </c>
      <c r="B108" s="178" t="s">
        <v>29</v>
      </c>
      <c r="C108" s="178" t="s">
        <v>236</v>
      </c>
      <c r="D108" s="178" t="s">
        <v>237</v>
      </c>
      <c r="E108" s="178" t="s">
        <v>238</v>
      </c>
    </row>
    <row r="109" spans="1:5">
      <c r="A109" s="23" t="s">
        <v>239</v>
      </c>
      <c r="B109" s="23">
        <v>66</v>
      </c>
      <c r="C109" s="23">
        <v>6</v>
      </c>
      <c r="D109" s="23">
        <v>20</v>
      </c>
      <c r="E109" s="23">
        <f>SUM(B109:D109)</f>
        <v>92</v>
      </c>
    </row>
    <row r="110" spans="1:5">
      <c r="A110" s="23" t="s">
        <v>243</v>
      </c>
      <c r="B110" s="23">
        <v>578</v>
      </c>
      <c r="C110" s="23">
        <v>192</v>
      </c>
      <c r="D110" s="23"/>
      <c r="E110" s="23">
        <f>SUM(B110:D110)</f>
        <v>770</v>
      </c>
    </row>
    <row r="111" spans="1:5">
      <c r="A111" s="23" t="s">
        <v>244</v>
      </c>
      <c r="B111" s="23">
        <v>2000</v>
      </c>
      <c r="C111" s="23">
        <v>415</v>
      </c>
      <c r="D111" s="23"/>
      <c r="E111" s="23">
        <f>SUM(B111:D111)</f>
        <v>2415</v>
      </c>
    </row>
    <row r="112" spans="1:5">
      <c r="A112" s="23" t="s">
        <v>255</v>
      </c>
      <c r="B112" s="23">
        <v>305</v>
      </c>
      <c r="C112" s="23">
        <v>11.4</v>
      </c>
      <c r="D112" s="23"/>
      <c r="E112" s="23">
        <f>SUM(B112:D112)</f>
        <v>316.39999999999998</v>
      </c>
    </row>
    <row r="113" spans="1:2">
      <c r="A113" s="23" t="s">
        <v>247</v>
      </c>
      <c r="B113" s="23">
        <v>20</v>
      </c>
    </row>
    <row r="114" spans="1:2">
      <c r="A114" s="23" t="s">
        <v>248</v>
      </c>
      <c r="B114" s="23">
        <v>276</v>
      </c>
    </row>
    <row r="116" spans="1:2">
      <c r="A116" s="196">
        <v>2018</v>
      </c>
    </row>
    <row r="117" spans="1:2">
      <c r="A117" s="178" t="s">
        <v>230</v>
      </c>
      <c r="B117" s="178" t="s">
        <v>29</v>
      </c>
    </row>
    <row r="118" spans="1:2">
      <c r="A118" s="23" t="s">
        <v>239</v>
      </c>
      <c r="B118" s="23">
        <v>53</v>
      </c>
    </row>
    <row r="119" spans="1:2">
      <c r="A119" s="23" t="s">
        <v>243</v>
      </c>
      <c r="B119" s="23">
        <v>446</v>
      </c>
    </row>
    <row r="120" spans="1:2">
      <c r="A120" s="23" t="s">
        <v>244</v>
      </c>
      <c r="B120" s="23">
        <v>1718</v>
      </c>
    </row>
    <row r="121" spans="1:2">
      <c r="A121" s="23" t="s">
        <v>255</v>
      </c>
      <c r="B121" s="23">
        <v>216</v>
      </c>
    </row>
    <row r="123" spans="1:2">
      <c r="A123" s="196">
        <v>2017</v>
      </c>
    </row>
    <row r="124" spans="1:2">
      <c r="A124" s="178" t="s">
        <v>230</v>
      </c>
      <c r="B124" s="178" t="s">
        <v>29</v>
      </c>
    </row>
    <row r="125" spans="1:2">
      <c r="A125" s="23" t="s">
        <v>239</v>
      </c>
      <c r="B125" s="23">
        <v>37</v>
      </c>
    </row>
    <row r="126" spans="1:2">
      <c r="A126" s="23" t="s">
        <v>243</v>
      </c>
      <c r="B126" s="23">
        <v>402</v>
      </c>
    </row>
    <row r="127" spans="1:2">
      <c r="A127" s="23" t="s">
        <v>244</v>
      </c>
      <c r="B127" s="23">
        <v>1640</v>
      </c>
    </row>
    <row r="128" spans="1:2">
      <c r="A128" s="23" t="s">
        <v>255</v>
      </c>
      <c r="B128" s="23">
        <v>199</v>
      </c>
    </row>
    <row r="130" spans="1:5">
      <c r="A130" s="196">
        <v>2016</v>
      </c>
    </row>
    <row r="131" spans="1:5">
      <c r="A131" s="178" t="s">
        <v>230</v>
      </c>
      <c r="B131" s="178" t="s">
        <v>29</v>
      </c>
    </row>
    <row r="132" spans="1:5">
      <c r="A132" s="23" t="s">
        <v>239</v>
      </c>
      <c r="B132" s="23">
        <v>38</v>
      </c>
    </row>
    <row r="133" spans="1:5">
      <c r="A133" s="23" t="s">
        <v>243</v>
      </c>
      <c r="B133" s="23">
        <v>408</v>
      </c>
    </row>
    <row r="134" spans="1:5">
      <c r="A134" s="23" t="s">
        <v>244</v>
      </c>
      <c r="B134" s="23">
        <v>1625</v>
      </c>
    </row>
    <row r="135" spans="1:5">
      <c r="A135" s="23" t="s">
        <v>255</v>
      </c>
      <c r="B135" s="23">
        <v>177</v>
      </c>
    </row>
    <row r="138" spans="1:5">
      <c r="A138" s="178" t="s">
        <v>256</v>
      </c>
      <c r="B138" s="178" t="s">
        <v>230</v>
      </c>
      <c r="C138" s="178" t="s">
        <v>243</v>
      </c>
      <c r="D138" s="178" t="s">
        <v>257</v>
      </c>
      <c r="E138" s="178" t="s">
        <v>258</v>
      </c>
    </row>
    <row r="139" spans="1:5">
      <c r="A139" s="23" t="s">
        <v>259</v>
      </c>
      <c r="B139" s="23">
        <v>-1</v>
      </c>
      <c r="C139" s="23">
        <f>SUM(B126-B133)</f>
        <v>-6</v>
      </c>
      <c r="D139" s="23">
        <f>SUM(B127-B134)</f>
        <v>15</v>
      </c>
      <c r="E139" s="23">
        <f>SUM(B128-B135)</f>
        <v>22</v>
      </c>
    </row>
    <row r="140" spans="1:5">
      <c r="A140" s="23" t="s">
        <v>260</v>
      </c>
      <c r="B140" s="23">
        <f>16</f>
        <v>16</v>
      </c>
      <c r="C140" s="23">
        <f>SUM(B119-B126)</f>
        <v>44</v>
      </c>
      <c r="D140" s="23">
        <f>SUM(B120-B127)</f>
        <v>78</v>
      </c>
      <c r="E140" s="23">
        <f>SUM(B121-B128)</f>
        <v>17</v>
      </c>
    </row>
    <row r="141" spans="1:5">
      <c r="A141" s="23" t="s">
        <v>261</v>
      </c>
      <c r="B141" s="23">
        <v>17</v>
      </c>
      <c r="C141" s="23">
        <f>SUM(B110-B119)</f>
        <v>132</v>
      </c>
      <c r="D141" s="23">
        <f>SUM(B111-B120)</f>
        <v>282</v>
      </c>
      <c r="E141" s="23">
        <f>SUM(B112-B121)</f>
        <v>89</v>
      </c>
    </row>
    <row r="145" spans="1:3">
      <c r="A145" s="178" t="s">
        <v>256</v>
      </c>
      <c r="B145" s="178" t="s">
        <v>243</v>
      </c>
    </row>
    <row r="146" spans="1:3">
      <c r="A146" s="23" t="s">
        <v>259</v>
      </c>
      <c r="B146" s="23">
        <f>SUM(B126-B133)</f>
        <v>-6</v>
      </c>
    </row>
    <row r="147" spans="1:3">
      <c r="A147" s="23" t="s">
        <v>260</v>
      </c>
      <c r="B147" s="23">
        <f>SUM(B119-B126)</f>
        <v>44</v>
      </c>
    </row>
    <row r="148" spans="1:3">
      <c r="A148" s="23" t="s">
        <v>262</v>
      </c>
      <c r="B148" s="23">
        <f>SUM(E110-B119)</f>
        <v>324</v>
      </c>
    </row>
    <row r="150" spans="1:3">
      <c r="A150" s="178" t="s">
        <v>256</v>
      </c>
      <c r="B150" s="178" t="s">
        <v>257</v>
      </c>
    </row>
    <row r="151" spans="1:3">
      <c r="A151" s="23" t="s">
        <v>263</v>
      </c>
      <c r="B151" s="23">
        <v>15</v>
      </c>
    </row>
    <row r="152" spans="1:3">
      <c r="A152" s="23" t="s">
        <v>264</v>
      </c>
      <c r="B152" s="23">
        <v>78</v>
      </c>
    </row>
    <row r="153" spans="1:3">
      <c r="A153" s="23" t="s">
        <v>265</v>
      </c>
      <c r="B153" s="23">
        <v>282</v>
      </c>
    </row>
    <row r="156" spans="1:3">
      <c r="C156" s="23"/>
    </row>
    <row r="157" spans="1:3">
      <c r="A157" s="178" t="s">
        <v>256</v>
      </c>
      <c r="B157" s="178" t="s">
        <v>258</v>
      </c>
    </row>
    <row r="158" spans="1:3">
      <c r="A158" s="23" t="s">
        <v>266</v>
      </c>
      <c r="B158" s="23">
        <v>21</v>
      </c>
    </row>
    <row r="159" spans="1:3">
      <c r="A159" s="23" t="s">
        <v>267</v>
      </c>
      <c r="B159" s="23">
        <v>17</v>
      </c>
    </row>
    <row r="160" spans="1:3">
      <c r="A160" s="23" t="s">
        <v>268</v>
      </c>
      <c r="B160" s="23">
        <v>81</v>
      </c>
    </row>
    <row r="165" spans="1:2">
      <c r="A165" s="178" t="s">
        <v>256</v>
      </c>
      <c r="B165" s="178" t="s">
        <v>258</v>
      </c>
    </row>
    <row r="166" spans="1:2">
      <c r="A166" s="23" t="s">
        <v>259</v>
      </c>
      <c r="B166" s="23">
        <v>21</v>
      </c>
    </row>
    <row r="167" spans="1:2">
      <c r="A167" s="23" t="s">
        <v>260</v>
      </c>
      <c r="B167" s="23">
        <v>17</v>
      </c>
    </row>
    <row r="168" spans="1:2">
      <c r="A168" s="23" t="s">
        <v>261</v>
      </c>
      <c r="B168" s="23">
        <v>81</v>
      </c>
    </row>
    <row r="176" spans="1:2">
      <c r="A176" s="178" t="s">
        <v>256</v>
      </c>
      <c r="B176" s="178" t="s">
        <v>230</v>
      </c>
    </row>
    <row r="177" spans="1:2">
      <c r="A177" s="197">
        <v>2016</v>
      </c>
      <c r="B177" s="23">
        <v>38</v>
      </c>
    </row>
    <row r="178" spans="1:2">
      <c r="A178" s="197">
        <v>2017</v>
      </c>
      <c r="B178" s="23">
        <v>37</v>
      </c>
    </row>
    <row r="179" spans="1:2">
      <c r="A179" s="197">
        <v>2018</v>
      </c>
      <c r="B179" s="23">
        <v>53</v>
      </c>
    </row>
    <row r="180" spans="1:2">
      <c r="A180" s="197">
        <v>2019</v>
      </c>
      <c r="B180" s="23">
        <v>66</v>
      </c>
    </row>
    <row r="183" spans="1:2">
      <c r="A183" s="178" t="s">
        <v>256</v>
      </c>
      <c r="B183" s="178" t="s">
        <v>243</v>
      </c>
    </row>
    <row r="184" spans="1:2">
      <c r="A184" s="197">
        <v>2016</v>
      </c>
      <c r="B184" s="23">
        <v>408</v>
      </c>
    </row>
    <row r="185" spans="1:2">
      <c r="A185" s="197">
        <v>2017</v>
      </c>
      <c r="B185" s="23">
        <v>402</v>
      </c>
    </row>
    <row r="186" spans="1:2">
      <c r="A186" s="197">
        <v>2018</v>
      </c>
      <c r="B186" s="23">
        <v>446</v>
      </c>
    </row>
    <row r="187" spans="1:2">
      <c r="A187" s="197">
        <v>2019</v>
      </c>
      <c r="B187" s="23">
        <v>578</v>
      </c>
    </row>
    <row r="190" spans="1:2">
      <c r="A190" s="178" t="s">
        <v>256</v>
      </c>
      <c r="B190" s="178" t="s">
        <v>257</v>
      </c>
    </row>
    <row r="191" spans="1:2">
      <c r="A191" s="197">
        <v>2016</v>
      </c>
      <c r="B191" s="23">
        <v>1625</v>
      </c>
    </row>
    <row r="192" spans="1:2">
      <c r="A192" s="197">
        <v>2017</v>
      </c>
      <c r="B192" s="23">
        <v>1640</v>
      </c>
    </row>
    <row r="193" spans="1:2">
      <c r="A193" s="197">
        <v>2018</v>
      </c>
      <c r="B193" s="23">
        <v>1718</v>
      </c>
    </row>
    <row r="194" spans="1:2">
      <c r="A194" s="197">
        <v>2019</v>
      </c>
      <c r="B194" s="23">
        <v>2000</v>
      </c>
    </row>
    <row r="197" spans="1:2">
      <c r="A197" s="26" t="s">
        <v>256</v>
      </c>
      <c r="B197" s="26" t="s">
        <v>258</v>
      </c>
    </row>
    <row r="198" spans="1:2">
      <c r="A198" s="33">
        <v>2016</v>
      </c>
      <c r="B198" s="33">
        <v>177</v>
      </c>
    </row>
    <row r="199" spans="1:2">
      <c r="A199" s="33">
        <v>2017</v>
      </c>
      <c r="B199" s="33">
        <v>199</v>
      </c>
    </row>
    <row r="200" spans="1:2">
      <c r="A200" s="33">
        <v>2018</v>
      </c>
      <c r="B200" s="33">
        <v>216</v>
      </c>
    </row>
    <row r="201" spans="1:2">
      <c r="A201" s="33">
        <v>2019</v>
      </c>
      <c r="B201" s="33">
        <v>305</v>
      </c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1048115" spans="1:28">
      <c r="A1048115"/>
      <c r="B1048115"/>
      <c r="C1048115"/>
      <c r="D1048115"/>
      <c r="E1048115"/>
      <c r="F1048115"/>
      <c r="G1048115"/>
      <c r="H1048115"/>
      <c r="I1048115"/>
      <c r="J1048115"/>
      <c r="K1048115"/>
      <c r="L1048115"/>
      <c r="M1048115"/>
      <c r="N1048115"/>
      <c r="O1048115"/>
      <c r="P1048115"/>
      <c r="Q1048115"/>
      <c r="R1048115"/>
      <c r="S1048115"/>
      <c r="T1048115"/>
      <c r="U1048115"/>
      <c r="V1048115"/>
      <c r="W1048115"/>
      <c r="X1048115"/>
      <c r="Y1048115"/>
      <c r="Z1048115"/>
      <c r="AA1048115"/>
      <c r="AB1048115"/>
    </row>
    <row r="1048116" spans="1:28">
      <c r="A1048116"/>
      <c r="B1048116"/>
      <c r="C1048116"/>
      <c r="D1048116"/>
      <c r="E1048116"/>
      <c r="F1048116"/>
      <c r="G1048116"/>
      <c r="H1048116"/>
      <c r="I1048116"/>
      <c r="J1048116"/>
      <c r="K1048116"/>
      <c r="L1048116"/>
      <c r="M1048116"/>
      <c r="N1048116"/>
      <c r="O1048116"/>
      <c r="P1048116"/>
      <c r="Q1048116"/>
      <c r="R1048116"/>
      <c r="S1048116"/>
      <c r="T1048116"/>
      <c r="U1048116"/>
      <c r="V1048116"/>
      <c r="W1048116"/>
      <c r="X1048116"/>
      <c r="Y1048116"/>
      <c r="Z1048116"/>
      <c r="AA1048116"/>
      <c r="AB1048116"/>
    </row>
    <row r="1048117" spans="1:28">
      <c r="A1048117"/>
      <c r="B1048117"/>
      <c r="C1048117"/>
      <c r="D1048117"/>
      <c r="E1048117"/>
      <c r="F1048117"/>
      <c r="G1048117"/>
      <c r="H1048117"/>
      <c r="I1048117"/>
      <c r="J1048117"/>
      <c r="K1048117"/>
      <c r="L1048117"/>
      <c r="M1048117"/>
      <c r="N1048117"/>
      <c r="O1048117"/>
      <c r="P1048117"/>
      <c r="Q1048117"/>
      <c r="R1048117"/>
      <c r="S1048117"/>
      <c r="T1048117"/>
      <c r="U1048117"/>
      <c r="V1048117"/>
      <c r="W1048117"/>
      <c r="X1048117"/>
      <c r="Y1048117"/>
      <c r="Z1048117"/>
      <c r="AA1048117"/>
      <c r="AB1048117"/>
    </row>
    <row r="1048118" spans="1:28">
      <c r="A1048118"/>
      <c r="B1048118"/>
      <c r="C1048118"/>
      <c r="D1048118"/>
      <c r="E1048118"/>
      <c r="F1048118"/>
      <c r="G1048118"/>
      <c r="H1048118"/>
      <c r="I1048118"/>
      <c r="J1048118"/>
      <c r="K1048118"/>
      <c r="L1048118"/>
      <c r="M1048118"/>
      <c r="N1048118"/>
      <c r="O1048118"/>
      <c r="P1048118"/>
      <c r="Q1048118"/>
      <c r="R1048118"/>
      <c r="S1048118"/>
      <c r="T1048118"/>
      <c r="U1048118"/>
      <c r="V1048118"/>
      <c r="W1048118"/>
      <c r="X1048118"/>
      <c r="Y1048118"/>
      <c r="Z1048118"/>
      <c r="AA1048118"/>
      <c r="AB1048118"/>
    </row>
    <row r="1048119" spans="1:28">
      <c r="A1048119"/>
      <c r="B1048119"/>
      <c r="C1048119"/>
      <c r="D1048119"/>
      <c r="E1048119"/>
      <c r="F1048119"/>
      <c r="G1048119"/>
      <c r="H1048119"/>
      <c r="I1048119"/>
      <c r="J1048119"/>
      <c r="K1048119"/>
      <c r="L1048119"/>
      <c r="M1048119"/>
      <c r="N1048119"/>
      <c r="O1048119"/>
      <c r="P1048119"/>
      <c r="Q1048119"/>
      <c r="R1048119"/>
      <c r="S1048119"/>
      <c r="T1048119"/>
      <c r="U1048119"/>
      <c r="V1048119"/>
      <c r="W1048119"/>
      <c r="X1048119"/>
      <c r="Y1048119"/>
      <c r="Z1048119"/>
      <c r="AA1048119"/>
      <c r="AB1048119"/>
    </row>
    <row r="1048120" spans="1:28">
      <c r="A1048120"/>
      <c r="B1048120"/>
      <c r="C1048120"/>
      <c r="D1048120"/>
      <c r="E1048120"/>
      <c r="F1048120"/>
      <c r="G1048120"/>
      <c r="H1048120"/>
      <c r="I1048120"/>
      <c r="J1048120"/>
      <c r="K1048120"/>
      <c r="L1048120"/>
      <c r="M1048120"/>
      <c r="N1048120"/>
      <c r="O1048120"/>
      <c r="P1048120"/>
      <c r="Q1048120"/>
      <c r="R1048120"/>
      <c r="S1048120"/>
      <c r="T1048120"/>
      <c r="U1048120"/>
      <c r="V1048120"/>
      <c r="W1048120"/>
      <c r="X1048120"/>
      <c r="Y1048120"/>
      <c r="Z1048120"/>
      <c r="AA1048120"/>
      <c r="AB1048120"/>
    </row>
    <row r="1048121" spans="1:28">
      <c r="A1048121"/>
      <c r="B1048121"/>
      <c r="C1048121"/>
      <c r="D1048121"/>
      <c r="E1048121"/>
      <c r="F1048121"/>
      <c r="G1048121"/>
      <c r="H1048121"/>
      <c r="I1048121"/>
      <c r="J1048121"/>
      <c r="K1048121"/>
      <c r="L1048121"/>
      <c r="M1048121"/>
      <c r="N1048121"/>
      <c r="O1048121"/>
      <c r="P1048121"/>
      <c r="Q1048121"/>
      <c r="R1048121"/>
      <c r="S1048121"/>
      <c r="T1048121"/>
      <c r="U1048121"/>
      <c r="V1048121"/>
      <c r="W1048121"/>
      <c r="X1048121"/>
      <c r="Y1048121"/>
      <c r="Z1048121"/>
      <c r="AA1048121"/>
      <c r="AB1048121"/>
    </row>
    <row r="1048122" spans="1:28">
      <c r="A1048122"/>
      <c r="B1048122"/>
      <c r="C1048122"/>
      <c r="D1048122"/>
      <c r="E1048122"/>
      <c r="F1048122"/>
      <c r="G1048122"/>
      <c r="H1048122"/>
      <c r="I1048122"/>
      <c r="J1048122"/>
      <c r="K1048122"/>
      <c r="L1048122"/>
      <c r="M1048122"/>
      <c r="N1048122"/>
      <c r="O1048122"/>
      <c r="P1048122"/>
      <c r="Q1048122"/>
      <c r="R1048122"/>
      <c r="S1048122"/>
      <c r="T1048122"/>
      <c r="U1048122"/>
      <c r="V1048122"/>
      <c r="W1048122"/>
      <c r="X1048122"/>
      <c r="Y1048122"/>
      <c r="Z1048122"/>
      <c r="AA1048122"/>
      <c r="AB1048122"/>
    </row>
    <row r="1048123" spans="1:28">
      <c r="A1048123"/>
      <c r="B1048123"/>
      <c r="C1048123"/>
      <c r="D1048123"/>
      <c r="E1048123"/>
      <c r="F1048123"/>
      <c r="G1048123"/>
      <c r="H1048123"/>
      <c r="I1048123"/>
      <c r="J1048123"/>
      <c r="K1048123"/>
      <c r="L1048123"/>
      <c r="M1048123"/>
      <c r="N1048123"/>
      <c r="O1048123"/>
      <c r="P1048123"/>
      <c r="Q1048123"/>
      <c r="R1048123"/>
      <c r="S1048123"/>
      <c r="T1048123"/>
      <c r="U1048123"/>
      <c r="V1048123"/>
      <c r="W1048123"/>
      <c r="X1048123"/>
      <c r="Y1048123"/>
      <c r="Z1048123"/>
      <c r="AA1048123"/>
      <c r="AB1048123"/>
    </row>
    <row r="1048124" spans="1:28">
      <c r="A1048124"/>
      <c r="B1048124"/>
      <c r="C1048124"/>
      <c r="D1048124"/>
      <c r="E1048124"/>
      <c r="F1048124"/>
      <c r="G1048124"/>
      <c r="H1048124"/>
      <c r="I1048124"/>
      <c r="J1048124"/>
      <c r="K1048124"/>
      <c r="L1048124"/>
      <c r="M1048124"/>
      <c r="N1048124"/>
      <c r="O1048124"/>
      <c r="P1048124"/>
      <c r="Q1048124"/>
      <c r="R1048124"/>
      <c r="S1048124"/>
      <c r="T1048124"/>
      <c r="U1048124"/>
      <c r="V1048124"/>
      <c r="W1048124"/>
      <c r="X1048124"/>
      <c r="Y1048124"/>
      <c r="Z1048124"/>
      <c r="AA1048124"/>
      <c r="AB1048124"/>
    </row>
    <row r="1048125" spans="1:28">
      <c r="A1048125"/>
      <c r="B1048125"/>
      <c r="C1048125"/>
      <c r="D1048125"/>
      <c r="E1048125"/>
      <c r="F1048125"/>
      <c r="G1048125"/>
      <c r="H1048125"/>
      <c r="I1048125"/>
      <c r="J1048125"/>
      <c r="K1048125"/>
      <c r="L1048125"/>
      <c r="M1048125"/>
      <c r="N1048125"/>
      <c r="O1048125"/>
      <c r="P1048125"/>
      <c r="Q1048125"/>
      <c r="R1048125"/>
      <c r="S1048125"/>
      <c r="T1048125"/>
      <c r="U1048125"/>
      <c r="V1048125"/>
      <c r="W1048125"/>
      <c r="X1048125"/>
      <c r="Y1048125"/>
      <c r="Z1048125"/>
      <c r="AA1048125"/>
      <c r="AB1048125"/>
    </row>
    <row r="1048126" spans="1:28">
      <c r="A1048126"/>
      <c r="B1048126"/>
      <c r="C1048126"/>
      <c r="D1048126"/>
      <c r="E1048126"/>
      <c r="F1048126"/>
      <c r="G1048126"/>
      <c r="H1048126"/>
      <c r="I1048126"/>
      <c r="J1048126"/>
      <c r="K1048126"/>
      <c r="L1048126"/>
      <c r="M1048126"/>
      <c r="N1048126"/>
      <c r="O1048126"/>
      <c r="P1048126"/>
      <c r="Q1048126"/>
      <c r="R1048126"/>
      <c r="S1048126"/>
      <c r="T1048126"/>
      <c r="U1048126"/>
      <c r="V1048126"/>
      <c r="W1048126"/>
      <c r="X1048126"/>
      <c r="Y1048126"/>
      <c r="Z1048126"/>
      <c r="AA1048126"/>
      <c r="AB1048126"/>
    </row>
    <row r="1048127" spans="1:28">
      <c r="A1048127"/>
      <c r="B1048127"/>
      <c r="C1048127"/>
      <c r="D1048127"/>
      <c r="E1048127"/>
      <c r="F1048127"/>
      <c r="G1048127"/>
      <c r="H1048127"/>
      <c r="I1048127"/>
      <c r="J1048127"/>
      <c r="K1048127"/>
      <c r="L1048127"/>
      <c r="M1048127"/>
      <c r="N1048127"/>
      <c r="O1048127"/>
      <c r="P1048127"/>
      <c r="Q1048127"/>
      <c r="R1048127"/>
      <c r="S1048127"/>
      <c r="T1048127"/>
      <c r="U1048127"/>
      <c r="V1048127"/>
      <c r="W1048127"/>
      <c r="X1048127"/>
      <c r="Y1048127"/>
      <c r="Z1048127"/>
      <c r="AA1048127"/>
      <c r="AB1048127"/>
    </row>
    <row r="1048128" spans="1:28">
      <c r="A1048128"/>
      <c r="B1048128"/>
      <c r="C1048128"/>
      <c r="D1048128"/>
      <c r="E1048128"/>
      <c r="F1048128"/>
      <c r="G1048128"/>
      <c r="H1048128"/>
      <c r="I1048128"/>
      <c r="J1048128"/>
      <c r="K1048128"/>
      <c r="L1048128"/>
      <c r="M1048128"/>
      <c r="N1048128"/>
      <c r="O1048128"/>
      <c r="P1048128"/>
      <c r="Q1048128"/>
      <c r="R1048128"/>
      <c r="S1048128"/>
      <c r="T1048128"/>
      <c r="U1048128"/>
      <c r="V1048128"/>
      <c r="W1048128"/>
      <c r="X1048128"/>
      <c r="Y1048128"/>
      <c r="Z1048128"/>
      <c r="AA1048128"/>
      <c r="AB1048128"/>
    </row>
    <row r="1048129" spans="1:28">
      <c r="A1048129"/>
      <c r="B1048129"/>
      <c r="C1048129"/>
      <c r="D1048129"/>
      <c r="E1048129"/>
      <c r="F1048129"/>
      <c r="G1048129"/>
      <c r="H1048129"/>
      <c r="I1048129"/>
      <c r="J1048129"/>
      <c r="K1048129"/>
      <c r="L1048129"/>
      <c r="M1048129"/>
      <c r="N1048129"/>
      <c r="O1048129"/>
      <c r="P1048129"/>
      <c r="Q1048129"/>
      <c r="R1048129"/>
      <c r="S1048129"/>
      <c r="T1048129"/>
      <c r="U1048129"/>
      <c r="V1048129"/>
      <c r="W1048129"/>
      <c r="X1048129"/>
      <c r="Y1048129"/>
      <c r="Z1048129"/>
      <c r="AA1048129"/>
      <c r="AB1048129"/>
    </row>
    <row r="1048130" spans="1:28">
      <c r="A1048130"/>
      <c r="B1048130"/>
      <c r="C1048130"/>
      <c r="D1048130"/>
      <c r="E1048130"/>
      <c r="F1048130"/>
      <c r="G1048130"/>
      <c r="H1048130"/>
      <c r="I1048130"/>
      <c r="J1048130"/>
      <c r="K1048130"/>
      <c r="L1048130"/>
      <c r="M1048130"/>
      <c r="N1048130"/>
      <c r="O1048130"/>
      <c r="P1048130"/>
      <c r="Q1048130"/>
      <c r="R1048130"/>
      <c r="S1048130"/>
      <c r="T1048130"/>
      <c r="U1048130"/>
      <c r="V1048130"/>
      <c r="W1048130"/>
      <c r="X1048130"/>
      <c r="Y1048130"/>
      <c r="Z1048130"/>
      <c r="AA1048130"/>
      <c r="AB1048130"/>
    </row>
    <row r="1048131" spans="1:28">
      <c r="A1048131"/>
      <c r="B1048131"/>
      <c r="C1048131"/>
      <c r="D1048131"/>
      <c r="E1048131"/>
      <c r="F1048131"/>
      <c r="G1048131"/>
      <c r="H1048131"/>
      <c r="I1048131"/>
      <c r="J1048131"/>
      <c r="K1048131"/>
      <c r="L1048131"/>
      <c r="M1048131"/>
      <c r="N1048131"/>
      <c r="O1048131"/>
      <c r="P1048131"/>
      <c r="Q1048131"/>
      <c r="R1048131"/>
      <c r="S1048131"/>
      <c r="T1048131"/>
      <c r="U1048131"/>
      <c r="V1048131"/>
      <c r="W1048131"/>
      <c r="X1048131"/>
      <c r="Y1048131"/>
      <c r="Z1048131"/>
      <c r="AA1048131"/>
      <c r="AB1048131"/>
    </row>
    <row r="1048132" spans="1:28">
      <c r="A1048132"/>
      <c r="B1048132"/>
      <c r="C1048132"/>
      <c r="D1048132"/>
      <c r="E1048132"/>
      <c r="F1048132"/>
      <c r="G1048132"/>
      <c r="H1048132"/>
      <c r="I1048132"/>
      <c r="J1048132"/>
      <c r="K1048132"/>
      <c r="L1048132"/>
      <c r="M1048132"/>
      <c r="N1048132"/>
      <c r="O1048132"/>
      <c r="P1048132"/>
      <c r="Q1048132"/>
      <c r="R1048132"/>
      <c r="S1048132"/>
      <c r="T1048132"/>
      <c r="U1048132"/>
      <c r="V1048132"/>
      <c r="W1048132"/>
      <c r="X1048132"/>
      <c r="Y1048132"/>
      <c r="Z1048132"/>
      <c r="AA1048132"/>
      <c r="AB1048132"/>
    </row>
    <row r="1048133" spans="1:28">
      <c r="A1048133"/>
      <c r="B1048133"/>
      <c r="C1048133"/>
      <c r="D1048133"/>
      <c r="E1048133"/>
      <c r="F1048133"/>
      <c r="G1048133"/>
      <c r="H1048133"/>
      <c r="I1048133"/>
      <c r="J1048133"/>
      <c r="K1048133"/>
      <c r="L1048133"/>
      <c r="M1048133"/>
      <c r="N1048133"/>
      <c r="O1048133"/>
      <c r="P1048133"/>
      <c r="Q1048133"/>
      <c r="R1048133"/>
      <c r="S1048133"/>
      <c r="T1048133"/>
      <c r="U1048133"/>
      <c r="V1048133"/>
      <c r="W1048133"/>
      <c r="X1048133"/>
      <c r="Y1048133"/>
      <c r="Z1048133"/>
      <c r="AA1048133"/>
      <c r="AB1048133"/>
    </row>
    <row r="1048134" spans="1:28">
      <c r="A1048134"/>
      <c r="B1048134"/>
      <c r="C1048134"/>
      <c r="D1048134"/>
      <c r="E1048134"/>
      <c r="F1048134"/>
      <c r="G1048134"/>
      <c r="H1048134"/>
      <c r="I1048134"/>
      <c r="J1048134"/>
      <c r="K1048134"/>
      <c r="L1048134"/>
      <c r="M1048134"/>
      <c r="N1048134"/>
      <c r="O1048134"/>
      <c r="P1048134"/>
      <c r="Q1048134"/>
      <c r="R1048134"/>
      <c r="S1048134"/>
      <c r="T1048134"/>
      <c r="U1048134"/>
      <c r="V1048134"/>
      <c r="W1048134"/>
      <c r="X1048134"/>
      <c r="Y1048134"/>
      <c r="Z1048134"/>
      <c r="AA1048134"/>
      <c r="AB1048134"/>
    </row>
    <row r="1048135" spans="1:28">
      <c r="A1048135"/>
      <c r="B1048135"/>
      <c r="C1048135"/>
      <c r="D1048135"/>
      <c r="E1048135"/>
      <c r="F1048135"/>
      <c r="G1048135"/>
      <c r="H1048135"/>
      <c r="I1048135"/>
      <c r="J1048135"/>
      <c r="K1048135"/>
      <c r="L1048135"/>
      <c r="M1048135"/>
      <c r="N1048135"/>
      <c r="O1048135"/>
      <c r="P1048135"/>
      <c r="Q1048135"/>
      <c r="R1048135"/>
      <c r="S1048135"/>
      <c r="T1048135"/>
      <c r="U1048135"/>
      <c r="V1048135"/>
      <c r="W1048135"/>
      <c r="X1048135"/>
      <c r="Y1048135"/>
      <c r="Z1048135"/>
      <c r="AA1048135"/>
      <c r="AB1048135"/>
    </row>
    <row r="1048136" spans="1:28">
      <c r="A1048136"/>
      <c r="B1048136"/>
      <c r="C1048136"/>
      <c r="D1048136"/>
      <c r="E1048136"/>
      <c r="F1048136"/>
      <c r="G1048136"/>
      <c r="H1048136"/>
      <c r="I1048136"/>
      <c r="J1048136"/>
      <c r="K1048136"/>
      <c r="L1048136"/>
      <c r="M1048136"/>
      <c r="N1048136"/>
      <c r="O1048136"/>
      <c r="P1048136"/>
      <c r="Q1048136"/>
      <c r="R1048136"/>
      <c r="S1048136"/>
      <c r="T1048136"/>
      <c r="U1048136"/>
      <c r="V1048136"/>
      <c r="W1048136"/>
      <c r="X1048136"/>
      <c r="Y1048136"/>
      <c r="Z1048136"/>
      <c r="AA1048136"/>
      <c r="AB1048136"/>
    </row>
    <row r="1048137" spans="1:28">
      <c r="A1048137"/>
      <c r="B1048137"/>
      <c r="C1048137"/>
      <c r="D1048137"/>
      <c r="E1048137"/>
      <c r="F1048137"/>
      <c r="G1048137"/>
      <c r="H1048137"/>
      <c r="I1048137"/>
      <c r="J1048137"/>
      <c r="K1048137"/>
      <c r="L1048137"/>
      <c r="M1048137"/>
      <c r="N1048137"/>
      <c r="O1048137"/>
      <c r="P1048137"/>
      <c r="Q1048137"/>
      <c r="R1048137"/>
      <c r="S1048137"/>
      <c r="T1048137"/>
      <c r="U1048137"/>
      <c r="V1048137"/>
      <c r="W1048137"/>
      <c r="X1048137"/>
      <c r="Y1048137"/>
      <c r="Z1048137"/>
      <c r="AA1048137"/>
      <c r="AB1048137"/>
    </row>
    <row r="1048138" spans="1:28">
      <c r="A1048138"/>
      <c r="B1048138"/>
      <c r="C1048138"/>
      <c r="D1048138"/>
      <c r="E1048138"/>
      <c r="F1048138"/>
      <c r="G1048138"/>
      <c r="H1048138"/>
      <c r="I1048138"/>
      <c r="J1048138"/>
      <c r="K1048138"/>
      <c r="L1048138"/>
      <c r="M1048138"/>
      <c r="N1048138"/>
      <c r="O1048138"/>
      <c r="P1048138"/>
      <c r="Q1048138"/>
      <c r="R1048138"/>
      <c r="S1048138"/>
      <c r="T1048138"/>
      <c r="U1048138"/>
      <c r="V1048138"/>
      <c r="W1048138"/>
      <c r="X1048138"/>
      <c r="Y1048138"/>
      <c r="Z1048138"/>
      <c r="AA1048138"/>
      <c r="AB1048138"/>
    </row>
    <row r="1048139" spans="1:28">
      <c r="A1048139"/>
      <c r="B1048139"/>
      <c r="C1048139"/>
      <c r="D1048139"/>
      <c r="E1048139"/>
      <c r="F1048139"/>
      <c r="G1048139"/>
      <c r="H1048139"/>
      <c r="I1048139"/>
      <c r="J1048139"/>
      <c r="K1048139"/>
      <c r="L1048139"/>
      <c r="M1048139"/>
      <c r="N1048139"/>
      <c r="O1048139"/>
      <c r="P1048139"/>
      <c r="Q1048139"/>
      <c r="R1048139"/>
      <c r="S1048139"/>
      <c r="T1048139"/>
      <c r="U1048139"/>
      <c r="V1048139"/>
      <c r="W1048139"/>
      <c r="X1048139"/>
      <c r="Y1048139"/>
      <c r="Z1048139"/>
      <c r="AA1048139"/>
      <c r="AB1048139"/>
    </row>
    <row r="1048140" spans="1:28">
      <c r="A1048140"/>
      <c r="B1048140"/>
      <c r="C1048140"/>
      <c r="D1048140"/>
      <c r="E1048140"/>
      <c r="F1048140"/>
      <c r="G1048140"/>
      <c r="H1048140"/>
      <c r="I1048140"/>
      <c r="J1048140"/>
      <c r="K1048140"/>
      <c r="L1048140"/>
      <c r="M1048140"/>
      <c r="N1048140"/>
      <c r="O1048140"/>
      <c r="P1048140"/>
      <c r="Q1048140"/>
      <c r="R1048140"/>
      <c r="S1048140"/>
      <c r="T1048140"/>
      <c r="U1048140"/>
      <c r="V1048140"/>
      <c r="W1048140"/>
      <c r="X1048140"/>
      <c r="Y1048140"/>
      <c r="Z1048140"/>
      <c r="AA1048140"/>
      <c r="AB1048140"/>
    </row>
    <row r="1048141" spans="1:28">
      <c r="A1048141"/>
      <c r="B1048141"/>
      <c r="C1048141"/>
      <c r="D1048141"/>
      <c r="E1048141"/>
      <c r="F1048141"/>
      <c r="G1048141"/>
      <c r="H1048141"/>
      <c r="I1048141"/>
      <c r="J1048141"/>
      <c r="K1048141"/>
      <c r="L1048141"/>
      <c r="M1048141"/>
      <c r="N1048141"/>
      <c r="O1048141"/>
      <c r="P1048141"/>
      <c r="Q1048141"/>
      <c r="R1048141"/>
      <c r="S1048141"/>
      <c r="T1048141"/>
      <c r="U1048141"/>
      <c r="V1048141"/>
      <c r="W1048141"/>
      <c r="X1048141"/>
      <c r="Y1048141"/>
      <c r="Z1048141"/>
      <c r="AA1048141"/>
      <c r="AB1048141"/>
    </row>
    <row r="1048142" spans="1:28">
      <c r="A1048142"/>
      <c r="B1048142"/>
      <c r="C1048142"/>
      <c r="D1048142"/>
      <c r="E1048142"/>
      <c r="F1048142"/>
      <c r="G1048142"/>
      <c r="H1048142"/>
      <c r="I1048142"/>
      <c r="J1048142"/>
      <c r="K1048142"/>
      <c r="L1048142"/>
      <c r="M1048142"/>
      <c r="N1048142"/>
      <c r="O1048142"/>
      <c r="P1048142"/>
      <c r="Q1048142"/>
      <c r="R1048142"/>
      <c r="S1048142"/>
      <c r="T1048142"/>
      <c r="U1048142"/>
      <c r="V1048142"/>
      <c r="W1048142"/>
      <c r="X1048142"/>
      <c r="Y1048142"/>
      <c r="Z1048142"/>
      <c r="AA1048142"/>
      <c r="AB1048142"/>
    </row>
    <row r="1048143" spans="1:28">
      <c r="A1048143"/>
      <c r="B1048143"/>
      <c r="C1048143"/>
      <c r="D1048143"/>
      <c r="E1048143"/>
      <c r="F1048143"/>
      <c r="G1048143"/>
      <c r="H1048143"/>
      <c r="I1048143"/>
      <c r="J1048143"/>
      <c r="K1048143"/>
      <c r="L1048143"/>
      <c r="M1048143"/>
      <c r="N1048143"/>
      <c r="O1048143"/>
      <c r="P1048143"/>
      <c r="Q1048143"/>
      <c r="R1048143"/>
      <c r="S1048143"/>
      <c r="T1048143"/>
      <c r="U1048143"/>
      <c r="V1048143"/>
      <c r="W1048143"/>
      <c r="X1048143"/>
      <c r="Y1048143"/>
      <c r="Z1048143"/>
      <c r="AA1048143"/>
      <c r="AB1048143"/>
    </row>
    <row r="1048144" spans="1:28">
      <c r="A1048144"/>
      <c r="B1048144"/>
      <c r="C1048144"/>
      <c r="D1048144"/>
      <c r="E1048144"/>
      <c r="F1048144"/>
      <c r="G1048144"/>
      <c r="H1048144"/>
      <c r="I1048144"/>
      <c r="J1048144"/>
      <c r="K1048144"/>
      <c r="L1048144"/>
      <c r="M1048144"/>
      <c r="N1048144"/>
      <c r="O1048144"/>
      <c r="P1048144"/>
      <c r="Q1048144"/>
      <c r="R1048144"/>
      <c r="S1048144"/>
      <c r="T1048144"/>
      <c r="U1048144"/>
      <c r="V1048144"/>
      <c r="W1048144"/>
      <c r="X1048144"/>
      <c r="Y1048144"/>
      <c r="Z1048144"/>
      <c r="AA1048144"/>
      <c r="AB1048144"/>
    </row>
    <row r="1048145" spans="1:28">
      <c r="A1048145"/>
      <c r="B1048145"/>
      <c r="C1048145"/>
      <c r="D1048145"/>
      <c r="E1048145"/>
      <c r="F1048145"/>
      <c r="G1048145"/>
      <c r="H1048145"/>
      <c r="I1048145"/>
      <c r="J1048145"/>
      <c r="K1048145"/>
      <c r="L1048145"/>
      <c r="M1048145"/>
      <c r="N1048145"/>
      <c r="O1048145"/>
      <c r="P1048145"/>
      <c r="Q1048145"/>
      <c r="R1048145"/>
      <c r="S1048145"/>
      <c r="T1048145"/>
      <c r="U1048145"/>
      <c r="V1048145"/>
      <c r="W1048145"/>
      <c r="X1048145"/>
      <c r="Y1048145"/>
      <c r="Z1048145"/>
      <c r="AA1048145"/>
      <c r="AB1048145"/>
    </row>
    <row r="1048146" spans="1:28">
      <c r="A1048146"/>
      <c r="B1048146"/>
      <c r="C1048146"/>
      <c r="D1048146"/>
      <c r="E1048146"/>
      <c r="F1048146"/>
      <c r="G1048146"/>
      <c r="H1048146"/>
      <c r="I1048146"/>
      <c r="J1048146"/>
      <c r="K1048146"/>
      <c r="L1048146"/>
      <c r="M1048146"/>
      <c r="N1048146"/>
      <c r="O1048146"/>
      <c r="P1048146"/>
      <c r="Q1048146"/>
      <c r="R1048146"/>
      <c r="S1048146"/>
      <c r="T1048146"/>
      <c r="U1048146"/>
      <c r="V1048146"/>
      <c r="W1048146"/>
      <c r="X1048146"/>
      <c r="Y1048146"/>
      <c r="Z1048146"/>
      <c r="AA1048146"/>
      <c r="AB1048146"/>
    </row>
    <row r="1048147" spans="1:28">
      <c r="A1048147"/>
      <c r="B1048147"/>
      <c r="C1048147"/>
      <c r="D1048147"/>
      <c r="E1048147"/>
      <c r="F1048147"/>
      <c r="G1048147"/>
      <c r="H1048147"/>
      <c r="I1048147"/>
      <c r="J1048147"/>
      <c r="K1048147"/>
      <c r="L1048147"/>
      <c r="M1048147"/>
      <c r="N1048147"/>
      <c r="O1048147"/>
      <c r="P1048147"/>
      <c r="Q1048147"/>
      <c r="R1048147"/>
      <c r="S1048147"/>
      <c r="T1048147"/>
      <c r="U1048147"/>
      <c r="V1048147"/>
      <c r="W1048147"/>
      <c r="X1048147"/>
      <c r="Y1048147"/>
      <c r="Z1048147"/>
      <c r="AA1048147"/>
      <c r="AB1048147"/>
    </row>
    <row r="1048148" spans="1:28">
      <c r="A1048148"/>
      <c r="B1048148"/>
      <c r="C1048148"/>
      <c r="D1048148"/>
      <c r="E1048148"/>
      <c r="F1048148"/>
      <c r="G1048148"/>
      <c r="H1048148"/>
      <c r="I1048148"/>
      <c r="J1048148"/>
      <c r="K1048148"/>
      <c r="L1048148"/>
      <c r="M1048148"/>
      <c r="N1048148"/>
      <c r="O1048148"/>
      <c r="P1048148"/>
      <c r="Q1048148"/>
      <c r="R1048148"/>
      <c r="S1048148"/>
      <c r="T1048148"/>
      <c r="U1048148"/>
      <c r="V1048148"/>
      <c r="W1048148"/>
      <c r="X1048148"/>
      <c r="Y1048148"/>
      <c r="Z1048148"/>
      <c r="AA1048148"/>
      <c r="AB1048148"/>
    </row>
    <row r="1048149" spans="1:28">
      <c r="A1048149"/>
      <c r="B1048149"/>
      <c r="C1048149"/>
      <c r="D1048149"/>
      <c r="E1048149"/>
      <c r="F1048149"/>
      <c r="G1048149"/>
      <c r="H1048149"/>
      <c r="I1048149"/>
      <c r="J1048149"/>
      <c r="K1048149"/>
      <c r="L1048149"/>
      <c r="M1048149"/>
      <c r="N1048149"/>
      <c r="O1048149"/>
      <c r="P1048149"/>
      <c r="Q1048149"/>
      <c r="R1048149"/>
      <c r="S1048149"/>
      <c r="T1048149"/>
      <c r="U1048149"/>
      <c r="V1048149"/>
      <c r="W1048149"/>
      <c r="X1048149"/>
      <c r="Y1048149"/>
      <c r="Z1048149"/>
      <c r="AA1048149"/>
      <c r="AB1048149"/>
    </row>
    <row r="1048150" spans="1:28">
      <c r="A1048150"/>
      <c r="B1048150"/>
      <c r="C1048150"/>
      <c r="D1048150"/>
      <c r="E1048150"/>
      <c r="F1048150"/>
      <c r="G1048150"/>
      <c r="H1048150"/>
      <c r="I1048150"/>
      <c r="J1048150"/>
      <c r="K1048150"/>
      <c r="L1048150"/>
      <c r="M1048150"/>
      <c r="N1048150"/>
      <c r="O1048150"/>
      <c r="P1048150"/>
      <c r="Q1048150"/>
      <c r="R1048150"/>
      <c r="S1048150"/>
      <c r="T1048150"/>
      <c r="U1048150"/>
      <c r="V1048150"/>
      <c r="W1048150"/>
      <c r="X1048150"/>
      <c r="Y1048150"/>
      <c r="Z1048150"/>
      <c r="AA1048150"/>
      <c r="AB1048150"/>
    </row>
    <row r="1048151" spans="1:28">
      <c r="A1048151"/>
      <c r="B1048151"/>
      <c r="C1048151"/>
      <c r="D1048151"/>
      <c r="E1048151"/>
      <c r="F1048151"/>
      <c r="G1048151"/>
      <c r="H1048151"/>
      <c r="I1048151"/>
      <c r="J1048151"/>
      <c r="K1048151"/>
      <c r="L1048151"/>
      <c r="M1048151"/>
      <c r="N1048151"/>
      <c r="O1048151"/>
      <c r="P1048151"/>
      <c r="Q1048151"/>
      <c r="R1048151"/>
      <c r="S1048151"/>
      <c r="T1048151"/>
      <c r="U1048151"/>
      <c r="V1048151"/>
      <c r="W1048151"/>
      <c r="X1048151"/>
      <c r="Y1048151"/>
      <c r="Z1048151"/>
      <c r="AA1048151"/>
      <c r="AB1048151"/>
    </row>
    <row r="1048152" spans="1:28">
      <c r="A1048152"/>
      <c r="B1048152"/>
      <c r="C1048152"/>
      <c r="D1048152"/>
      <c r="E1048152"/>
      <c r="F1048152"/>
      <c r="G1048152"/>
      <c r="H1048152"/>
      <c r="I1048152"/>
      <c r="J1048152"/>
      <c r="K1048152"/>
      <c r="L1048152"/>
      <c r="M1048152"/>
      <c r="N1048152"/>
      <c r="O1048152"/>
      <c r="P1048152"/>
      <c r="Q1048152"/>
      <c r="R1048152"/>
      <c r="S1048152"/>
      <c r="T1048152"/>
      <c r="U1048152"/>
      <c r="V1048152"/>
      <c r="W1048152"/>
      <c r="X1048152"/>
      <c r="Y1048152"/>
      <c r="Z1048152"/>
      <c r="AA1048152"/>
      <c r="AB1048152"/>
    </row>
    <row r="1048153" spans="1:28">
      <c r="A1048153"/>
      <c r="B1048153"/>
      <c r="C1048153"/>
      <c r="D1048153"/>
      <c r="E1048153"/>
      <c r="F1048153"/>
      <c r="G1048153"/>
      <c r="H1048153"/>
      <c r="I1048153"/>
      <c r="J1048153"/>
      <c r="K1048153"/>
      <c r="L1048153"/>
      <c r="M1048153"/>
      <c r="N1048153"/>
      <c r="O1048153"/>
      <c r="P1048153"/>
      <c r="Q1048153"/>
      <c r="R1048153"/>
      <c r="S1048153"/>
      <c r="T1048153"/>
      <c r="U1048153"/>
      <c r="V1048153"/>
      <c r="W1048153"/>
      <c r="X1048153"/>
      <c r="Y1048153"/>
      <c r="Z1048153"/>
      <c r="AA1048153"/>
      <c r="AB1048153"/>
    </row>
    <row r="1048154" spans="1:28">
      <c r="A1048154"/>
      <c r="B1048154"/>
      <c r="C1048154"/>
      <c r="D1048154"/>
      <c r="E1048154"/>
      <c r="F1048154"/>
      <c r="G1048154"/>
      <c r="H1048154"/>
      <c r="I1048154"/>
      <c r="J1048154"/>
      <c r="K1048154"/>
      <c r="L1048154"/>
      <c r="M1048154"/>
      <c r="N1048154"/>
      <c r="O1048154"/>
      <c r="P1048154"/>
      <c r="Q1048154"/>
      <c r="R1048154"/>
      <c r="S1048154"/>
      <c r="T1048154"/>
      <c r="U1048154"/>
      <c r="V1048154"/>
      <c r="W1048154"/>
      <c r="X1048154"/>
      <c r="Y1048154"/>
      <c r="Z1048154"/>
      <c r="AA1048154"/>
      <c r="AB1048154"/>
    </row>
    <row r="1048155" spans="1:28">
      <c r="A1048155"/>
      <c r="B1048155"/>
      <c r="C1048155"/>
      <c r="D1048155"/>
      <c r="E1048155"/>
      <c r="F1048155"/>
      <c r="G1048155"/>
      <c r="H1048155"/>
      <c r="I1048155"/>
      <c r="J1048155"/>
      <c r="K1048155"/>
      <c r="L1048155"/>
      <c r="M1048155"/>
      <c r="N1048155"/>
      <c r="O1048155"/>
      <c r="P1048155"/>
      <c r="Q1048155"/>
      <c r="R1048155"/>
      <c r="S1048155"/>
      <c r="T1048155"/>
      <c r="U1048155"/>
      <c r="V1048155"/>
      <c r="W1048155"/>
      <c r="X1048155"/>
      <c r="Y1048155"/>
      <c r="Z1048155"/>
      <c r="AA1048155"/>
      <c r="AB1048155"/>
    </row>
    <row r="1048156" spans="1:28">
      <c r="A1048156"/>
      <c r="B1048156"/>
      <c r="C1048156"/>
      <c r="D1048156"/>
      <c r="E1048156"/>
      <c r="F1048156"/>
      <c r="G1048156"/>
      <c r="H1048156"/>
      <c r="I1048156"/>
      <c r="J1048156"/>
      <c r="K1048156"/>
      <c r="L1048156"/>
      <c r="M1048156"/>
      <c r="N1048156"/>
      <c r="O1048156"/>
      <c r="P1048156"/>
      <c r="Q1048156"/>
      <c r="R1048156"/>
      <c r="S1048156"/>
      <c r="T1048156"/>
      <c r="U1048156"/>
      <c r="V1048156"/>
      <c r="W1048156"/>
      <c r="X1048156"/>
      <c r="Y1048156"/>
      <c r="Z1048156"/>
      <c r="AA1048156"/>
      <c r="AB1048156"/>
    </row>
    <row r="1048157" spans="1:28">
      <c r="A1048157"/>
      <c r="B1048157"/>
      <c r="C1048157"/>
      <c r="D1048157"/>
      <c r="E1048157"/>
      <c r="F1048157"/>
      <c r="G1048157"/>
      <c r="H1048157"/>
      <c r="I1048157"/>
      <c r="J1048157"/>
      <c r="K1048157"/>
      <c r="L1048157"/>
      <c r="M1048157"/>
      <c r="N1048157"/>
      <c r="O1048157"/>
      <c r="P1048157"/>
      <c r="Q1048157"/>
      <c r="R1048157"/>
      <c r="S1048157"/>
      <c r="T1048157"/>
      <c r="U1048157"/>
      <c r="V1048157"/>
      <c r="W1048157"/>
      <c r="X1048157"/>
      <c r="Y1048157"/>
      <c r="Z1048157"/>
      <c r="AA1048157"/>
      <c r="AB1048157"/>
    </row>
    <row r="1048158" spans="1:28">
      <c r="A1048158"/>
      <c r="B1048158"/>
      <c r="C1048158"/>
      <c r="D1048158"/>
      <c r="E1048158"/>
      <c r="F1048158"/>
      <c r="G1048158"/>
      <c r="H1048158"/>
      <c r="I1048158"/>
      <c r="J1048158"/>
      <c r="K1048158"/>
      <c r="L1048158"/>
      <c r="M1048158"/>
      <c r="N1048158"/>
      <c r="O1048158"/>
      <c r="P1048158"/>
      <c r="Q1048158"/>
      <c r="R1048158"/>
      <c r="S1048158"/>
      <c r="T1048158"/>
      <c r="U1048158"/>
      <c r="V1048158"/>
      <c r="W1048158"/>
      <c r="X1048158"/>
      <c r="Y1048158"/>
      <c r="Z1048158"/>
      <c r="AA1048158"/>
      <c r="AB1048158"/>
    </row>
    <row r="1048159" spans="1:28">
      <c r="A1048159"/>
      <c r="B1048159"/>
      <c r="C1048159"/>
      <c r="D1048159"/>
      <c r="E1048159"/>
      <c r="F1048159"/>
      <c r="G1048159"/>
      <c r="H1048159"/>
      <c r="I1048159"/>
      <c r="J1048159"/>
      <c r="K1048159"/>
      <c r="L1048159"/>
      <c r="M1048159"/>
      <c r="N1048159"/>
      <c r="O1048159"/>
      <c r="P1048159"/>
      <c r="Q1048159"/>
      <c r="R1048159"/>
      <c r="S1048159"/>
      <c r="T1048159"/>
      <c r="U1048159"/>
      <c r="V1048159"/>
      <c r="W1048159"/>
      <c r="X1048159"/>
      <c r="Y1048159"/>
      <c r="Z1048159"/>
      <c r="AA1048159"/>
      <c r="AB1048159"/>
    </row>
    <row r="1048160" spans="1:28">
      <c r="A1048160"/>
      <c r="B1048160"/>
      <c r="C1048160"/>
      <c r="D1048160"/>
      <c r="E1048160"/>
      <c r="F1048160"/>
      <c r="G1048160"/>
      <c r="H1048160"/>
      <c r="I1048160"/>
      <c r="J1048160"/>
      <c r="K1048160"/>
      <c r="L1048160"/>
      <c r="M1048160"/>
      <c r="N1048160"/>
      <c r="O1048160"/>
      <c r="P1048160"/>
      <c r="Q1048160"/>
      <c r="R1048160"/>
      <c r="S1048160"/>
      <c r="T1048160"/>
      <c r="U1048160"/>
      <c r="V1048160"/>
      <c r="W1048160"/>
      <c r="X1048160"/>
      <c r="Y1048160"/>
      <c r="Z1048160"/>
      <c r="AA1048160"/>
      <c r="AB1048160"/>
    </row>
    <row r="1048161" spans="1:28">
      <c r="A1048161"/>
      <c r="B1048161"/>
      <c r="C1048161"/>
      <c r="D1048161"/>
      <c r="E1048161"/>
      <c r="F1048161"/>
      <c r="G1048161"/>
      <c r="H1048161"/>
      <c r="I1048161"/>
      <c r="J1048161"/>
      <c r="K1048161"/>
      <c r="L1048161"/>
      <c r="M1048161"/>
      <c r="N1048161"/>
      <c r="O1048161"/>
      <c r="P1048161"/>
      <c r="Q1048161"/>
      <c r="R1048161"/>
      <c r="S1048161"/>
      <c r="T1048161"/>
      <c r="U1048161"/>
      <c r="V1048161"/>
      <c r="W1048161"/>
      <c r="X1048161"/>
      <c r="Y1048161"/>
      <c r="Z1048161"/>
      <c r="AA1048161"/>
      <c r="AB1048161"/>
    </row>
    <row r="1048162" spans="1:28">
      <c r="A1048162"/>
      <c r="B1048162"/>
      <c r="C1048162"/>
      <c r="D1048162"/>
      <c r="E1048162"/>
      <c r="F1048162"/>
      <c r="G1048162"/>
      <c r="H1048162"/>
      <c r="I1048162"/>
      <c r="J1048162"/>
      <c r="K1048162"/>
      <c r="L1048162"/>
      <c r="M1048162"/>
      <c r="N1048162"/>
      <c r="O1048162"/>
      <c r="P1048162"/>
      <c r="Q1048162"/>
      <c r="R1048162"/>
      <c r="S1048162"/>
      <c r="T1048162"/>
      <c r="U1048162"/>
      <c r="V1048162"/>
      <c r="W1048162"/>
      <c r="X1048162"/>
      <c r="Y1048162"/>
      <c r="Z1048162"/>
      <c r="AA1048162"/>
      <c r="AB1048162"/>
    </row>
    <row r="1048163" spans="1:28">
      <c r="A1048163"/>
      <c r="B1048163"/>
      <c r="C1048163"/>
      <c r="D1048163"/>
      <c r="E1048163"/>
      <c r="F1048163"/>
      <c r="G1048163"/>
      <c r="H1048163"/>
      <c r="I1048163"/>
      <c r="J1048163"/>
      <c r="K1048163"/>
      <c r="L1048163"/>
      <c r="M1048163"/>
      <c r="N1048163"/>
      <c r="O1048163"/>
      <c r="P1048163"/>
      <c r="Q1048163"/>
      <c r="R1048163"/>
      <c r="S1048163"/>
      <c r="T1048163"/>
      <c r="U1048163"/>
      <c r="V1048163"/>
      <c r="W1048163"/>
      <c r="X1048163"/>
      <c r="Y1048163"/>
      <c r="Z1048163"/>
      <c r="AA1048163"/>
      <c r="AB1048163"/>
    </row>
    <row r="1048164" spans="1:28">
      <c r="A1048164"/>
      <c r="B1048164"/>
      <c r="C1048164"/>
      <c r="D1048164"/>
      <c r="E1048164"/>
      <c r="F1048164"/>
      <c r="G1048164"/>
      <c r="H1048164"/>
      <c r="I1048164"/>
      <c r="J1048164"/>
      <c r="K1048164"/>
      <c r="L1048164"/>
      <c r="M1048164"/>
      <c r="N1048164"/>
      <c r="O1048164"/>
      <c r="P1048164"/>
      <c r="Q1048164"/>
      <c r="R1048164"/>
      <c r="S1048164"/>
      <c r="T1048164"/>
      <c r="U1048164"/>
      <c r="V1048164"/>
      <c r="W1048164"/>
      <c r="X1048164"/>
      <c r="Y1048164"/>
      <c r="Z1048164"/>
      <c r="AA1048164"/>
      <c r="AB1048164"/>
    </row>
    <row r="1048165" spans="1:28">
      <c r="A1048165"/>
      <c r="B1048165"/>
      <c r="C1048165"/>
      <c r="D1048165"/>
      <c r="E1048165"/>
      <c r="F1048165"/>
      <c r="G1048165"/>
      <c r="H1048165"/>
      <c r="I1048165"/>
      <c r="J1048165"/>
      <c r="K1048165"/>
      <c r="L1048165"/>
      <c r="M1048165"/>
      <c r="N1048165"/>
      <c r="O1048165"/>
      <c r="P1048165"/>
      <c r="Q1048165"/>
      <c r="R1048165"/>
      <c r="S1048165"/>
      <c r="T1048165"/>
      <c r="U1048165"/>
      <c r="V1048165"/>
      <c r="W1048165"/>
      <c r="X1048165"/>
      <c r="Y1048165"/>
      <c r="Z1048165"/>
      <c r="AA1048165"/>
      <c r="AB1048165"/>
    </row>
    <row r="1048166" spans="1:28">
      <c r="A1048166"/>
      <c r="B1048166"/>
      <c r="C1048166"/>
      <c r="D1048166"/>
      <c r="E1048166"/>
      <c r="F1048166"/>
      <c r="G1048166"/>
      <c r="H1048166"/>
      <c r="I1048166"/>
      <c r="J1048166"/>
      <c r="K1048166"/>
      <c r="L1048166"/>
      <c r="M1048166"/>
      <c r="N1048166"/>
      <c r="O1048166"/>
      <c r="P1048166"/>
      <c r="Q1048166"/>
      <c r="R1048166"/>
      <c r="S1048166"/>
      <c r="T1048166"/>
      <c r="U1048166"/>
      <c r="V1048166"/>
      <c r="W1048166"/>
      <c r="X1048166"/>
      <c r="Y1048166"/>
      <c r="Z1048166"/>
      <c r="AA1048166"/>
      <c r="AB1048166"/>
    </row>
    <row r="1048167" spans="1:28">
      <c r="A1048167"/>
      <c r="B1048167"/>
      <c r="C1048167"/>
      <c r="D1048167"/>
      <c r="E1048167"/>
      <c r="F1048167"/>
      <c r="G1048167"/>
      <c r="H1048167"/>
      <c r="I1048167"/>
      <c r="J1048167"/>
      <c r="K1048167"/>
      <c r="L1048167"/>
      <c r="M1048167"/>
      <c r="N1048167"/>
      <c r="O1048167"/>
      <c r="P1048167"/>
      <c r="Q1048167"/>
      <c r="R1048167"/>
      <c r="S1048167"/>
      <c r="T1048167"/>
      <c r="U1048167"/>
      <c r="V1048167"/>
      <c r="W1048167"/>
      <c r="X1048167"/>
      <c r="Y1048167"/>
      <c r="Z1048167"/>
      <c r="AA1048167"/>
      <c r="AB1048167"/>
    </row>
    <row r="1048168" spans="1:28">
      <c r="A1048168"/>
      <c r="B1048168"/>
      <c r="C1048168"/>
      <c r="D1048168"/>
      <c r="E1048168"/>
      <c r="F1048168"/>
      <c r="G1048168"/>
      <c r="H1048168"/>
      <c r="I1048168"/>
      <c r="J1048168"/>
      <c r="K1048168"/>
      <c r="L1048168"/>
      <c r="M1048168"/>
      <c r="N1048168"/>
      <c r="O1048168"/>
      <c r="P1048168"/>
      <c r="Q1048168"/>
      <c r="R1048168"/>
      <c r="S1048168"/>
      <c r="T1048168"/>
      <c r="U1048168"/>
      <c r="V1048168"/>
      <c r="W1048168"/>
      <c r="X1048168"/>
      <c r="Y1048168"/>
      <c r="Z1048168"/>
      <c r="AA1048168"/>
      <c r="AB1048168"/>
    </row>
    <row r="1048169" spans="1:28">
      <c r="A1048169"/>
      <c r="B1048169"/>
      <c r="C1048169"/>
      <c r="D1048169"/>
      <c r="E1048169"/>
      <c r="F1048169"/>
      <c r="G1048169"/>
      <c r="H1048169"/>
      <c r="I1048169"/>
      <c r="J1048169"/>
      <c r="K1048169"/>
      <c r="L1048169"/>
      <c r="M1048169"/>
      <c r="N1048169"/>
      <c r="O1048169"/>
      <c r="P1048169"/>
      <c r="Q1048169"/>
      <c r="R1048169"/>
      <c r="S1048169"/>
      <c r="T1048169"/>
      <c r="U1048169"/>
      <c r="V1048169"/>
      <c r="W1048169"/>
      <c r="X1048169"/>
      <c r="Y1048169"/>
      <c r="Z1048169"/>
      <c r="AA1048169"/>
      <c r="AB1048169"/>
    </row>
    <row r="1048170" spans="1:28">
      <c r="A1048170"/>
      <c r="B1048170"/>
      <c r="C1048170"/>
      <c r="D1048170"/>
      <c r="E1048170"/>
      <c r="F1048170"/>
      <c r="G1048170"/>
      <c r="H1048170"/>
      <c r="I1048170"/>
      <c r="J1048170"/>
      <c r="K1048170"/>
      <c r="L1048170"/>
      <c r="M1048170"/>
      <c r="N1048170"/>
      <c r="O1048170"/>
      <c r="P1048170"/>
      <c r="Q1048170"/>
      <c r="R1048170"/>
      <c r="S1048170"/>
      <c r="T1048170"/>
      <c r="U1048170"/>
      <c r="V1048170"/>
      <c r="W1048170"/>
      <c r="X1048170"/>
      <c r="Y1048170"/>
      <c r="Z1048170"/>
      <c r="AA1048170"/>
      <c r="AB1048170"/>
    </row>
    <row r="1048171" spans="1:28">
      <c r="A1048171"/>
      <c r="B1048171"/>
      <c r="C1048171"/>
      <c r="D1048171"/>
      <c r="E1048171"/>
      <c r="F1048171"/>
      <c r="G1048171"/>
      <c r="H1048171"/>
      <c r="I1048171"/>
      <c r="J1048171"/>
      <c r="K1048171"/>
      <c r="L1048171"/>
      <c r="M1048171"/>
      <c r="N1048171"/>
      <c r="O1048171"/>
      <c r="P1048171"/>
      <c r="Q1048171"/>
      <c r="R1048171"/>
      <c r="S1048171"/>
      <c r="T1048171"/>
      <c r="U1048171"/>
      <c r="V1048171"/>
      <c r="W1048171"/>
      <c r="X1048171"/>
      <c r="Y1048171"/>
      <c r="Z1048171"/>
      <c r="AA1048171"/>
      <c r="AB1048171"/>
    </row>
    <row r="1048172" spans="1:28">
      <c r="A1048172"/>
      <c r="B1048172"/>
      <c r="C1048172"/>
      <c r="D1048172"/>
      <c r="E1048172"/>
      <c r="F1048172"/>
      <c r="G1048172"/>
      <c r="H1048172"/>
      <c r="I1048172"/>
      <c r="J1048172"/>
      <c r="K1048172"/>
      <c r="L1048172"/>
      <c r="M1048172"/>
      <c r="N1048172"/>
      <c r="O1048172"/>
      <c r="P1048172"/>
      <c r="Q1048172"/>
      <c r="R1048172"/>
      <c r="S1048172"/>
      <c r="T1048172"/>
      <c r="U1048172"/>
      <c r="V1048172"/>
      <c r="W1048172"/>
      <c r="X1048172"/>
      <c r="Y1048172"/>
      <c r="Z1048172"/>
      <c r="AA1048172"/>
      <c r="AB1048172"/>
    </row>
    <row r="1048173" spans="1:28">
      <c r="A1048173"/>
      <c r="B1048173"/>
      <c r="C1048173"/>
      <c r="D1048173"/>
      <c r="E1048173"/>
      <c r="F1048173"/>
      <c r="G1048173"/>
      <c r="H1048173"/>
      <c r="I1048173"/>
      <c r="J1048173"/>
      <c r="K1048173"/>
      <c r="L1048173"/>
      <c r="M1048173"/>
      <c r="N1048173"/>
      <c r="O1048173"/>
      <c r="P1048173"/>
      <c r="Q1048173"/>
      <c r="R1048173"/>
      <c r="S1048173"/>
      <c r="T1048173"/>
      <c r="U1048173"/>
      <c r="V1048173"/>
      <c r="W1048173"/>
      <c r="X1048173"/>
      <c r="Y1048173"/>
      <c r="Z1048173"/>
      <c r="AA1048173"/>
      <c r="AB1048173"/>
    </row>
    <row r="1048174" spans="1:28">
      <c r="A1048174"/>
      <c r="B1048174"/>
      <c r="C1048174"/>
      <c r="D1048174"/>
      <c r="E1048174"/>
      <c r="F1048174"/>
      <c r="G1048174"/>
      <c r="H1048174"/>
      <c r="I1048174"/>
      <c r="J1048174"/>
      <c r="K1048174"/>
      <c r="L1048174"/>
      <c r="M1048174"/>
      <c r="N1048174"/>
      <c r="O1048174"/>
      <c r="P1048174"/>
      <c r="Q1048174"/>
      <c r="R1048174"/>
      <c r="S1048174"/>
      <c r="T1048174"/>
      <c r="U1048174"/>
      <c r="V1048174"/>
      <c r="W1048174"/>
      <c r="X1048174"/>
      <c r="Y1048174"/>
      <c r="Z1048174"/>
      <c r="AA1048174"/>
      <c r="AB1048174"/>
    </row>
    <row r="1048175" spans="1:28">
      <c r="A1048175"/>
      <c r="B1048175"/>
      <c r="C1048175"/>
      <c r="D1048175"/>
      <c r="E1048175"/>
      <c r="F1048175"/>
      <c r="G1048175"/>
      <c r="H1048175"/>
      <c r="I1048175"/>
      <c r="J1048175"/>
      <c r="K1048175"/>
      <c r="L1048175"/>
      <c r="M1048175"/>
      <c r="N1048175"/>
      <c r="O1048175"/>
      <c r="P1048175"/>
      <c r="Q1048175"/>
      <c r="R1048175"/>
      <c r="S1048175"/>
      <c r="T1048175"/>
      <c r="U1048175"/>
      <c r="V1048175"/>
      <c r="W1048175"/>
      <c r="X1048175"/>
      <c r="Y1048175"/>
      <c r="Z1048175"/>
      <c r="AA1048175"/>
      <c r="AB1048175"/>
    </row>
    <row r="1048176" spans="1:28">
      <c r="A1048176"/>
      <c r="B1048176"/>
      <c r="C1048176"/>
      <c r="D1048176"/>
      <c r="E1048176"/>
      <c r="F1048176"/>
      <c r="G1048176"/>
      <c r="H1048176"/>
      <c r="I1048176"/>
      <c r="J1048176"/>
      <c r="K1048176"/>
      <c r="L1048176"/>
      <c r="M1048176"/>
      <c r="N1048176"/>
      <c r="O1048176"/>
      <c r="P1048176"/>
      <c r="Q1048176"/>
      <c r="R1048176"/>
      <c r="S1048176"/>
      <c r="T1048176"/>
      <c r="U1048176"/>
      <c r="V1048176"/>
      <c r="W1048176"/>
      <c r="X1048176"/>
      <c r="Y1048176"/>
      <c r="Z1048176"/>
      <c r="AA1048176"/>
      <c r="AB1048176"/>
    </row>
    <row r="1048177" spans="1:28">
      <c r="A1048177"/>
      <c r="B1048177"/>
      <c r="C1048177"/>
      <c r="D1048177"/>
      <c r="E1048177"/>
      <c r="F1048177"/>
      <c r="G1048177"/>
      <c r="H1048177"/>
      <c r="I1048177"/>
      <c r="J1048177"/>
      <c r="K1048177"/>
      <c r="L1048177"/>
      <c r="M1048177"/>
      <c r="N1048177"/>
      <c r="O1048177"/>
      <c r="P1048177"/>
      <c r="Q1048177"/>
      <c r="R1048177"/>
      <c r="S1048177"/>
      <c r="T1048177"/>
      <c r="U1048177"/>
      <c r="V1048177"/>
      <c r="W1048177"/>
      <c r="X1048177"/>
      <c r="Y1048177"/>
      <c r="Z1048177"/>
      <c r="AA1048177"/>
      <c r="AB1048177"/>
    </row>
    <row r="1048178" spans="1:28">
      <c r="A1048178"/>
      <c r="B1048178"/>
      <c r="C1048178"/>
      <c r="D1048178"/>
      <c r="E1048178"/>
      <c r="F1048178"/>
      <c r="G1048178"/>
      <c r="H1048178"/>
      <c r="I1048178"/>
      <c r="J1048178"/>
      <c r="K1048178"/>
      <c r="L1048178"/>
      <c r="M1048178"/>
      <c r="N1048178"/>
      <c r="O1048178"/>
      <c r="P1048178"/>
      <c r="Q1048178"/>
      <c r="R1048178"/>
      <c r="S1048178"/>
      <c r="T1048178"/>
      <c r="U1048178"/>
      <c r="V1048178"/>
      <c r="W1048178"/>
      <c r="X1048178"/>
      <c r="Y1048178"/>
      <c r="Z1048178"/>
      <c r="AA1048178"/>
      <c r="AB1048178"/>
    </row>
    <row r="1048179" spans="1:28">
      <c r="A1048179"/>
      <c r="B1048179"/>
      <c r="C1048179"/>
      <c r="D1048179"/>
      <c r="E1048179"/>
      <c r="F1048179"/>
      <c r="G1048179"/>
      <c r="H1048179"/>
      <c r="I1048179"/>
      <c r="J1048179"/>
      <c r="K1048179"/>
      <c r="L1048179"/>
      <c r="M1048179"/>
      <c r="N1048179"/>
      <c r="O1048179"/>
      <c r="P1048179"/>
      <c r="Q1048179"/>
      <c r="R1048179"/>
      <c r="S1048179"/>
      <c r="T1048179"/>
      <c r="U1048179"/>
      <c r="V1048179"/>
      <c r="W1048179"/>
      <c r="X1048179"/>
      <c r="Y1048179"/>
      <c r="Z1048179"/>
      <c r="AA1048179"/>
      <c r="AB1048179"/>
    </row>
    <row r="1048180" spans="1:28">
      <c r="A1048180"/>
      <c r="B1048180"/>
      <c r="C1048180"/>
      <c r="D1048180"/>
      <c r="E1048180"/>
      <c r="F1048180"/>
      <c r="G1048180"/>
      <c r="H1048180"/>
      <c r="I1048180"/>
      <c r="J1048180"/>
      <c r="K1048180"/>
      <c r="L1048180"/>
      <c r="M1048180"/>
      <c r="N1048180"/>
      <c r="O1048180"/>
      <c r="P1048180"/>
      <c r="Q1048180"/>
      <c r="R1048180"/>
      <c r="S1048180"/>
      <c r="T1048180"/>
      <c r="U1048180"/>
      <c r="V1048180"/>
      <c r="W1048180"/>
      <c r="X1048180"/>
      <c r="Y1048180"/>
      <c r="Z1048180"/>
      <c r="AA1048180"/>
      <c r="AB1048180"/>
    </row>
    <row r="1048181" spans="1:28">
      <c r="A1048181"/>
      <c r="B1048181"/>
      <c r="C1048181"/>
      <c r="D1048181"/>
      <c r="E1048181"/>
      <c r="F1048181"/>
      <c r="G1048181"/>
      <c r="H1048181"/>
      <c r="I1048181"/>
      <c r="J1048181"/>
      <c r="K1048181"/>
      <c r="L1048181"/>
      <c r="M1048181"/>
      <c r="N1048181"/>
      <c r="O1048181"/>
      <c r="P1048181"/>
      <c r="Q1048181"/>
      <c r="R1048181"/>
      <c r="S1048181"/>
      <c r="T1048181"/>
      <c r="U1048181"/>
      <c r="V1048181"/>
      <c r="W1048181"/>
      <c r="X1048181"/>
      <c r="Y1048181"/>
      <c r="Z1048181"/>
      <c r="AA1048181"/>
      <c r="AB1048181"/>
    </row>
    <row r="1048182" spans="1:28">
      <c r="A1048182"/>
      <c r="B1048182"/>
      <c r="C1048182"/>
      <c r="D1048182"/>
      <c r="E1048182"/>
      <c r="F1048182"/>
      <c r="G1048182"/>
      <c r="H1048182"/>
      <c r="I1048182"/>
      <c r="J1048182"/>
      <c r="K1048182"/>
      <c r="L1048182"/>
      <c r="M1048182"/>
      <c r="N1048182"/>
      <c r="O1048182"/>
      <c r="P1048182"/>
      <c r="Q1048182"/>
      <c r="R1048182"/>
      <c r="S1048182"/>
      <c r="T1048182"/>
      <c r="U1048182"/>
      <c r="V1048182"/>
      <c r="W1048182"/>
      <c r="X1048182"/>
      <c r="Y1048182"/>
      <c r="Z1048182"/>
      <c r="AA1048182"/>
      <c r="AB1048182"/>
    </row>
    <row r="1048183" spans="1:28">
      <c r="A1048183"/>
      <c r="B1048183"/>
      <c r="C1048183"/>
      <c r="D1048183"/>
      <c r="E1048183"/>
      <c r="F1048183"/>
      <c r="G1048183"/>
      <c r="H1048183"/>
      <c r="I1048183"/>
      <c r="J1048183"/>
      <c r="K1048183"/>
      <c r="L1048183"/>
      <c r="M1048183"/>
      <c r="N1048183"/>
      <c r="O1048183"/>
      <c r="P1048183"/>
      <c r="Q1048183"/>
      <c r="R1048183"/>
      <c r="S1048183"/>
      <c r="T1048183"/>
      <c r="U1048183"/>
      <c r="V1048183"/>
      <c r="W1048183"/>
      <c r="X1048183"/>
      <c r="Y1048183"/>
      <c r="Z1048183"/>
      <c r="AA1048183"/>
      <c r="AB1048183"/>
    </row>
    <row r="1048184" spans="1:28">
      <c r="A1048184"/>
      <c r="B1048184"/>
      <c r="C1048184"/>
      <c r="D1048184"/>
      <c r="E1048184"/>
      <c r="F1048184"/>
      <c r="G1048184"/>
      <c r="H1048184"/>
      <c r="I1048184"/>
      <c r="J1048184"/>
      <c r="K1048184"/>
      <c r="L1048184"/>
      <c r="M1048184"/>
      <c r="N1048184"/>
      <c r="O1048184"/>
      <c r="P1048184"/>
      <c r="Q1048184"/>
      <c r="R1048184"/>
      <c r="S1048184"/>
      <c r="T1048184"/>
      <c r="U1048184"/>
      <c r="V1048184"/>
      <c r="W1048184"/>
      <c r="X1048184"/>
      <c r="Y1048184"/>
      <c r="Z1048184"/>
      <c r="AA1048184"/>
      <c r="AB1048184"/>
    </row>
    <row r="1048185" spans="1:28">
      <c r="A1048185"/>
      <c r="B1048185"/>
      <c r="C1048185"/>
      <c r="D1048185"/>
      <c r="E1048185"/>
      <c r="F1048185"/>
      <c r="G1048185"/>
      <c r="H1048185"/>
      <c r="I1048185"/>
      <c r="J1048185"/>
      <c r="K1048185"/>
      <c r="L1048185"/>
      <c r="M1048185"/>
      <c r="N1048185"/>
      <c r="O1048185"/>
      <c r="P1048185"/>
      <c r="Q1048185"/>
      <c r="R1048185"/>
      <c r="S1048185"/>
      <c r="T1048185"/>
      <c r="U1048185"/>
      <c r="V1048185"/>
      <c r="W1048185"/>
      <c r="X1048185"/>
      <c r="Y1048185"/>
      <c r="Z1048185"/>
      <c r="AA1048185"/>
      <c r="AB1048185"/>
    </row>
    <row r="1048186" spans="1:28">
      <c r="A1048186"/>
      <c r="B1048186"/>
      <c r="C1048186"/>
      <c r="D1048186"/>
      <c r="E1048186"/>
      <c r="F1048186"/>
      <c r="G1048186"/>
      <c r="H1048186"/>
      <c r="I1048186"/>
      <c r="J1048186"/>
      <c r="K1048186"/>
      <c r="L1048186"/>
      <c r="M1048186"/>
      <c r="N1048186"/>
      <c r="O1048186"/>
      <c r="P1048186"/>
      <c r="Q1048186"/>
      <c r="R1048186"/>
      <c r="S1048186"/>
      <c r="T1048186"/>
      <c r="U1048186"/>
      <c r="V1048186"/>
      <c r="W1048186"/>
      <c r="X1048186"/>
      <c r="Y1048186"/>
      <c r="Z1048186"/>
      <c r="AA1048186"/>
      <c r="AB1048186"/>
    </row>
    <row r="1048187" spans="1:28">
      <c r="A1048187"/>
      <c r="B1048187"/>
      <c r="C1048187"/>
      <c r="D1048187"/>
      <c r="E1048187"/>
      <c r="F1048187"/>
      <c r="G1048187"/>
      <c r="H1048187"/>
      <c r="I1048187"/>
      <c r="J1048187"/>
      <c r="K1048187"/>
      <c r="L1048187"/>
      <c r="M1048187"/>
      <c r="N1048187"/>
      <c r="O1048187"/>
      <c r="P1048187"/>
      <c r="Q1048187"/>
      <c r="R1048187"/>
      <c r="S1048187"/>
      <c r="T1048187"/>
      <c r="U1048187"/>
      <c r="V1048187"/>
      <c r="W1048187"/>
      <c r="X1048187"/>
      <c r="Y1048187"/>
      <c r="Z1048187"/>
      <c r="AA1048187"/>
      <c r="AB1048187"/>
    </row>
    <row r="1048188" spans="1:28">
      <c r="A1048188"/>
      <c r="B1048188"/>
      <c r="C1048188"/>
      <c r="D1048188"/>
      <c r="E1048188"/>
      <c r="F1048188"/>
      <c r="G1048188"/>
      <c r="H1048188"/>
      <c r="I1048188"/>
      <c r="J1048188"/>
      <c r="K1048188"/>
      <c r="L1048188"/>
      <c r="M1048188"/>
      <c r="N1048188"/>
      <c r="O1048188"/>
      <c r="P1048188"/>
      <c r="Q1048188"/>
      <c r="R1048188"/>
      <c r="S1048188"/>
      <c r="T1048188"/>
      <c r="U1048188"/>
      <c r="V1048188"/>
      <c r="W1048188"/>
      <c r="X1048188"/>
      <c r="Y1048188"/>
      <c r="Z1048188"/>
      <c r="AA1048188"/>
      <c r="AB1048188"/>
    </row>
    <row r="1048189" spans="1:28">
      <c r="A1048189"/>
      <c r="B1048189"/>
      <c r="C1048189"/>
      <c r="D1048189"/>
      <c r="E1048189"/>
      <c r="F1048189"/>
      <c r="G1048189"/>
      <c r="H1048189"/>
      <c r="I1048189"/>
      <c r="J1048189"/>
      <c r="K1048189"/>
      <c r="L1048189"/>
      <c r="M1048189"/>
      <c r="N1048189"/>
      <c r="O1048189"/>
      <c r="P1048189"/>
      <c r="Q1048189"/>
      <c r="R1048189"/>
      <c r="S1048189"/>
      <c r="T1048189"/>
      <c r="U1048189"/>
      <c r="V1048189"/>
      <c r="W1048189"/>
      <c r="X1048189"/>
      <c r="Y1048189"/>
      <c r="Z1048189"/>
      <c r="AA1048189"/>
      <c r="AB1048189"/>
    </row>
    <row r="1048190" spans="1:28">
      <c r="A1048190"/>
      <c r="B1048190"/>
      <c r="C1048190"/>
      <c r="D1048190"/>
      <c r="E1048190"/>
      <c r="F1048190"/>
      <c r="G1048190"/>
      <c r="H1048190"/>
      <c r="I1048190"/>
      <c r="J1048190"/>
      <c r="K1048190"/>
      <c r="L1048190"/>
      <c r="M1048190"/>
      <c r="N1048190"/>
      <c r="O1048190"/>
      <c r="P1048190"/>
      <c r="Q1048190"/>
      <c r="R1048190"/>
      <c r="S1048190"/>
      <c r="T1048190"/>
      <c r="U1048190"/>
      <c r="V1048190"/>
      <c r="W1048190"/>
      <c r="X1048190"/>
      <c r="Y1048190"/>
      <c r="Z1048190"/>
      <c r="AA1048190"/>
      <c r="AB1048190"/>
    </row>
    <row r="1048191" spans="1:28">
      <c r="A1048191"/>
      <c r="B1048191"/>
      <c r="C1048191"/>
      <c r="D1048191"/>
      <c r="E1048191"/>
      <c r="F1048191"/>
      <c r="G1048191"/>
      <c r="H1048191"/>
      <c r="I1048191"/>
      <c r="J1048191"/>
      <c r="K1048191"/>
      <c r="L1048191"/>
      <c r="M1048191"/>
      <c r="N1048191"/>
      <c r="O1048191"/>
      <c r="P1048191"/>
      <c r="Q1048191"/>
      <c r="R1048191"/>
      <c r="S1048191"/>
      <c r="T1048191"/>
      <c r="U1048191"/>
      <c r="V1048191"/>
      <c r="W1048191"/>
      <c r="X1048191"/>
      <c r="Y1048191"/>
      <c r="Z1048191"/>
      <c r="AA1048191"/>
      <c r="AB1048191"/>
    </row>
    <row r="1048192" spans="1:28">
      <c r="A1048192"/>
      <c r="B1048192"/>
      <c r="C1048192"/>
      <c r="D1048192"/>
      <c r="E1048192"/>
      <c r="F1048192"/>
      <c r="G1048192"/>
      <c r="H1048192"/>
      <c r="I1048192"/>
      <c r="J1048192"/>
      <c r="K1048192"/>
      <c r="L1048192"/>
      <c r="M1048192"/>
      <c r="N1048192"/>
      <c r="O1048192"/>
      <c r="P1048192"/>
      <c r="Q1048192"/>
      <c r="R1048192"/>
      <c r="S1048192"/>
      <c r="T1048192"/>
      <c r="U1048192"/>
      <c r="V1048192"/>
      <c r="W1048192"/>
      <c r="X1048192"/>
      <c r="Y1048192"/>
      <c r="Z1048192"/>
      <c r="AA1048192"/>
      <c r="AB1048192"/>
    </row>
    <row r="1048193" spans="1:28">
      <c r="A1048193"/>
      <c r="B1048193"/>
      <c r="C1048193"/>
      <c r="D1048193"/>
      <c r="E1048193"/>
      <c r="F1048193"/>
      <c r="G1048193"/>
      <c r="H1048193"/>
      <c r="I1048193"/>
      <c r="J1048193"/>
      <c r="K1048193"/>
      <c r="L1048193"/>
      <c r="M1048193"/>
      <c r="N1048193"/>
      <c r="O1048193"/>
      <c r="P1048193"/>
      <c r="Q1048193"/>
      <c r="R1048193"/>
      <c r="S1048193"/>
      <c r="T1048193"/>
      <c r="U1048193"/>
      <c r="V1048193"/>
      <c r="W1048193"/>
      <c r="X1048193"/>
      <c r="Y1048193"/>
      <c r="Z1048193"/>
      <c r="AA1048193"/>
      <c r="AB1048193"/>
    </row>
    <row r="1048194" spans="1:28">
      <c r="A1048194"/>
      <c r="B1048194"/>
      <c r="C1048194"/>
      <c r="D1048194"/>
      <c r="E1048194"/>
      <c r="F1048194"/>
      <c r="G1048194"/>
      <c r="H1048194"/>
      <c r="I1048194"/>
      <c r="J1048194"/>
      <c r="K1048194"/>
      <c r="L1048194"/>
      <c r="M1048194"/>
      <c r="N1048194"/>
      <c r="O1048194"/>
      <c r="P1048194"/>
      <c r="Q1048194"/>
      <c r="R1048194"/>
      <c r="S1048194"/>
      <c r="T1048194"/>
      <c r="U1048194"/>
      <c r="V1048194"/>
      <c r="W1048194"/>
      <c r="X1048194"/>
      <c r="Y1048194"/>
      <c r="Z1048194"/>
      <c r="AA1048194"/>
      <c r="AB1048194"/>
    </row>
    <row r="1048195" spans="1:28">
      <c r="A1048195"/>
      <c r="B1048195"/>
      <c r="C1048195"/>
      <c r="D1048195"/>
      <c r="E1048195"/>
      <c r="F1048195"/>
      <c r="G1048195"/>
      <c r="H1048195"/>
      <c r="I1048195"/>
      <c r="J1048195"/>
      <c r="K1048195"/>
      <c r="L1048195"/>
      <c r="M1048195"/>
      <c r="N1048195"/>
      <c r="O1048195"/>
      <c r="P1048195"/>
      <c r="Q1048195"/>
      <c r="R1048195"/>
      <c r="S1048195"/>
      <c r="T1048195"/>
      <c r="U1048195"/>
      <c r="V1048195"/>
      <c r="W1048195"/>
      <c r="X1048195"/>
      <c r="Y1048195"/>
      <c r="Z1048195"/>
      <c r="AA1048195"/>
      <c r="AB1048195"/>
    </row>
    <row r="1048196" spans="1:28">
      <c r="A1048196"/>
      <c r="B1048196"/>
      <c r="C1048196"/>
      <c r="D1048196"/>
      <c r="E1048196"/>
      <c r="F1048196"/>
      <c r="G1048196"/>
      <c r="H1048196"/>
      <c r="I1048196"/>
      <c r="J1048196"/>
      <c r="K1048196"/>
      <c r="L1048196"/>
      <c r="M1048196"/>
      <c r="N1048196"/>
      <c r="O1048196"/>
      <c r="P1048196"/>
      <c r="Q1048196"/>
      <c r="R1048196"/>
      <c r="S1048196"/>
      <c r="T1048196"/>
      <c r="U1048196"/>
      <c r="V1048196"/>
      <c r="W1048196"/>
      <c r="X1048196"/>
      <c r="Y1048196"/>
      <c r="Z1048196"/>
      <c r="AA1048196"/>
      <c r="AB1048196"/>
    </row>
    <row r="1048197" spans="1:28">
      <c r="A1048197"/>
      <c r="B1048197"/>
      <c r="C1048197"/>
      <c r="D1048197"/>
      <c r="E1048197"/>
      <c r="F1048197"/>
      <c r="G1048197"/>
      <c r="H1048197"/>
      <c r="I1048197"/>
      <c r="J1048197"/>
      <c r="K1048197"/>
      <c r="L1048197"/>
      <c r="M1048197"/>
      <c r="N1048197"/>
      <c r="O1048197"/>
      <c r="P1048197"/>
      <c r="Q1048197"/>
      <c r="R1048197"/>
      <c r="S1048197"/>
      <c r="T1048197"/>
      <c r="U1048197"/>
      <c r="V1048197"/>
      <c r="W1048197"/>
      <c r="X1048197"/>
      <c r="Y1048197"/>
      <c r="Z1048197"/>
      <c r="AA1048197"/>
      <c r="AB1048197"/>
    </row>
    <row r="1048198" spans="1:28">
      <c r="A1048198"/>
      <c r="B1048198"/>
      <c r="C1048198"/>
      <c r="D1048198"/>
      <c r="E1048198"/>
      <c r="F1048198"/>
      <c r="G1048198"/>
      <c r="H1048198"/>
      <c r="I1048198"/>
      <c r="J1048198"/>
      <c r="K1048198"/>
      <c r="L1048198"/>
      <c r="M1048198"/>
      <c r="N1048198"/>
      <c r="O1048198"/>
      <c r="P1048198"/>
      <c r="Q1048198"/>
      <c r="R1048198"/>
      <c r="S1048198"/>
      <c r="T1048198"/>
      <c r="U1048198"/>
      <c r="V1048198"/>
      <c r="W1048198"/>
      <c r="X1048198"/>
      <c r="Y1048198"/>
      <c r="Z1048198"/>
      <c r="AA1048198"/>
      <c r="AB1048198"/>
    </row>
    <row r="1048199" spans="1:28">
      <c r="A1048199"/>
      <c r="B1048199"/>
      <c r="C1048199"/>
      <c r="D1048199"/>
      <c r="E1048199"/>
      <c r="F1048199"/>
      <c r="G1048199"/>
      <c r="H1048199"/>
      <c r="I1048199"/>
      <c r="J1048199"/>
      <c r="K1048199"/>
      <c r="L1048199"/>
      <c r="M1048199"/>
      <c r="N1048199"/>
      <c r="O1048199"/>
      <c r="P1048199"/>
      <c r="Q1048199"/>
      <c r="R1048199"/>
      <c r="S1048199"/>
      <c r="T1048199"/>
      <c r="U1048199"/>
      <c r="V1048199"/>
      <c r="W1048199"/>
      <c r="X1048199"/>
      <c r="Y1048199"/>
      <c r="Z1048199"/>
      <c r="AA1048199"/>
      <c r="AB1048199"/>
    </row>
    <row r="1048200" spans="1:28">
      <c r="A1048200"/>
      <c r="B1048200"/>
      <c r="C1048200"/>
      <c r="D1048200"/>
      <c r="E1048200"/>
      <c r="F1048200"/>
      <c r="G1048200"/>
      <c r="H1048200"/>
      <c r="I1048200"/>
      <c r="J1048200"/>
      <c r="K1048200"/>
      <c r="L1048200"/>
      <c r="M1048200"/>
      <c r="N1048200"/>
      <c r="O1048200"/>
      <c r="P1048200"/>
      <c r="Q1048200"/>
      <c r="R1048200"/>
      <c r="S1048200"/>
      <c r="T1048200"/>
      <c r="U1048200"/>
      <c r="V1048200"/>
      <c r="W1048200"/>
      <c r="X1048200"/>
      <c r="Y1048200"/>
      <c r="Z1048200"/>
      <c r="AA1048200"/>
      <c r="AB1048200"/>
    </row>
    <row r="1048201" spans="1:28">
      <c r="A1048201"/>
      <c r="B1048201"/>
      <c r="C1048201"/>
      <c r="D1048201"/>
      <c r="E1048201"/>
      <c r="F1048201"/>
      <c r="G1048201"/>
      <c r="H1048201"/>
      <c r="I1048201"/>
      <c r="J1048201"/>
      <c r="K1048201"/>
      <c r="L1048201"/>
      <c r="M1048201"/>
      <c r="N1048201"/>
      <c r="O1048201"/>
      <c r="P1048201"/>
      <c r="Q1048201"/>
      <c r="R1048201"/>
      <c r="S1048201"/>
      <c r="T1048201"/>
      <c r="U1048201"/>
      <c r="V1048201"/>
      <c r="W1048201"/>
      <c r="X1048201"/>
      <c r="Y1048201"/>
      <c r="Z1048201"/>
      <c r="AA1048201"/>
      <c r="AB1048201"/>
    </row>
    <row r="1048202" spans="1:28">
      <c r="A1048202"/>
      <c r="B1048202"/>
      <c r="C1048202"/>
      <c r="D1048202"/>
      <c r="E1048202"/>
      <c r="F1048202"/>
      <c r="G1048202"/>
      <c r="H1048202"/>
      <c r="I1048202"/>
      <c r="J1048202"/>
      <c r="K1048202"/>
      <c r="L1048202"/>
      <c r="M1048202"/>
      <c r="N1048202"/>
      <c r="O1048202"/>
      <c r="P1048202"/>
      <c r="Q1048202"/>
      <c r="R1048202"/>
      <c r="S1048202"/>
      <c r="T1048202"/>
      <c r="U1048202"/>
      <c r="V1048202"/>
      <c r="W1048202"/>
      <c r="X1048202"/>
      <c r="Y1048202"/>
      <c r="Z1048202"/>
      <c r="AA1048202"/>
      <c r="AB1048202"/>
    </row>
    <row r="1048203" spans="1:28">
      <c r="A1048203"/>
      <c r="B1048203"/>
      <c r="C1048203"/>
      <c r="D1048203"/>
      <c r="E1048203"/>
      <c r="F1048203"/>
      <c r="G1048203"/>
      <c r="H1048203"/>
      <c r="I1048203"/>
      <c r="J1048203"/>
      <c r="K1048203"/>
      <c r="L1048203"/>
      <c r="M1048203"/>
      <c r="N1048203"/>
      <c r="O1048203"/>
      <c r="P1048203"/>
      <c r="Q1048203"/>
      <c r="R1048203"/>
      <c r="S1048203"/>
      <c r="T1048203"/>
      <c r="U1048203"/>
      <c r="V1048203"/>
      <c r="W1048203"/>
      <c r="X1048203"/>
      <c r="Y1048203"/>
      <c r="Z1048203"/>
      <c r="AA1048203"/>
      <c r="AB1048203"/>
    </row>
    <row r="1048204" spans="1:28">
      <c r="A1048204"/>
      <c r="B1048204"/>
      <c r="C1048204"/>
      <c r="D1048204"/>
      <c r="E1048204"/>
      <c r="F1048204"/>
      <c r="G1048204"/>
      <c r="H1048204"/>
      <c r="I1048204"/>
      <c r="J1048204"/>
      <c r="K1048204"/>
      <c r="L1048204"/>
      <c r="M1048204"/>
      <c r="N1048204"/>
      <c r="O1048204"/>
      <c r="P1048204"/>
      <c r="Q1048204"/>
      <c r="R1048204"/>
      <c r="S1048204"/>
      <c r="T1048204"/>
      <c r="U1048204"/>
      <c r="V1048204"/>
      <c r="W1048204"/>
      <c r="X1048204"/>
      <c r="Y1048204"/>
      <c r="Z1048204"/>
      <c r="AA1048204"/>
      <c r="AB1048204"/>
    </row>
    <row r="1048205" spans="1:28">
      <c r="A1048205"/>
      <c r="B1048205"/>
      <c r="C1048205"/>
      <c r="D1048205"/>
      <c r="E1048205"/>
      <c r="F1048205"/>
      <c r="G1048205"/>
      <c r="H1048205"/>
      <c r="I1048205"/>
      <c r="J1048205"/>
      <c r="K1048205"/>
      <c r="L1048205"/>
      <c r="M1048205"/>
      <c r="N1048205"/>
      <c r="O1048205"/>
      <c r="P1048205"/>
      <c r="Q1048205"/>
      <c r="R1048205"/>
      <c r="S1048205"/>
      <c r="T1048205"/>
      <c r="U1048205"/>
      <c r="V1048205"/>
      <c r="W1048205"/>
      <c r="X1048205"/>
      <c r="Y1048205"/>
      <c r="Z1048205"/>
      <c r="AA1048205"/>
      <c r="AB1048205"/>
    </row>
    <row r="1048206" spans="1:28">
      <c r="A1048206"/>
      <c r="B1048206"/>
      <c r="C1048206"/>
      <c r="D1048206"/>
      <c r="E1048206"/>
      <c r="F1048206"/>
      <c r="G1048206"/>
      <c r="H1048206"/>
      <c r="I1048206"/>
      <c r="J1048206"/>
      <c r="K1048206"/>
      <c r="L1048206"/>
      <c r="M1048206"/>
      <c r="N1048206"/>
      <c r="O1048206"/>
      <c r="P1048206"/>
      <c r="Q1048206"/>
      <c r="R1048206"/>
      <c r="S1048206"/>
      <c r="T1048206"/>
      <c r="U1048206"/>
      <c r="V1048206"/>
      <c r="W1048206"/>
      <c r="X1048206"/>
      <c r="Y1048206"/>
      <c r="Z1048206"/>
      <c r="AA1048206"/>
      <c r="AB1048206"/>
    </row>
    <row r="1048207" spans="1:28">
      <c r="A1048207"/>
      <c r="B1048207"/>
      <c r="C1048207"/>
      <c r="D1048207"/>
      <c r="E1048207"/>
      <c r="F1048207"/>
      <c r="G1048207"/>
      <c r="H1048207"/>
      <c r="I1048207"/>
      <c r="J1048207"/>
      <c r="K1048207"/>
      <c r="L1048207"/>
      <c r="M1048207"/>
      <c r="N1048207"/>
      <c r="O1048207"/>
      <c r="P1048207"/>
      <c r="Q1048207"/>
      <c r="R1048207"/>
      <c r="S1048207"/>
      <c r="T1048207"/>
      <c r="U1048207"/>
      <c r="V1048207"/>
      <c r="W1048207"/>
      <c r="X1048207"/>
      <c r="Y1048207"/>
      <c r="Z1048207"/>
      <c r="AA1048207"/>
      <c r="AB1048207"/>
    </row>
    <row r="1048208" spans="1:28">
      <c r="A1048208"/>
      <c r="B1048208"/>
      <c r="C1048208"/>
      <c r="D1048208"/>
      <c r="E1048208"/>
      <c r="F1048208"/>
      <c r="G1048208"/>
      <c r="H1048208"/>
      <c r="I1048208"/>
      <c r="J1048208"/>
      <c r="K1048208"/>
      <c r="L1048208"/>
      <c r="M1048208"/>
      <c r="N1048208"/>
      <c r="O1048208"/>
      <c r="P1048208"/>
      <c r="Q1048208"/>
      <c r="R1048208"/>
      <c r="S1048208"/>
      <c r="T1048208"/>
      <c r="U1048208"/>
      <c r="V1048208"/>
      <c r="W1048208"/>
      <c r="X1048208"/>
      <c r="Y1048208"/>
      <c r="Z1048208"/>
      <c r="AA1048208"/>
      <c r="AB1048208"/>
    </row>
    <row r="1048209" spans="1:28">
      <c r="A1048209"/>
      <c r="B1048209"/>
      <c r="C1048209"/>
      <c r="D1048209"/>
      <c r="E1048209"/>
      <c r="F1048209"/>
      <c r="G1048209"/>
      <c r="H1048209"/>
      <c r="I1048209"/>
      <c r="J1048209"/>
      <c r="K1048209"/>
      <c r="L1048209"/>
      <c r="M1048209"/>
      <c r="N1048209"/>
      <c r="O1048209"/>
      <c r="P1048209"/>
      <c r="Q1048209"/>
      <c r="R1048209"/>
      <c r="S1048209"/>
      <c r="T1048209"/>
      <c r="U1048209"/>
      <c r="V1048209"/>
      <c r="W1048209"/>
      <c r="X1048209"/>
      <c r="Y1048209"/>
      <c r="Z1048209"/>
      <c r="AA1048209"/>
      <c r="AB1048209"/>
    </row>
    <row r="1048210" spans="1:28">
      <c r="A1048210"/>
      <c r="B1048210"/>
      <c r="C1048210"/>
      <c r="D1048210"/>
      <c r="E1048210"/>
      <c r="F1048210"/>
      <c r="G1048210"/>
      <c r="H1048210"/>
      <c r="I1048210"/>
      <c r="J1048210"/>
      <c r="K1048210"/>
      <c r="L1048210"/>
      <c r="M1048210"/>
      <c r="N1048210"/>
      <c r="O1048210"/>
      <c r="P1048210"/>
      <c r="Q1048210"/>
      <c r="R1048210"/>
      <c r="S1048210"/>
      <c r="T1048210"/>
      <c r="U1048210"/>
      <c r="V1048210"/>
      <c r="W1048210"/>
      <c r="X1048210"/>
      <c r="Y1048210"/>
      <c r="Z1048210"/>
      <c r="AA1048210"/>
      <c r="AB1048210"/>
    </row>
    <row r="1048211" spans="1:28">
      <c r="A1048211"/>
      <c r="B1048211"/>
      <c r="C1048211"/>
      <c r="D1048211"/>
      <c r="E1048211"/>
      <c r="F1048211"/>
      <c r="G1048211"/>
      <c r="H1048211"/>
      <c r="I1048211"/>
      <c r="J1048211"/>
      <c r="K1048211"/>
      <c r="L1048211"/>
      <c r="M1048211"/>
      <c r="N1048211"/>
      <c r="O1048211"/>
      <c r="P1048211"/>
      <c r="Q1048211"/>
      <c r="R1048211"/>
      <c r="S1048211"/>
      <c r="T1048211"/>
      <c r="U1048211"/>
      <c r="V1048211"/>
      <c r="W1048211"/>
      <c r="X1048211"/>
      <c r="Y1048211"/>
      <c r="Z1048211"/>
      <c r="AA1048211"/>
      <c r="AB1048211"/>
    </row>
    <row r="1048212" spans="1:28">
      <c r="A1048212"/>
      <c r="B1048212"/>
      <c r="C1048212"/>
      <c r="D1048212"/>
      <c r="E1048212"/>
      <c r="F1048212"/>
      <c r="G1048212"/>
      <c r="H1048212"/>
      <c r="I1048212"/>
      <c r="J1048212"/>
      <c r="K1048212"/>
      <c r="L1048212"/>
      <c r="M1048212"/>
      <c r="N1048212"/>
      <c r="O1048212"/>
      <c r="P1048212"/>
      <c r="Q1048212"/>
      <c r="R1048212"/>
      <c r="S1048212"/>
      <c r="T1048212"/>
      <c r="U1048212"/>
      <c r="V1048212"/>
      <c r="W1048212"/>
      <c r="X1048212"/>
      <c r="Y1048212"/>
      <c r="Z1048212"/>
      <c r="AA1048212"/>
      <c r="AB1048212"/>
    </row>
    <row r="1048213" spans="1:28">
      <c r="A1048213"/>
      <c r="B1048213"/>
      <c r="C1048213"/>
      <c r="D1048213"/>
      <c r="E1048213"/>
      <c r="F1048213"/>
      <c r="G1048213"/>
      <c r="H1048213"/>
      <c r="I1048213"/>
      <c r="J1048213"/>
      <c r="K1048213"/>
      <c r="L1048213"/>
      <c r="M1048213"/>
      <c r="N1048213"/>
      <c r="O1048213"/>
      <c r="P1048213"/>
      <c r="Q1048213"/>
      <c r="R1048213"/>
      <c r="S1048213"/>
      <c r="T1048213"/>
      <c r="U1048213"/>
      <c r="V1048213"/>
      <c r="W1048213"/>
      <c r="X1048213"/>
      <c r="Y1048213"/>
      <c r="Z1048213"/>
      <c r="AA1048213"/>
      <c r="AB1048213"/>
    </row>
    <row r="1048214" spans="1:28">
      <c r="A1048214"/>
      <c r="B1048214"/>
      <c r="C1048214"/>
      <c r="D1048214"/>
      <c r="E1048214"/>
      <c r="F1048214"/>
      <c r="G1048214"/>
      <c r="H1048214"/>
      <c r="I1048214"/>
      <c r="J1048214"/>
      <c r="K1048214"/>
      <c r="L1048214"/>
      <c r="M1048214"/>
      <c r="N1048214"/>
      <c r="O1048214"/>
      <c r="P1048214"/>
      <c r="Q1048214"/>
      <c r="R1048214"/>
      <c r="S1048214"/>
      <c r="T1048214"/>
      <c r="U1048214"/>
      <c r="V1048214"/>
      <c r="W1048214"/>
      <c r="X1048214"/>
      <c r="Y1048214"/>
      <c r="Z1048214"/>
      <c r="AA1048214"/>
      <c r="AB1048214"/>
    </row>
    <row r="1048215" spans="1:28">
      <c r="A1048215"/>
      <c r="B1048215"/>
      <c r="C1048215"/>
      <c r="D1048215"/>
      <c r="E1048215"/>
      <c r="F1048215"/>
      <c r="G1048215"/>
      <c r="H1048215"/>
      <c r="I1048215"/>
      <c r="J1048215"/>
      <c r="K1048215"/>
      <c r="L1048215"/>
      <c r="M1048215"/>
      <c r="N1048215"/>
      <c r="O1048215"/>
      <c r="P1048215"/>
      <c r="Q1048215"/>
      <c r="R1048215"/>
      <c r="S1048215"/>
      <c r="T1048215"/>
      <c r="U1048215"/>
      <c r="V1048215"/>
      <c r="W1048215"/>
      <c r="X1048215"/>
      <c r="Y1048215"/>
      <c r="Z1048215"/>
      <c r="AA1048215"/>
      <c r="AB1048215"/>
    </row>
    <row r="1048216" spans="1:28">
      <c r="A1048216"/>
      <c r="B1048216"/>
      <c r="C1048216"/>
      <c r="D1048216"/>
      <c r="E1048216"/>
      <c r="F1048216"/>
      <c r="G1048216"/>
      <c r="H1048216"/>
      <c r="I1048216"/>
      <c r="J1048216"/>
      <c r="K1048216"/>
      <c r="L1048216"/>
      <c r="M1048216"/>
      <c r="N1048216"/>
      <c r="O1048216"/>
      <c r="P1048216"/>
      <c r="Q1048216"/>
      <c r="R1048216"/>
      <c r="S1048216"/>
      <c r="T1048216"/>
      <c r="U1048216"/>
      <c r="V1048216"/>
      <c r="W1048216"/>
      <c r="X1048216"/>
      <c r="Y1048216"/>
      <c r="Z1048216"/>
      <c r="AA1048216"/>
      <c r="AB1048216"/>
    </row>
    <row r="1048217" spans="1:28">
      <c r="A1048217"/>
      <c r="B1048217"/>
      <c r="C1048217"/>
      <c r="D1048217"/>
      <c r="E1048217"/>
      <c r="F1048217"/>
      <c r="G1048217"/>
      <c r="H1048217"/>
      <c r="I1048217"/>
      <c r="J1048217"/>
      <c r="K1048217"/>
      <c r="L1048217"/>
      <c r="M1048217"/>
      <c r="N1048217"/>
      <c r="O1048217"/>
      <c r="P1048217"/>
      <c r="Q1048217"/>
      <c r="R1048217"/>
      <c r="S1048217"/>
      <c r="T1048217"/>
      <c r="U1048217"/>
      <c r="V1048217"/>
      <c r="W1048217"/>
      <c r="X1048217"/>
      <c r="Y1048217"/>
      <c r="Z1048217"/>
      <c r="AA1048217"/>
      <c r="AB1048217"/>
    </row>
    <row r="1048218" spans="1:28">
      <c r="A1048218"/>
      <c r="B1048218"/>
      <c r="C1048218"/>
      <c r="D1048218"/>
      <c r="E1048218"/>
      <c r="F1048218"/>
      <c r="G1048218"/>
      <c r="H1048218"/>
      <c r="I1048218"/>
      <c r="J1048218"/>
      <c r="K1048218"/>
      <c r="L1048218"/>
      <c r="M1048218"/>
      <c r="N1048218"/>
      <c r="O1048218"/>
      <c r="P1048218"/>
      <c r="Q1048218"/>
      <c r="R1048218"/>
      <c r="S1048218"/>
      <c r="T1048218"/>
      <c r="U1048218"/>
      <c r="V1048218"/>
      <c r="W1048218"/>
      <c r="X1048218"/>
      <c r="Y1048218"/>
      <c r="Z1048218"/>
      <c r="AA1048218"/>
      <c r="AB1048218"/>
    </row>
    <row r="1048219" spans="1:28">
      <c r="A1048219"/>
      <c r="B1048219"/>
      <c r="C1048219"/>
      <c r="D1048219"/>
      <c r="E1048219"/>
      <c r="F1048219"/>
      <c r="G1048219"/>
      <c r="H1048219"/>
      <c r="I1048219"/>
      <c r="J1048219"/>
      <c r="K1048219"/>
      <c r="L1048219"/>
      <c r="M1048219"/>
      <c r="N1048219"/>
      <c r="O1048219"/>
      <c r="P1048219"/>
      <c r="Q1048219"/>
      <c r="R1048219"/>
      <c r="S1048219"/>
      <c r="T1048219"/>
      <c r="U1048219"/>
      <c r="V1048219"/>
      <c r="W1048219"/>
      <c r="X1048219"/>
      <c r="Y1048219"/>
      <c r="Z1048219"/>
      <c r="AA1048219"/>
      <c r="AB1048219"/>
    </row>
    <row r="1048220" spans="1:28">
      <c r="A1048220"/>
      <c r="B1048220"/>
      <c r="C1048220"/>
      <c r="D1048220"/>
      <c r="E1048220"/>
      <c r="F1048220"/>
      <c r="G1048220"/>
      <c r="H1048220"/>
      <c r="I1048220"/>
      <c r="J1048220"/>
      <c r="K1048220"/>
      <c r="L1048220"/>
      <c r="M1048220"/>
      <c r="N1048220"/>
      <c r="O1048220"/>
      <c r="P1048220"/>
      <c r="Q1048220"/>
      <c r="R1048220"/>
      <c r="S1048220"/>
      <c r="T1048220"/>
      <c r="U1048220"/>
      <c r="V1048220"/>
      <c r="W1048220"/>
      <c r="X1048220"/>
      <c r="Y1048220"/>
      <c r="Z1048220"/>
      <c r="AA1048220"/>
      <c r="AB1048220"/>
    </row>
    <row r="1048221" spans="1:28">
      <c r="A1048221"/>
      <c r="B1048221"/>
      <c r="C1048221"/>
      <c r="D1048221"/>
      <c r="E1048221"/>
      <c r="F1048221"/>
      <c r="G1048221"/>
      <c r="H1048221"/>
      <c r="I1048221"/>
      <c r="J1048221"/>
      <c r="K1048221"/>
      <c r="L1048221"/>
      <c r="M1048221"/>
      <c r="N1048221"/>
      <c r="O1048221"/>
      <c r="P1048221"/>
      <c r="Q1048221"/>
      <c r="R1048221"/>
      <c r="S1048221"/>
      <c r="T1048221"/>
      <c r="U1048221"/>
      <c r="V1048221"/>
      <c r="W1048221"/>
      <c r="X1048221"/>
      <c r="Y1048221"/>
      <c r="Z1048221"/>
      <c r="AA1048221"/>
      <c r="AB1048221"/>
    </row>
    <row r="1048222" spans="1:28">
      <c r="A1048222"/>
      <c r="B1048222"/>
      <c r="C1048222"/>
      <c r="D1048222"/>
      <c r="E1048222"/>
      <c r="F1048222"/>
      <c r="G1048222"/>
      <c r="H1048222"/>
      <c r="I1048222"/>
      <c r="J1048222"/>
      <c r="K1048222"/>
      <c r="L1048222"/>
      <c r="M1048222"/>
      <c r="N1048222"/>
      <c r="O1048222"/>
      <c r="P1048222"/>
      <c r="Q1048222"/>
      <c r="R1048222"/>
      <c r="S1048222"/>
      <c r="T1048222"/>
      <c r="U1048222"/>
      <c r="V1048222"/>
      <c r="W1048222"/>
      <c r="X1048222"/>
      <c r="Y1048222"/>
      <c r="Z1048222"/>
      <c r="AA1048222"/>
      <c r="AB1048222"/>
    </row>
    <row r="1048223" spans="1:28">
      <c r="A1048223"/>
      <c r="B1048223"/>
      <c r="C1048223"/>
      <c r="D1048223"/>
      <c r="E1048223"/>
      <c r="F1048223"/>
      <c r="G1048223"/>
      <c r="H1048223"/>
      <c r="I1048223"/>
      <c r="J1048223"/>
      <c r="K1048223"/>
      <c r="L1048223"/>
      <c r="M1048223"/>
      <c r="N1048223"/>
      <c r="O1048223"/>
      <c r="P1048223"/>
      <c r="Q1048223"/>
      <c r="R1048223"/>
      <c r="S1048223"/>
      <c r="T1048223"/>
      <c r="U1048223"/>
      <c r="V1048223"/>
      <c r="W1048223"/>
      <c r="X1048223"/>
      <c r="Y1048223"/>
      <c r="Z1048223"/>
      <c r="AA1048223"/>
      <c r="AB1048223"/>
    </row>
    <row r="1048224" spans="1:28">
      <c r="A1048224"/>
      <c r="B1048224"/>
      <c r="C1048224"/>
      <c r="D1048224"/>
      <c r="E1048224"/>
      <c r="F1048224"/>
      <c r="G1048224"/>
      <c r="H1048224"/>
      <c r="I1048224"/>
      <c r="J1048224"/>
      <c r="K1048224"/>
      <c r="L1048224"/>
      <c r="M1048224"/>
      <c r="N1048224"/>
      <c r="O1048224"/>
      <c r="P1048224"/>
      <c r="Q1048224"/>
      <c r="R1048224"/>
      <c r="S1048224"/>
      <c r="T1048224"/>
      <c r="U1048224"/>
      <c r="V1048224"/>
      <c r="W1048224"/>
      <c r="X1048224"/>
      <c r="Y1048224"/>
      <c r="Z1048224"/>
      <c r="AA1048224"/>
      <c r="AB1048224"/>
    </row>
    <row r="1048225" spans="1:28">
      <c r="A1048225"/>
      <c r="B1048225"/>
      <c r="C1048225"/>
      <c r="D1048225"/>
      <c r="E1048225"/>
      <c r="F1048225"/>
      <c r="G1048225"/>
      <c r="H1048225"/>
      <c r="I1048225"/>
      <c r="J1048225"/>
      <c r="K1048225"/>
      <c r="L1048225"/>
      <c r="M1048225"/>
      <c r="N1048225"/>
      <c r="O1048225"/>
      <c r="P1048225"/>
      <c r="Q1048225"/>
      <c r="R1048225"/>
      <c r="S1048225"/>
      <c r="T1048225"/>
      <c r="U1048225"/>
      <c r="V1048225"/>
      <c r="W1048225"/>
      <c r="X1048225"/>
      <c r="Y1048225"/>
      <c r="Z1048225"/>
      <c r="AA1048225"/>
      <c r="AB1048225"/>
    </row>
    <row r="1048226" spans="1:28">
      <c r="A1048226"/>
      <c r="B1048226"/>
      <c r="C1048226"/>
      <c r="D1048226"/>
      <c r="E1048226"/>
      <c r="F1048226"/>
      <c r="G1048226"/>
      <c r="H1048226"/>
      <c r="I1048226"/>
      <c r="J1048226"/>
      <c r="K1048226"/>
      <c r="L1048226"/>
      <c r="M1048226"/>
      <c r="N1048226"/>
      <c r="O1048226"/>
      <c r="P1048226"/>
      <c r="Q1048226"/>
      <c r="R1048226"/>
      <c r="S1048226"/>
      <c r="T1048226"/>
      <c r="U1048226"/>
      <c r="V1048226"/>
      <c r="W1048226"/>
      <c r="X1048226"/>
      <c r="Y1048226"/>
      <c r="Z1048226"/>
      <c r="AA1048226"/>
      <c r="AB1048226"/>
    </row>
    <row r="1048227" spans="1:28">
      <c r="A1048227"/>
      <c r="B1048227"/>
      <c r="C1048227"/>
      <c r="D1048227"/>
      <c r="E1048227"/>
      <c r="F1048227"/>
      <c r="G1048227"/>
      <c r="H1048227"/>
      <c r="I1048227"/>
      <c r="J1048227"/>
      <c r="K1048227"/>
      <c r="L1048227"/>
      <c r="M1048227"/>
      <c r="N1048227"/>
      <c r="O1048227"/>
      <c r="P1048227"/>
      <c r="Q1048227"/>
      <c r="R1048227"/>
      <c r="S1048227"/>
      <c r="T1048227"/>
      <c r="U1048227"/>
      <c r="V1048227"/>
      <c r="W1048227"/>
      <c r="X1048227"/>
      <c r="Y1048227"/>
      <c r="Z1048227"/>
      <c r="AA1048227"/>
      <c r="AB1048227"/>
    </row>
    <row r="1048228" spans="1:28">
      <c r="A1048228"/>
      <c r="B1048228"/>
      <c r="C1048228"/>
      <c r="D1048228"/>
      <c r="E1048228"/>
      <c r="F1048228"/>
      <c r="G1048228"/>
      <c r="H1048228"/>
      <c r="I1048228"/>
      <c r="J1048228"/>
      <c r="K1048228"/>
      <c r="L1048228"/>
      <c r="M1048228"/>
      <c r="N1048228"/>
      <c r="O1048228"/>
      <c r="P1048228"/>
      <c r="Q1048228"/>
      <c r="R1048228"/>
      <c r="S1048228"/>
      <c r="T1048228"/>
      <c r="U1048228"/>
      <c r="V1048228"/>
      <c r="W1048228"/>
      <c r="X1048228"/>
      <c r="Y1048228"/>
      <c r="Z1048228"/>
      <c r="AA1048228"/>
      <c r="AB1048228"/>
    </row>
    <row r="1048229" spans="1:28">
      <c r="A1048229"/>
      <c r="B1048229"/>
      <c r="C1048229"/>
      <c r="D1048229"/>
      <c r="E1048229"/>
      <c r="F1048229"/>
      <c r="G1048229"/>
      <c r="H1048229"/>
      <c r="I1048229"/>
      <c r="J1048229"/>
      <c r="K1048229"/>
      <c r="L1048229"/>
      <c r="M1048229"/>
      <c r="N1048229"/>
      <c r="O1048229"/>
      <c r="P1048229"/>
      <c r="Q1048229"/>
      <c r="R1048229"/>
      <c r="S1048229"/>
      <c r="T1048229"/>
      <c r="U1048229"/>
      <c r="V1048229"/>
      <c r="W1048229"/>
      <c r="X1048229"/>
      <c r="Y1048229"/>
      <c r="Z1048229"/>
      <c r="AA1048229"/>
      <c r="AB1048229"/>
    </row>
    <row r="1048230" spans="1:28">
      <c r="A1048230"/>
      <c r="B1048230"/>
      <c r="C1048230"/>
      <c r="D1048230"/>
      <c r="E1048230"/>
      <c r="F1048230"/>
      <c r="G1048230"/>
      <c r="H1048230"/>
      <c r="I1048230"/>
      <c r="J1048230"/>
      <c r="K1048230"/>
      <c r="L1048230"/>
      <c r="M1048230"/>
      <c r="N1048230"/>
      <c r="O1048230"/>
      <c r="P1048230"/>
      <c r="Q1048230"/>
      <c r="R1048230"/>
      <c r="S1048230"/>
      <c r="T1048230"/>
      <c r="U1048230"/>
      <c r="V1048230"/>
      <c r="W1048230"/>
      <c r="X1048230"/>
      <c r="Y1048230"/>
      <c r="Z1048230"/>
      <c r="AA1048230"/>
      <c r="AB1048230"/>
    </row>
    <row r="1048231" spans="1:28">
      <c r="A1048231"/>
      <c r="B1048231"/>
      <c r="C1048231"/>
      <c r="D1048231"/>
      <c r="E1048231"/>
      <c r="F1048231"/>
      <c r="G1048231"/>
      <c r="H1048231"/>
      <c r="I1048231"/>
      <c r="J1048231"/>
      <c r="K1048231"/>
      <c r="L1048231"/>
      <c r="M1048231"/>
      <c r="N1048231"/>
      <c r="O1048231"/>
      <c r="P1048231"/>
      <c r="Q1048231"/>
      <c r="R1048231"/>
      <c r="S1048231"/>
      <c r="T1048231"/>
      <c r="U1048231"/>
      <c r="V1048231"/>
      <c r="W1048231"/>
      <c r="X1048231"/>
      <c r="Y1048231"/>
      <c r="Z1048231"/>
      <c r="AA1048231"/>
      <c r="AB1048231"/>
    </row>
    <row r="1048232" spans="1:28">
      <c r="A1048232"/>
      <c r="B1048232"/>
      <c r="C1048232"/>
      <c r="D1048232"/>
      <c r="E1048232"/>
      <c r="F1048232"/>
      <c r="G1048232"/>
      <c r="H1048232"/>
      <c r="I1048232"/>
      <c r="J1048232"/>
      <c r="K1048232"/>
      <c r="L1048232"/>
      <c r="M1048232"/>
      <c r="N1048232"/>
      <c r="O1048232"/>
      <c r="P1048232"/>
      <c r="Q1048232"/>
      <c r="R1048232"/>
      <c r="S1048232"/>
      <c r="T1048232"/>
      <c r="U1048232"/>
      <c r="V1048232"/>
      <c r="W1048232"/>
      <c r="X1048232"/>
      <c r="Y1048232"/>
      <c r="Z1048232"/>
      <c r="AA1048232"/>
      <c r="AB1048232"/>
    </row>
    <row r="1048233" spans="1:28">
      <c r="A1048233"/>
      <c r="B1048233"/>
      <c r="C1048233"/>
      <c r="D1048233"/>
      <c r="E1048233"/>
      <c r="F1048233"/>
      <c r="G1048233"/>
      <c r="H1048233"/>
      <c r="I1048233"/>
      <c r="J1048233"/>
      <c r="K1048233"/>
      <c r="L1048233"/>
      <c r="M1048233"/>
      <c r="N1048233"/>
      <c r="O1048233"/>
      <c r="P1048233"/>
      <c r="Q1048233"/>
      <c r="R1048233"/>
      <c r="S1048233"/>
      <c r="T1048233"/>
      <c r="U1048233"/>
      <c r="V1048233"/>
      <c r="W1048233"/>
      <c r="X1048233"/>
      <c r="Y1048233"/>
      <c r="Z1048233"/>
      <c r="AA1048233"/>
      <c r="AB1048233"/>
    </row>
    <row r="1048234" spans="1:28">
      <c r="A1048234"/>
      <c r="B1048234"/>
      <c r="C1048234"/>
      <c r="D1048234"/>
      <c r="E1048234"/>
      <c r="F1048234"/>
      <c r="G1048234"/>
      <c r="H1048234"/>
      <c r="I1048234"/>
      <c r="J1048234"/>
      <c r="K1048234"/>
      <c r="L1048234"/>
      <c r="M1048234"/>
      <c r="N1048234"/>
      <c r="O1048234"/>
      <c r="P1048234"/>
      <c r="Q1048234"/>
      <c r="R1048234"/>
      <c r="S1048234"/>
      <c r="T1048234"/>
      <c r="U1048234"/>
      <c r="V1048234"/>
      <c r="W1048234"/>
      <c r="X1048234"/>
      <c r="Y1048234"/>
      <c r="Z1048234"/>
      <c r="AA1048234"/>
      <c r="AB1048234"/>
    </row>
    <row r="1048235" spans="1:28">
      <c r="A1048235"/>
      <c r="B1048235"/>
      <c r="C1048235"/>
      <c r="D1048235"/>
      <c r="E1048235"/>
      <c r="F1048235"/>
      <c r="G1048235"/>
      <c r="H1048235"/>
      <c r="I1048235"/>
      <c r="J1048235"/>
      <c r="K1048235"/>
      <c r="L1048235"/>
      <c r="M1048235"/>
      <c r="N1048235"/>
      <c r="O1048235"/>
      <c r="P1048235"/>
      <c r="Q1048235"/>
      <c r="R1048235"/>
      <c r="S1048235"/>
      <c r="T1048235"/>
      <c r="U1048235"/>
      <c r="V1048235"/>
      <c r="W1048235"/>
      <c r="X1048235"/>
      <c r="Y1048235"/>
      <c r="Z1048235"/>
      <c r="AA1048235"/>
      <c r="AB1048235"/>
    </row>
    <row r="1048236" spans="1:28">
      <c r="A1048236"/>
      <c r="B1048236"/>
      <c r="C1048236"/>
      <c r="D1048236"/>
      <c r="E1048236"/>
      <c r="F1048236"/>
      <c r="G1048236"/>
      <c r="H1048236"/>
      <c r="I1048236"/>
      <c r="J1048236"/>
      <c r="K1048236"/>
      <c r="L1048236"/>
      <c r="M1048236"/>
      <c r="N1048236"/>
      <c r="O1048236"/>
      <c r="P1048236"/>
      <c r="Q1048236"/>
      <c r="R1048236"/>
      <c r="S1048236"/>
      <c r="T1048236"/>
      <c r="U1048236"/>
      <c r="V1048236"/>
      <c r="W1048236"/>
      <c r="X1048236"/>
      <c r="Y1048236"/>
      <c r="Z1048236"/>
      <c r="AA1048236"/>
      <c r="AB1048236"/>
    </row>
    <row r="1048237" spans="1:28">
      <c r="A1048237"/>
      <c r="B1048237"/>
      <c r="C1048237"/>
      <c r="D1048237"/>
      <c r="E1048237"/>
      <c r="F1048237"/>
      <c r="G1048237"/>
      <c r="H1048237"/>
      <c r="I1048237"/>
      <c r="J1048237"/>
      <c r="K1048237"/>
      <c r="L1048237"/>
      <c r="M1048237"/>
      <c r="N1048237"/>
      <c r="O1048237"/>
      <c r="P1048237"/>
      <c r="Q1048237"/>
      <c r="R1048237"/>
      <c r="S1048237"/>
      <c r="T1048237"/>
      <c r="U1048237"/>
      <c r="V1048237"/>
      <c r="W1048237"/>
      <c r="X1048237"/>
      <c r="Y1048237"/>
      <c r="Z1048237"/>
      <c r="AA1048237"/>
      <c r="AB1048237"/>
    </row>
    <row r="1048238" spans="1:28">
      <c r="A1048238"/>
      <c r="B1048238"/>
      <c r="C1048238"/>
      <c r="D1048238"/>
      <c r="E1048238"/>
      <c r="F1048238"/>
      <c r="G1048238"/>
      <c r="H1048238"/>
      <c r="I1048238"/>
      <c r="J1048238"/>
      <c r="K1048238"/>
      <c r="L1048238"/>
      <c r="M1048238"/>
      <c r="N1048238"/>
      <c r="O1048238"/>
      <c r="P1048238"/>
      <c r="Q1048238"/>
      <c r="R1048238"/>
      <c r="S1048238"/>
      <c r="T1048238"/>
      <c r="U1048238"/>
      <c r="V1048238"/>
      <c r="W1048238"/>
      <c r="X1048238"/>
      <c r="Y1048238"/>
      <c r="Z1048238"/>
      <c r="AA1048238"/>
      <c r="AB1048238"/>
    </row>
    <row r="1048239" spans="1:28">
      <c r="A1048239"/>
      <c r="B1048239"/>
      <c r="C1048239"/>
      <c r="D1048239"/>
      <c r="E1048239"/>
      <c r="F1048239"/>
      <c r="G1048239"/>
      <c r="H1048239"/>
      <c r="I1048239"/>
      <c r="J1048239"/>
      <c r="K1048239"/>
      <c r="L1048239"/>
      <c r="M1048239"/>
      <c r="N1048239"/>
      <c r="O1048239"/>
      <c r="P1048239"/>
      <c r="Q1048239"/>
      <c r="R1048239"/>
      <c r="S1048239"/>
      <c r="T1048239"/>
      <c r="U1048239"/>
      <c r="V1048239"/>
      <c r="W1048239"/>
      <c r="X1048239"/>
      <c r="Y1048239"/>
      <c r="Z1048239"/>
      <c r="AA1048239"/>
      <c r="AB1048239"/>
    </row>
    <row r="1048240" spans="1:28">
      <c r="A1048240"/>
      <c r="B1048240"/>
      <c r="C1048240"/>
      <c r="D1048240"/>
      <c r="E1048240"/>
      <c r="F1048240"/>
      <c r="G1048240"/>
      <c r="H1048240"/>
      <c r="I1048240"/>
      <c r="J1048240"/>
      <c r="K1048240"/>
      <c r="L1048240"/>
      <c r="M1048240"/>
      <c r="N1048240"/>
      <c r="O1048240"/>
      <c r="P1048240"/>
      <c r="Q1048240"/>
      <c r="R1048240"/>
      <c r="S1048240"/>
      <c r="T1048240"/>
      <c r="U1048240"/>
      <c r="V1048240"/>
      <c r="W1048240"/>
      <c r="X1048240"/>
      <c r="Y1048240"/>
      <c r="Z1048240"/>
      <c r="AA1048240"/>
      <c r="AB1048240"/>
    </row>
    <row r="1048241" spans="1:28">
      <c r="A1048241"/>
      <c r="B1048241"/>
      <c r="C1048241"/>
      <c r="D1048241"/>
      <c r="E1048241"/>
      <c r="F1048241"/>
      <c r="G1048241"/>
      <c r="H1048241"/>
      <c r="I1048241"/>
      <c r="J1048241"/>
      <c r="K1048241"/>
      <c r="L1048241"/>
      <c r="M1048241"/>
      <c r="N1048241"/>
      <c r="O1048241"/>
      <c r="P1048241"/>
      <c r="Q1048241"/>
      <c r="R1048241"/>
      <c r="S1048241"/>
      <c r="T1048241"/>
      <c r="U1048241"/>
      <c r="V1048241"/>
      <c r="W1048241"/>
      <c r="X1048241"/>
      <c r="Y1048241"/>
      <c r="Z1048241"/>
      <c r="AA1048241"/>
      <c r="AB1048241"/>
    </row>
    <row r="1048242" spans="1:28">
      <c r="A1048242"/>
      <c r="B1048242"/>
      <c r="C1048242"/>
      <c r="D1048242"/>
      <c r="E1048242"/>
      <c r="F1048242"/>
      <c r="G1048242"/>
      <c r="H1048242"/>
      <c r="I1048242"/>
      <c r="J1048242"/>
      <c r="K1048242"/>
      <c r="L1048242"/>
      <c r="M1048242"/>
      <c r="N1048242"/>
      <c r="O1048242"/>
      <c r="P1048242"/>
      <c r="Q1048242"/>
      <c r="R1048242"/>
      <c r="S1048242"/>
      <c r="T1048242"/>
      <c r="U1048242"/>
      <c r="V1048242"/>
      <c r="W1048242"/>
      <c r="X1048242"/>
      <c r="Y1048242"/>
      <c r="Z1048242"/>
      <c r="AA1048242"/>
      <c r="AB1048242"/>
    </row>
    <row r="1048243" spans="1:28">
      <c r="A1048243"/>
      <c r="B1048243"/>
      <c r="C1048243"/>
      <c r="D1048243"/>
      <c r="E1048243"/>
      <c r="F1048243"/>
      <c r="G1048243"/>
      <c r="H1048243"/>
      <c r="I1048243"/>
      <c r="J1048243"/>
      <c r="K1048243"/>
      <c r="L1048243"/>
      <c r="M1048243"/>
      <c r="N1048243"/>
      <c r="O1048243"/>
      <c r="P1048243"/>
      <c r="Q1048243"/>
      <c r="R1048243"/>
      <c r="S1048243"/>
      <c r="T1048243"/>
      <c r="U1048243"/>
      <c r="V1048243"/>
      <c r="W1048243"/>
      <c r="X1048243"/>
      <c r="Y1048243"/>
      <c r="Z1048243"/>
      <c r="AA1048243"/>
      <c r="AB1048243"/>
    </row>
    <row r="1048244" spans="1:28">
      <c r="A1048244"/>
      <c r="B1048244"/>
      <c r="C1048244"/>
      <c r="D1048244"/>
      <c r="E1048244"/>
      <c r="F1048244"/>
      <c r="G1048244"/>
      <c r="H1048244"/>
      <c r="I1048244"/>
      <c r="J1048244"/>
      <c r="K1048244"/>
      <c r="L1048244"/>
      <c r="M1048244"/>
      <c r="N1048244"/>
      <c r="O1048244"/>
      <c r="P1048244"/>
      <c r="Q1048244"/>
      <c r="R1048244"/>
      <c r="S1048244"/>
      <c r="T1048244"/>
      <c r="U1048244"/>
      <c r="V1048244"/>
      <c r="W1048244"/>
      <c r="X1048244"/>
      <c r="Y1048244"/>
      <c r="Z1048244"/>
      <c r="AA1048244"/>
      <c r="AB1048244"/>
    </row>
    <row r="1048245" spans="1:28">
      <c r="A1048245"/>
      <c r="B1048245"/>
      <c r="C1048245"/>
      <c r="D1048245"/>
      <c r="E1048245"/>
      <c r="F1048245"/>
      <c r="G1048245"/>
      <c r="H1048245"/>
      <c r="I1048245"/>
      <c r="J1048245"/>
      <c r="K1048245"/>
      <c r="L1048245"/>
      <c r="M1048245"/>
      <c r="N1048245"/>
      <c r="O1048245"/>
      <c r="P1048245"/>
      <c r="Q1048245"/>
      <c r="R1048245"/>
      <c r="S1048245"/>
      <c r="T1048245"/>
      <c r="U1048245"/>
      <c r="V1048245"/>
      <c r="W1048245"/>
      <c r="X1048245"/>
      <c r="Y1048245"/>
      <c r="Z1048245"/>
      <c r="AA1048245"/>
      <c r="AB1048245"/>
    </row>
    <row r="1048246" spans="1:28">
      <c r="A1048246"/>
      <c r="B1048246"/>
      <c r="C1048246"/>
      <c r="D1048246"/>
      <c r="E1048246"/>
      <c r="F1048246"/>
      <c r="G1048246"/>
      <c r="H1048246"/>
      <c r="I1048246"/>
      <c r="J1048246"/>
      <c r="K1048246"/>
      <c r="L1048246"/>
      <c r="M1048246"/>
      <c r="N1048246"/>
      <c r="O1048246"/>
      <c r="P1048246"/>
      <c r="Q1048246"/>
      <c r="R1048246"/>
      <c r="S1048246"/>
      <c r="T1048246"/>
      <c r="U1048246"/>
      <c r="V1048246"/>
      <c r="W1048246"/>
      <c r="X1048246"/>
      <c r="Y1048246"/>
      <c r="Z1048246"/>
      <c r="AA1048246"/>
      <c r="AB1048246"/>
    </row>
    <row r="1048247" spans="1:28">
      <c r="A1048247"/>
      <c r="B1048247"/>
      <c r="C1048247"/>
      <c r="D1048247"/>
      <c r="E1048247"/>
      <c r="F1048247"/>
      <c r="G1048247"/>
      <c r="H1048247"/>
      <c r="I1048247"/>
      <c r="J1048247"/>
      <c r="K1048247"/>
      <c r="L1048247"/>
      <c r="M1048247"/>
      <c r="N1048247"/>
      <c r="O1048247"/>
      <c r="P1048247"/>
      <c r="Q1048247"/>
      <c r="R1048247"/>
      <c r="S1048247"/>
      <c r="T1048247"/>
      <c r="U1048247"/>
      <c r="V1048247"/>
      <c r="W1048247"/>
      <c r="X1048247"/>
      <c r="Y1048247"/>
      <c r="Z1048247"/>
      <c r="AA1048247"/>
      <c r="AB1048247"/>
    </row>
    <row r="1048248" spans="1:28">
      <c r="A1048248"/>
      <c r="B1048248"/>
      <c r="C1048248"/>
      <c r="D1048248"/>
      <c r="E1048248"/>
      <c r="F1048248"/>
      <c r="G1048248"/>
      <c r="H1048248"/>
      <c r="I1048248"/>
      <c r="J1048248"/>
      <c r="K1048248"/>
      <c r="L1048248"/>
      <c r="M1048248"/>
      <c r="N1048248"/>
      <c r="O1048248"/>
      <c r="P1048248"/>
      <c r="Q1048248"/>
      <c r="R1048248"/>
      <c r="S1048248"/>
      <c r="T1048248"/>
      <c r="U1048248"/>
      <c r="V1048248"/>
      <c r="W1048248"/>
      <c r="X1048248"/>
      <c r="Y1048248"/>
      <c r="Z1048248"/>
      <c r="AA1048248"/>
      <c r="AB1048248"/>
    </row>
    <row r="1048249" spans="1:28">
      <c r="A1048249"/>
      <c r="B1048249"/>
      <c r="C1048249"/>
      <c r="D1048249"/>
      <c r="E1048249"/>
      <c r="F1048249"/>
      <c r="G1048249"/>
      <c r="H1048249"/>
      <c r="I1048249"/>
      <c r="J1048249"/>
      <c r="K1048249"/>
      <c r="L1048249"/>
      <c r="M1048249"/>
      <c r="N1048249"/>
      <c r="O1048249"/>
      <c r="P1048249"/>
      <c r="Q1048249"/>
      <c r="R1048249"/>
      <c r="S1048249"/>
      <c r="T1048249"/>
      <c r="U1048249"/>
      <c r="V1048249"/>
      <c r="W1048249"/>
      <c r="X1048249"/>
      <c r="Y1048249"/>
      <c r="Z1048249"/>
      <c r="AA1048249"/>
      <c r="AB1048249"/>
    </row>
    <row r="1048250" spans="1:28">
      <c r="A1048250"/>
      <c r="B1048250"/>
      <c r="C1048250"/>
      <c r="D1048250"/>
      <c r="E1048250"/>
      <c r="F1048250"/>
      <c r="G1048250"/>
      <c r="H1048250"/>
      <c r="I1048250"/>
      <c r="J1048250"/>
      <c r="K1048250"/>
      <c r="L1048250"/>
      <c r="M1048250"/>
      <c r="N1048250"/>
      <c r="O1048250"/>
      <c r="P1048250"/>
      <c r="Q1048250"/>
      <c r="R1048250"/>
      <c r="S1048250"/>
      <c r="T1048250"/>
      <c r="U1048250"/>
      <c r="V1048250"/>
      <c r="W1048250"/>
      <c r="X1048250"/>
      <c r="Y1048250"/>
      <c r="Z1048250"/>
      <c r="AA1048250"/>
      <c r="AB1048250"/>
    </row>
    <row r="1048251" spans="1:28">
      <c r="A1048251"/>
      <c r="B1048251"/>
      <c r="C1048251"/>
      <c r="D1048251"/>
      <c r="E1048251"/>
      <c r="F1048251"/>
      <c r="G1048251"/>
      <c r="H1048251"/>
      <c r="I1048251"/>
      <c r="J1048251"/>
      <c r="K1048251"/>
      <c r="L1048251"/>
      <c r="M1048251"/>
      <c r="N1048251"/>
      <c r="O1048251"/>
      <c r="P1048251"/>
      <c r="Q1048251"/>
      <c r="R1048251"/>
      <c r="S1048251"/>
      <c r="T1048251"/>
      <c r="U1048251"/>
      <c r="V1048251"/>
      <c r="W1048251"/>
      <c r="X1048251"/>
      <c r="Y1048251"/>
      <c r="Z1048251"/>
      <c r="AA1048251"/>
      <c r="AB1048251"/>
    </row>
    <row r="1048252" spans="1:28">
      <c r="A1048252"/>
      <c r="B1048252"/>
      <c r="C1048252"/>
      <c r="D1048252"/>
      <c r="E1048252"/>
      <c r="F1048252"/>
      <c r="G1048252"/>
      <c r="H1048252"/>
      <c r="I1048252"/>
      <c r="J1048252"/>
      <c r="K1048252"/>
      <c r="L1048252"/>
      <c r="M1048252"/>
      <c r="N1048252"/>
      <c r="O1048252"/>
      <c r="P1048252"/>
      <c r="Q1048252"/>
      <c r="R1048252"/>
      <c r="S1048252"/>
      <c r="T1048252"/>
      <c r="U1048252"/>
      <c r="V1048252"/>
      <c r="W1048252"/>
      <c r="X1048252"/>
      <c r="Y1048252"/>
      <c r="Z1048252"/>
      <c r="AA1048252"/>
      <c r="AB1048252"/>
    </row>
    <row r="1048253" spans="1:28">
      <c r="A1048253"/>
      <c r="B1048253"/>
      <c r="C1048253"/>
      <c r="D1048253"/>
      <c r="E1048253"/>
      <c r="F1048253"/>
      <c r="G1048253"/>
      <c r="H1048253"/>
      <c r="I1048253"/>
      <c r="J1048253"/>
      <c r="K1048253"/>
      <c r="L1048253"/>
      <c r="M1048253"/>
      <c r="N1048253"/>
      <c r="O1048253"/>
      <c r="P1048253"/>
      <c r="Q1048253"/>
      <c r="R1048253"/>
      <c r="S1048253"/>
      <c r="T1048253"/>
      <c r="U1048253"/>
      <c r="V1048253"/>
      <c r="W1048253"/>
      <c r="X1048253"/>
      <c r="Y1048253"/>
      <c r="Z1048253"/>
      <c r="AA1048253"/>
      <c r="AB1048253"/>
    </row>
    <row r="1048254" spans="1:28">
      <c r="A1048254"/>
      <c r="B1048254"/>
      <c r="C1048254"/>
      <c r="D1048254"/>
      <c r="E1048254"/>
      <c r="F1048254"/>
      <c r="G1048254"/>
      <c r="H1048254"/>
      <c r="I1048254"/>
      <c r="J1048254"/>
      <c r="K1048254"/>
      <c r="L1048254"/>
      <c r="M1048254"/>
      <c r="N1048254"/>
      <c r="O1048254"/>
      <c r="P1048254"/>
      <c r="Q1048254"/>
      <c r="R1048254"/>
      <c r="S1048254"/>
      <c r="T1048254"/>
      <c r="U1048254"/>
      <c r="V1048254"/>
      <c r="W1048254"/>
      <c r="X1048254"/>
      <c r="Y1048254"/>
      <c r="Z1048254"/>
      <c r="AA1048254"/>
      <c r="AB1048254"/>
    </row>
    <row r="1048255" spans="1:28">
      <c r="A1048255"/>
      <c r="B1048255"/>
      <c r="C1048255"/>
      <c r="D1048255"/>
      <c r="E1048255"/>
      <c r="F1048255"/>
      <c r="G1048255"/>
      <c r="H1048255"/>
      <c r="I1048255"/>
      <c r="J1048255"/>
      <c r="K1048255"/>
      <c r="L1048255"/>
      <c r="M1048255"/>
      <c r="N1048255"/>
      <c r="O1048255"/>
      <c r="P1048255"/>
      <c r="Q1048255"/>
      <c r="R1048255"/>
      <c r="S1048255"/>
      <c r="T1048255"/>
      <c r="U1048255"/>
      <c r="V1048255"/>
      <c r="W1048255"/>
      <c r="X1048255"/>
      <c r="Y1048255"/>
      <c r="Z1048255"/>
      <c r="AA1048255"/>
      <c r="AB1048255"/>
    </row>
    <row r="1048256" spans="1:28">
      <c r="A1048256"/>
      <c r="B1048256"/>
      <c r="C1048256"/>
      <c r="D1048256"/>
      <c r="E1048256"/>
      <c r="F1048256"/>
      <c r="G1048256"/>
      <c r="H1048256"/>
      <c r="I1048256"/>
      <c r="J1048256"/>
      <c r="K1048256"/>
      <c r="L1048256"/>
      <c r="M1048256"/>
      <c r="N1048256"/>
      <c r="O1048256"/>
      <c r="P1048256"/>
      <c r="Q1048256"/>
      <c r="R1048256"/>
      <c r="S1048256"/>
      <c r="T1048256"/>
      <c r="U1048256"/>
      <c r="V1048256"/>
      <c r="W1048256"/>
      <c r="X1048256"/>
      <c r="Y1048256"/>
      <c r="Z1048256"/>
      <c r="AA1048256"/>
      <c r="AB1048256"/>
    </row>
    <row r="1048257" spans="1:28">
      <c r="A1048257"/>
      <c r="B1048257"/>
      <c r="C1048257"/>
      <c r="D1048257"/>
      <c r="E1048257"/>
      <c r="F1048257"/>
      <c r="G1048257"/>
      <c r="H1048257"/>
      <c r="I1048257"/>
      <c r="J1048257"/>
      <c r="K1048257"/>
      <c r="L1048257"/>
      <c r="M1048257"/>
      <c r="N1048257"/>
      <c r="O1048257"/>
      <c r="P1048257"/>
      <c r="Q1048257"/>
      <c r="R1048257"/>
      <c r="S1048257"/>
      <c r="T1048257"/>
      <c r="U1048257"/>
      <c r="V1048257"/>
      <c r="W1048257"/>
      <c r="X1048257"/>
      <c r="Y1048257"/>
      <c r="Z1048257"/>
      <c r="AA1048257"/>
      <c r="AB1048257"/>
    </row>
    <row r="1048258" spans="1:28">
      <c r="A1048258"/>
      <c r="B1048258"/>
      <c r="C1048258"/>
      <c r="D1048258"/>
      <c r="E1048258"/>
      <c r="F1048258"/>
      <c r="G1048258"/>
      <c r="H1048258"/>
      <c r="I1048258"/>
      <c r="J1048258"/>
      <c r="K1048258"/>
      <c r="L1048258"/>
      <c r="M1048258"/>
      <c r="N1048258"/>
      <c r="O1048258"/>
      <c r="P1048258"/>
      <c r="Q1048258"/>
      <c r="R1048258"/>
      <c r="S1048258"/>
      <c r="T1048258"/>
      <c r="U1048258"/>
      <c r="V1048258"/>
      <c r="W1048258"/>
      <c r="X1048258"/>
      <c r="Y1048258"/>
      <c r="Z1048258"/>
      <c r="AA1048258"/>
      <c r="AB1048258"/>
    </row>
    <row r="1048259" spans="1:28">
      <c r="A1048259"/>
      <c r="B1048259"/>
      <c r="C1048259"/>
      <c r="D1048259"/>
      <c r="E1048259"/>
      <c r="F1048259"/>
      <c r="G1048259"/>
      <c r="H1048259"/>
      <c r="I1048259"/>
      <c r="J1048259"/>
      <c r="K1048259"/>
      <c r="L1048259"/>
      <c r="M1048259"/>
      <c r="N1048259"/>
      <c r="O1048259"/>
      <c r="P1048259"/>
      <c r="Q1048259"/>
      <c r="R1048259"/>
      <c r="S1048259"/>
      <c r="T1048259"/>
      <c r="U1048259"/>
      <c r="V1048259"/>
      <c r="W1048259"/>
      <c r="X1048259"/>
      <c r="Y1048259"/>
      <c r="Z1048259"/>
      <c r="AA1048259"/>
      <c r="AB1048259"/>
    </row>
    <row r="1048260" spans="1:28">
      <c r="A1048260"/>
      <c r="B1048260"/>
      <c r="C1048260"/>
      <c r="D1048260"/>
      <c r="E1048260"/>
      <c r="F1048260"/>
      <c r="G1048260"/>
      <c r="H1048260"/>
      <c r="I1048260"/>
      <c r="J1048260"/>
      <c r="K1048260"/>
      <c r="L1048260"/>
      <c r="M1048260"/>
      <c r="N1048260"/>
      <c r="O1048260"/>
      <c r="P1048260"/>
      <c r="Q1048260"/>
      <c r="R1048260"/>
      <c r="S1048260"/>
      <c r="T1048260"/>
      <c r="U1048260"/>
      <c r="V1048260"/>
      <c r="W1048260"/>
      <c r="X1048260"/>
      <c r="Y1048260"/>
      <c r="Z1048260"/>
      <c r="AA1048260"/>
      <c r="AB1048260"/>
    </row>
    <row r="1048261" spans="1:28">
      <c r="A1048261"/>
      <c r="B1048261"/>
      <c r="C1048261"/>
      <c r="D1048261"/>
      <c r="E1048261"/>
      <c r="F1048261"/>
      <c r="G1048261"/>
      <c r="H1048261"/>
      <c r="I1048261"/>
      <c r="J1048261"/>
      <c r="K1048261"/>
      <c r="L1048261"/>
      <c r="M1048261"/>
      <c r="N1048261"/>
      <c r="O1048261"/>
      <c r="P1048261"/>
      <c r="Q1048261"/>
      <c r="R1048261"/>
      <c r="S1048261"/>
      <c r="T1048261"/>
      <c r="U1048261"/>
      <c r="V1048261"/>
      <c r="W1048261"/>
      <c r="X1048261"/>
      <c r="Y1048261"/>
      <c r="Z1048261"/>
      <c r="AA1048261"/>
      <c r="AB1048261"/>
    </row>
    <row r="1048262" spans="1:28">
      <c r="A1048262"/>
      <c r="B1048262"/>
      <c r="C1048262"/>
      <c r="D1048262"/>
      <c r="E1048262"/>
      <c r="F1048262"/>
      <c r="G1048262"/>
      <c r="H1048262"/>
      <c r="I1048262"/>
      <c r="J1048262"/>
      <c r="K1048262"/>
      <c r="L1048262"/>
      <c r="M1048262"/>
      <c r="N1048262"/>
      <c r="O1048262"/>
      <c r="P1048262"/>
      <c r="Q1048262"/>
      <c r="R1048262"/>
      <c r="S1048262"/>
      <c r="T1048262"/>
      <c r="U1048262"/>
      <c r="V1048262"/>
      <c r="W1048262"/>
      <c r="X1048262"/>
      <c r="Y1048262"/>
      <c r="Z1048262"/>
      <c r="AA1048262"/>
      <c r="AB1048262"/>
    </row>
    <row r="1048263" spans="1:28">
      <c r="A1048263"/>
      <c r="B1048263"/>
      <c r="C1048263"/>
      <c r="D1048263"/>
      <c r="E1048263"/>
      <c r="F1048263"/>
      <c r="G1048263"/>
      <c r="H1048263"/>
      <c r="I1048263"/>
      <c r="J1048263"/>
      <c r="K1048263"/>
      <c r="L1048263"/>
      <c r="M1048263"/>
      <c r="N1048263"/>
      <c r="O1048263"/>
      <c r="P1048263"/>
      <c r="Q1048263"/>
      <c r="R1048263"/>
      <c r="S1048263"/>
      <c r="T1048263"/>
      <c r="U1048263"/>
      <c r="V1048263"/>
      <c r="W1048263"/>
      <c r="X1048263"/>
      <c r="Y1048263"/>
      <c r="Z1048263"/>
      <c r="AA1048263"/>
      <c r="AB1048263"/>
    </row>
    <row r="1048264" spans="1:28">
      <c r="A1048264"/>
      <c r="B1048264"/>
      <c r="C1048264"/>
      <c r="D1048264"/>
      <c r="E1048264"/>
      <c r="F1048264"/>
      <c r="G1048264"/>
      <c r="H1048264"/>
      <c r="I1048264"/>
      <c r="J1048264"/>
      <c r="K1048264"/>
      <c r="L1048264"/>
      <c r="M1048264"/>
      <c r="N1048264"/>
      <c r="O1048264"/>
      <c r="P1048264"/>
      <c r="Q1048264"/>
      <c r="R1048264"/>
      <c r="S1048264"/>
      <c r="T1048264"/>
      <c r="U1048264"/>
      <c r="V1048264"/>
      <c r="W1048264"/>
      <c r="X1048264"/>
      <c r="Y1048264"/>
      <c r="Z1048264"/>
      <c r="AA1048264"/>
      <c r="AB1048264"/>
    </row>
    <row r="1048265" spans="1:28">
      <c r="A1048265"/>
      <c r="B1048265"/>
      <c r="C1048265"/>
      <c r="D1048265"/>
      <c r="E1048265"/>
      <c r="F1048265"/>
      <c r="G1048265"/>
      <c r="H1048265"/>
      <c r="I1048265"/>
      <c r="J1048265"/>
      <c r="K1048265"/>
      <c r="L1048265"/>
      <c r="M1048265"/>
      <c r="N1048265"/>
      <c r="O1048265"/>
      <c r="P1048265"/>
      <c r="Q1048265"/>
      <c r="R1048265"/>
      <c r="S1048265"/>
      <c r="T1048265"/>
      <c r="U1048265"/>
      <c r="V1048265"/>
      <c r="W1048265"/>
      <c r="X1048265"/>
      <c r="Y1048265"/>
      <c r="Z1048265"/>
      <c r="AA1048265"/>
      <c r="AB1048265"/>
    </row>
    <row r="1048266" spans="1:28">
      <c r="A1048266"/>
      <c r="B1048266"/>
      <c r="C1048266"/>
      <c r="D1048266"/>
      <c r="E1048266"/>
      <c r="F1048266"/>
      <c r="G1048266"/>
      <c r="H1048266"/>
      <c r="I1048266"/>
      <c r="J1048266"/>
      <c r="K1048266"/>
      <c r="L1048266"/>
      <c r="M1048266"/>
      <c r="N1048266"/>
      <c r="O1048266"/>
      <c r="P1048266"/>
      <c r="Q1048266"/>
      <c r="R1048266"/>
      <c r="S1048266"/>
      <c r="T1048266"/>
      <c r="U1048266"/>
      <c r="V1048266"/>
      <c r="W1048266"/>
      <c r="X1048266"/>
      <c r="Y1048266"/>
      <c r="Z1048266"/>
      <c r="AA1048266"/>
      <c r="AB1048266"/>
    </row>
    <row r="1048267" spans="1:28">
      <c r="A1048267"/>
      <c r="B1048267"/>
      <c r="C1048267"/>
      <c r="D1048267"/>
      <c r="E1048267"/>
      <c r="F1048267"/>
      <c r="G1048267"/>
      <c r="H1048267"/>
      <c r="I1048267"/>
      <c r="J1048267"/>
      <c r="K1048267"/>
      <c r="L1048267"/>
      <c r="M1048267"/>
      <c r="N1048267"/>
      <c r="O1048267"/>
      <c r="P1048267"/>
      <c r="Q1048267"/>
      <c r="R1048267"/>
      <c r="S1048267"/>
      <c r="T1048267"/>
      <c r="U1048267"/>
      <c r="V1048267"/>
      <c r="W1048267"/>
      <c r="X1048267"/>
      <c r="Y1048267"/>
      <c r="Z1048267"/>
      <c r="AA1048267"/>
      <c r="AB1048267"/>
    </row>
    <row r="1048268" spans="1:28">
      <c r="A1048268"/>
      <c r="B1048268"/>
      <c r="C1048268"/>
      <c r="D1048268"/>
      <c r="E1048268"/>
      <c r="F1048268"/>
      <c r="G1048268"/>
      <c r="H1048268"/>
      <c r="I1048268"/>
      <c r="J1048268"/>
      <c r="K1048268"/>
      <c r="L1048268"/>
      <c r="M1048268"/>
      <c r="N1048268"/>
      <c r="O1048268"/>
      <c r="P1048268"/>
      <c r="Q1048268"/>
      <c r="R1048268"/>
      <c r="S1048268"/>
      <c r="T1048268"/>
      <c r="U1048268"/>
      <c r="V1048268"/>
      <c r="W1048268"/>
      <c r="X1048268"/>
      <c r="Y1048268"/>
      <c r="Z1048268"/>
      <c r="AA1048268"/>
      <c r="AB1048268"/>
    </row>
    <row r="1048269" spans="1:28">
      <c r="A1048269"/>
      <c r="B1048269"/>
      <c r="C1048269"/>
      <c r="D1048269"/>
      <c r="E1048269"/>
      <c r="F1048269"/>
      <c r="G1048269"/>
      <c r="H1048269"/>
      <c r="I1048269"/>
      <c r="J1048269"/>
      <c r="K1048269"/>
      <c r="L1048269"/>
      <c r="M1048269"/>
      <c r="N1048269"/>
      <c r="O1048269"/>
      <c r="P1048269"/>
      <c r="Q1048269"/>
      <c r="R1048269"/>
      <c r="S1048269"/>
      <c r="T1048269"/>
      <c r="U1048269"/>
      <c r="V1048269"/>
      <c r="W1048269"/>
      <c r="X1048269"/>
      <c r="Y1048269"/>
      <c r="Z1048269"/>
      <c r="AA1048269"/>
      <c r="AB1048269"/>
    </row>
    <row r="1048270" spans="1:28">
      <c r="A1048270"/>
      <c r="B1048270"/>
      <c r="C1048270"/>
      <c r="D1048270"/>
      <c r="E1048270"/>
      <c r="F1048270"/>
      <c r="G1048270"/>
      <c r="H1048270"/>
      <c r="I1048270"/>
      <c r="J1048270"/>
      <c r="K1048270"/>
      <c r="L1048270"/>
      <c r="M1048270"/>
      <c r="N1048270"/>
      <c r="O1048270"/>
      <c r="P1048270"/>
      <c r="Q1048270"/>
      <c r="R1048270"/>
      <c r="S1048270"/>
      <c r="T1048270"/>
      <c r="U1048270"/>
      <c r="V1048270"/>
      <c r="W1048270"/>
      <c r="X1048270"/>
      <c r="Y1048270"/>
      <c r="Z1048270"/>
      <c r="AA1048270"/>
      <c r="AB1048270"/>
    </row>
    <row r="1048271" spans="1:28">
      <c r="A1048271"/>
      <c r="B1048271"/>
      <c r="C1048271"/>
      <c r="D1048271"/>
      <c r="E1048271"/>
      <c r="F1048271"/>
      <c r="G1048271"/>
      <c r="H1048271"/>
      <c r="I1048271"/>
      <c r="J1048271"/>
      <c r="K1048271"/>
      <c r="L1048271"/>
      <c r="M1048271"/>
      <c r="N1048271"/>
      <c r="O1048271"/>
      <c r="P1048271"/>
      <c r="Q1048271"/>
      <c r="R1048271"/>
      <c r="S1048271"/>
      <c r="T1048271"/>
      <c r="U1048271"/>
      <c r="V1048271"/>
      <c r="W1048271"/>
      <c r="X1048271"/>
      <c r="Y1048271"/>
      <c r="Z1048271"/>
      <c r="AA1048271"/>
      <c r="AB1048271"/>
    </row>
    <row r="1048272" spans="1:28">
      <c r="A1048272"/>
      <c r="B1048272"/>
      <c r="C1048272"/>
      <c r="D1048272"/>
      <c r="E1048272"/>
      <c r="F1048272"/>
      <c r="G1048272"/>
      <c r="H1048272"/>
      <c r="I1048272"/>
      <c r="J1048272"/>
      <c r="K1048272"/>
      <c r="L1048272"/>
      <c r="M1048272"/>
      <c r="N1048272"/>
      <c r="O1048272"/>
      <c r="P1048272"/>
      <c r="Q1048272"/>
      <c r="R1048272"/>
      <c r="S1048272"/>
      <c r="T1048272"/>
      <c r="U1048272"/>
      <c r="V1048272"/>
      <c r="W1048272"/>
      <c r="X1048272"/>
      <c r="Y1048272"/>
      <c r="Z1048272"/>
      <c r="AA1048272"/>
      <c r="AB1048272"/>
    </row>
    <row r="1048273" spans="1:28">
      <c r="A1048273"/>
      <c r="B1048273"/>
      <c r="C1048273"/>
      <c r="D1048273"/>
      <c r="E1048273"/>
      <c r="F1048273"/>
      <c r="G1048273"/>
      <c r="H1048273"/>
      <c r="I1048273"/>
      <c r="J1048273"/>
      <c r="K1048273"/>
      <c r="L1048273"/>
      <c r="M1048273"/>
      <c r="N1048273"/>
      <c r="O1048273"/>
      <c r="P1048273"/>
      <c r="Q1048273"/>
      <c r="R1048273"/>
      <c r="S1048273"/>
      <c r="T1048273"/>
      <c r="U1048273"/>
      <c r="V1048273"/>
      <c r="W1048273"/>
      <c r="X1048273"/>
      <c r="Y1048273"/>
      <c r="Z1048273"/>
      <c r="AA1048273"/>
      <c r="AB1048273"/>
    </row>
    <row r="1048274" spans="1:28">
      <c r="A1048274"/>
      <c r="B1048274"/>
      <c r="C1048274"/>
      <c r="D1048274"/>
      <c r="E1048274"/>
      <c r="F1048274"/>
      <c r="G1048274"/>
      <c r="H1048274"/>
      <c r="I1048274"/>
      <c r="J1048274"/>
      <c r="K1048274"/>
      <c r="L1048274"/>
      <c r="M1048274"/>
      <c r="N1048274"/>
      <c r="O1048274"/>
      <c r="P1048274"/>
      <c r="Q1048274"/>
      <c r="R1048274"/>
      <c r="S1048274"/>
      <c r="T1048274"/>
      <c r="U1048274"/>
      <c r="V1048274"/>
      <c r="W1048274"/>
      <c r="X1048274"/>
      <c r="Y1048274"/>
      <c r="Z1048274"/>
      <c r="AA1048274"/>
      <c r="AB1048274"/>
    </row>
    <row r="1048275" spans="1:28">
      <c r="A1048275"/>
      <c r="B1048275"/>
      <c r="C1048275"/>
      <c r="D1048275"/>
      <c r="E1048275"/>
      <c r="F1048275"/>
      <c r="G1048275"/>
      <c r="H1048275"/>
      <c r="I1048275"/>
      <c r="J1048275"/>
      <c r="K1048275"/>
      <c r="L1048275"/>
      <c r="M1048275"/>
      <c r="N1048275"/>
      <c r="O1048275"/>
      <c r="P1048275"/>
      <c r="Q1048275"/>
      <c r="R1048275"/>
      <c r="S1048275"/>
      <c r="T1048275"/>
      <c r="U1048275"/>
      <c r="V1048275"/>
      <c r="W1048275"/>
      <c r="X1048275"/>
      <c r="Y1048275"/>
      <c r="Z1048275"/>
      <c r="AA1048275"/>
      <c r="AB1048275"/>
    </row>
    <row r="1048276" spans="1:28">
      <c r="A1048276"/>
      <c r="B1048276"/>
      <c r="C1048276"/>
      <c r="D1048276"/>
      <c r="E1048276"/>
      <c r="F1048276"/>
      <c r="G1048276"/>
      <c r="H1048276"/>
      <c r="I1048276"/>
      <c r="J1048276"/>
      <c r="K1048276"/>
      <c r="L1048276"/>
      <c r="M1048276"/>
      <c r="N1048276"/>
      <c r="O1048276"/>
      <c r="P1048276"/>
      <c r="Q1048276"/>
      <c r="R1048276"/>
      <c r="S1048276"/>
      <c r="T1048276"/>
      <c r="U1048276"/>
      <c r="V1048276"/>
      <c r="W1048276"/>
      <c r="X1048276"/>
      <c r="Y1048276"/>
      <c r="Z1048276"/>
      <c r="AA1048276"/>
      <c r="AB1048276"/>
    </row>
    <row r="1048277" spans="1:28">
      <c r="A1048277"/>
      <c r="B1048277"/>
      <c r="C1048277"/>
      <c r="D1048277"/>
      <c r="E1048277"/>
      <c r="F1048277"/>
      <c r="G1048277"/>
      <c r="H1048277"/>
      <c r="I1048277"/>
      <c r="J1048277"/>
      <c r="K1048277"/>
      <c r="L1048277"/>
      <c r="M1048277"/>
      <c r="N1048277"/>
      <c r="O1048277"/>
      <c r="P1048277"/>
      <c r="Q1048277"/>
      <c r="R1048277"/>
      <c r="S1048277"/>
      <c r="T1048277"/>
      <c r="U1048277"/>
      <c r="V1048277"/>
      <c r="W1048277"/>
      <c r="X1048277"/>
      <c r="Y1048277"/>
      <c r="Z1048277"/>
      <c r="AA1048277"/>
      <c r="AB1048277"/>
    </row>
    <row r="1048278" spans="1:28">
      <c r="A1048278"/>
      <c r="B1048278"/>
      <c r="C1048278"/>
      <c r="D1048278"/>
      <c r="E1048278"/>
      <c r="F1048278"/>
      <c r="G1048278"/>
      <c r="H1048278"/>
      <c r="I1048278"/>
      <c r="J1048278"/>
      <c r="K1048278"/>
      <c r="L1048278"/>
      <c r="M1048278"/>
      <c r="N1048278"/>
      <c r="O1048278"/>
      <c r="P1048278"/>
      <c r="Q1048278"/>
      <c r="R1048278"/>
      <c r="S1048278"/>
      <c r="T1048278"/>
      <c r="U1048278"/>
      <c r="V1048278"/>
      <c r="W1048278"/>
      <c r="X1048278"/>
      <c r="Y1048278"/>
      <c r="Z1048278"/>
      <c r="AA1048278"/>
      <c r="AB1048278"/>
    </row>
    <row r="1048279" spans="1:28">
      <c r="A1048279"/>
      <c r="B1048279"/>
      <c r="C1048279"/>
      <c r="D1048279"/>
      <c r="E1048279"/>
      <c r="F1048279"/>
      <c r="G1048279"/>
      <c r="H1048279"/>
      <c r="I1048279"/>
      <c r="J1048279"/>
      <c r="K1048279"/>
      <c r="L1048279"/>
      <c r="M1048279"/>
      <c r="N1048279"/>
      <c r="O1048279"/>
      <c r="P1048279"/>
      <c r="Q1048279"/>
      <c r="R1048279"/>
      <c r="S1048279"/>
      <c r="T1048279"/>
      <c r="U1048279"/>
      <c r="V1048279"/>
      <c r="W1048279"/>
      <c r="X1048279"/>
      <c r="Y1048279"/>
      <c r="Z1048279"/>
      <c r="AA1048279"/>
      <c r="AB1048279"/>
    </row>
    <row r="1048280" spans="1:28">
      <c r="A1048280"/>
      <c r="B1048280"/>
      <c r="C1048280"/>
      <c r="D1048280"/>
      <c r="E1048280"/>
      <c r="F1048280"/>
      <c r="G1048280"/>
      <c r="H1048280"/>
      <c r="I1048280"/>
      <c r="J1048280"/>
      <c r="K1048280"/>
      <c r="L1048280"/>
      <c r="M1048280"/>
      <c r="N1048280"/>
      <c r="O1048280"/>
      <c r="P1048280"/>
      <c r="Q1048280"/>
      <c r="R1048280"/>
      <c r="S1048280"/>
      <c r="T1048280"/>
      <c r="U1048280"/>
      <c r="V1048280"/>
      <c r="W1048280"/>
      <c r="X1048280"/>
      <c r="Y1048280"/>
      <c r="Z1048280"/>
      <c r="AA1048280"/>
      <c r="AB1048280"/>
    </row>
    <row r="1048281" spans="1:28">
      <c r="A1048281"/>
      <c r="B1048281"/>
      <c r="C1048281"/>
      <c r="D1048281"/>
      <c r="E1048281"/>
      <c r="F1048281"/>
      <c r="G1048281"/>
      <c r="H1048281"/>
      <c r="I1048281"/>
      <c r="J1048281"/>
      <c r="K1048281"/>
      <c r="L1048281"/>
      <c r="M1048281"/>
      <c r="N1048281"/>
      <c r="O1048281"/>
      <c r="P1048281"/>
      <c r="Q1048281"/>
      <c r="R1048281"/>
      <c r="S1048281"/>
      <c r="T1048281"/>
      <c r="U1048281"/>
      <c r="V1048281"/>
      <c r="W1048281"/>
      <c r="X1048281"/>
      <c r="Y1048281"/>
      <c r="Z1048281"/>
      <c r="AA1048281"/>
      <c r="AB1048281"/>
    </row>
    <row r="1048282" spans="1:28">
      <c r="A1048282"/>
      <c r="B1048282"/>
      <c r="C1048282"/>
      <c r="D1048282"/>
      <c r="E1048282"/>
      <c r="F1048282"/>
      <c r="G1048282"/>
      <c r="H1048282"/>
      <c r="I1048282"/>
      <c r="J1048282"/>
      <c r="K1048282"/>
      <c r="L1048282"/>
      <c r="M1048282"/>
      <c r="N1048282"/>
      <c r="O1048282"/>
      <c r="P1048282"/>
      <c r="Q1048282"/>
      <c r="R1048282"/>
      <c r="S1048282"/>
      <c r="T1048282"/>
      <c r="U1048282"/>
      <c r="V1048282"/>
      <c r="W1048282"/>
      <c r="X1048282"/>
      <c r="Y1048282"/>
      <c r="Z1048282"/>
      <c r="AA1048282"/>
      <c r="AB1048282"/>
    </row>
    <row r="1048283" spans="1:28">
      <c r="A1048283"/>
      <c r="B1048283"/>
      <c r="C1048283"/>
      <c r="D1048283"/>
      <c r="E1048283"/>
      <c r="F1048283"/>
      <c r="G1048283"/>
      <c r="H1048283"/>
      <c r="I1048283"/>
      <c r="J1048283"/>
      <c r="K1048283"/>
      <c r="L1048283"/>
      <c r="M1048283"/>
      <c r="N1048283"/>
      <c r="O1048283"/>
      <c r="P1048283"/>
      <c r="Q1048283"/>
      <c r="R1048283"/>
      <c r="S1048283"/>
      <c r="T1048283"/>
      <c r="U1048283"/>
      <c r="V1048283"/>
      <c r="W1048283"/>
      <c r="X1048283"/>
      <c r="Y1048283"/>
      <c r="Z1048283"/>
      <c r="AA1048283"/>
      <c r="AB1048283"/>
    </row>
    <row r="1048284" spans="1:28">
      <c r="A1048284"/>
      <c r="B1048284"/>
      <c r="C1048284"/>
      <c r="D1048284"/>
      <c r="E1048284"/>
      <c r="F1048284"/>
      <c r="G1048284"/>
      <c r="H1048284"/>
      <c r="I1048284"/>
      <c r="J1048284"/>
      <c r="K1048284"/>
      <c r="L1048284"/>
      <c r="M1048284"/>
      <c r="N1048284"/>
      <c r="O1048284"/>
      <c r="P1048284"/>
      <c r="Q1048284"/>
      <c r="R1048284"/>
      <c r="S1048284"/>
      <c r="T1048284"/>
      <c r="U1048284"/>
      <c r="V1048284"/>
      <c r="W1048284"/>
      <c r="X1048284"/>
      <c r="Y1048284"/>
      <c r="Z1048284"/>
      <c r="AA1048284"/>
      <c r="AB1048284"/>
    </row>
    <row r="1048285" spans="1:28">
      <c r="A1048285"/>
      <c r="B1048285"/>
      <c r="C1048285"/>
      <c r="D1048285"/>
      <c r="E1048285"/>
      <c r="F1048285"/>
      <c r="G1048285"/>
      <c r="H1048285"/>
      <c r="I1048285"/>
      <c r="J1048285"/>
      <c r="K1048285"/>
      <c r="L1048285"/>
      <c r="M1048285"/>
      <c r="N1048285"/>
      <c r="O1048285"/>
      <c r="P1048285"/>
      <c r="Q1048285"/>
      <c r="R1048285"/>
      <c r="S1048285"/>
      <c r="T1048285"/>
      <c r="U1048285"/>
      <c r="V1048285"/>
      <c r="W1048285"/>
      <c r="X1048285"/>
      <c r="Y1048285"/>
      <c r="Z1048285"/>
      <c r="AA1048285"/>
      <c r="AB1048285"/>
    </row>
    <row r="1048286" spans="1:28">
      <c r="A1048286"/>
      <c r="B1048286"/>
      <c r="C1048286"/>
      <c r="D1048286"/>
      <c r="E1048286"/>
      <c r="F1048286"/>
      <c r="G1048286"/>
      <c r="H1048286"/>
      <c r="I1048286"/>
      <c r="J1048286"/>
      <c r="K1048286"/>
      <c r="L1048286"/>
      <c r="M1048286"/>
      <c r="N1048286"/>
      <c r="O1048286"/>
      <c r="P1048286"/>
      <c r="Q1048286"/>
      <c r="R1048286"/>
      <c r="S1048286"/>
      <c r="T1048286"/>
      <c r="U1048286"/>
      <c r="V1048286"/>
      <c r="W1048286"/>
      <c r="X1048286"/>
      <c r="Y1048286"/>
      <c r="Z1048286"/>
      <c r="AA1048286"/>
      <c r="AB1048286"/>
    </row>
    <row r="1048287" spans="1:28">
      <c r="A1048287"/>
      <c r="B1048287"/>
      <c r="C1048287"/>
      <c r="D1048287"/>
      <c r="E1048287"/>
      <c r="F1048287"/>
      <c r="G1048287"/>
      <c r="H1048287"/>
      <c r="I1048287"/>
      <c r="J1048287"/>
      <c r="K1048287"/>
      <c r="L1048287"/>
      <c r="M1048287"/>
      <c r="N1048287"/>
      <c r="O1048287"/>
      <c r="P1048287"/>
      <c r="Q1048287"/>
      <c r="R1048287"/>
      <c r="S1048287"/>
      <c r="T1048287"/>
      <c r="U1048287"/>
      <c r="V1048287"/>
      <c r="W1048287"/>
      <c r="X1048287"/>
      <c r="Y1048287"/>
      <c r="Z1048287"/>
      <c r="AA1048287"/>
      <c r="AB1048287"/>
    </row>
    <row r="1048288" spans="1:28">
      <c r="A1048288"/>
      <c r="B1048288"/>
      <c r="C1048288"/>
      <c r="D1048288"/>
      <c r="E1048288"/>
      <c r="F1048288"/>
      <c r="G1048288"/>
      <c r="H1048288"/>
      <c r="I1048288"/>
      <c r="J1048288"/>
      <c r="K1048288"/>
      <c r="L1048288"/>
      <c r="M1048288"/>
      <c r="N1048288"/>
      <c r="O1048288"/>
      <c r="P1048288"/>
      <c r="Q1048288"/>
      <c r="R1048288"/>
      <c r="S1048288"/>
      <c r="T1048288"/>
      <c r="U1048288"/>
      <c r="V1048288"/>
      <c r="W1048288"/>
      <c r="X1048288"/>
      <c r="Y1048288"/>
      <c r="Z1048288"/>
      <c r="AA1048288"/>
      <c r="AB1048288"/>
    </row>
    <row r="1048289" spans="1:28">
      <c r="A1048289"/>
      <c r="B1048289"/>
      <c r="C1048289"/>
      <c r="D1048289"/>
      <c r="E1048289"/>
      <c r="F1048289"/>
      <c r="G1048289"/>
      <c r="H1048289"/>
      <c r="I1048289"/>
      <c r="J1048289"/>
      <c r="K1048289"/>
      <c r="L1048289"/>
      <c r="M1048289"/>
      <c r="N1048289"/>
      <c r="O1048289"/>
      <c r="P1048289"/>
      <c r="Q1048289"/>
      <c r="R1048289"/>
      <c r="S1048289"/>
      <c r="T1048289"/>
      <c r="U1048289"/>
      <c r="V1048289"/>
      <c r="W1048289"/>
      <c r="X1048289"/>
      <c r="Y1048289"/>
      <c r="Z1048289"/>
      <c r="AA1048289"/>
      <c r="AB1048289"/>
    </row>
    <row r="1048290" spans="1:28">
      <c r="A1048290"/>
      <c r="B1048290"/>
      <c r="C1048290"/>
      <c r="D1048290"/>
      <c r="E1048290"/>
      <c r="F1048290"/>
      <c r="G1048290"/>
      <c r="H1048290"/>
      <c r="I1048290"/>
      <c r="J1048290"/>
      <c r="K1048290"/>
      <c r="L1048290"/>
      <c r="M1048290"/>
      <c r="N1048290"/>
      <c r="O1048290"/>
      <c r="P1048290"/>
      <c r="Q1048290"/>
      <c r="R1048290"/>
      <c r="S1048290"/>
      <c r="T1048290"/>
      <c r="U1048290"/>
      <c r="V1048290"/>
      <c r="W1048290"/>
      <c r="X1048290"/>
      <c r="Y1048290"/>
      <c r="Z1048290"/>
      <c r="AA1048290"/>
      <c r="AB1048290"/>
    </row>
    <row r="1048291" spans="1:28">
      <c r="A1048291"/>
      <c r="B1048291"/>
      <c r="C1048291"/>
      <c r="D1048291"/>
      <c r="E1048291"/>
      <c r="F1048291"/>
      <c r="G1048291"/>
      <c r="H1048291"/>
      <c r="I1048291"/>
      <c r="J1048291"/>
      <c r="K1048291"/>
      <c r="L1048291"/>
      <c r="M1048291"/>
      <c r="N1048291"/>
      <c r="O1048291"/>
      <c r="P1048291"/>
      <c r="Q1048291"/>
      <c r="R1048291"/>
      <c r="S1048291"/>
      <c r="T1048291"/>
      <c r="U1048291"/>
      <c r="V1048291"/>
      <c r="W1048291"/>
      <c r="X1048291"/>
      <c r="Y1048291"/>
      <c r="Z1048291"/>
      <c r="AA1048291"/>
      <c r="AB1048291"/>
    </row>
    <row r="1048292" spans="1:28">
      <c r="A1048292"/>
      <c r="B1048292"/>
      <c r="C1048292"/>
      <c r="D1048292"/>
      <c r="E1048292"/>
      <c r="F1048292"/>
      <c r="G1048292"/>
      <c r="H1048292"/>
      <c r="I1048292"/>
      <c r="J1048292"/>
      <c r="K1048292"/>
      <c r="L1048292"/>
      <c r="M1048292"/>
      <c r="N1048292"/>
      <c r="O1048292"/>
      <c r="P1048292"/>
      <c r="Q1048292"/>
      <c r="R1048292"/>
      <c r="S1048292"/>
      <c r="T1048292"/>
      <c r="U1048292"/>
      <c r="V1048292"/>
      <c r="W1048292"/>
      <c r="X1048292"/>
      <c r="Y1048292"/>
      <c r="Z1048292"/>
      <c r="AA1048292"/>
      <c r="AB1048292"/>
    </row>
    <row r="1048293" spans="1:28">
      <c r="A1048293"/>
      <c r="B1048293"/>
      <c r="C1048293"/>
      <c r="D1048293"/>
      <c r="E1048293"/>
      <c r="F1048293"/>
      <c r="G1048293"/>
      <c r="H1048293"/>
      <c r="I1048293"/>
      <c r="J1048293"/>
      <c r="K1048293"/>
      <c r="L1048293"/>
      <c r="M1048293"/>
      <c r="N1048293"/>
      <c r="O1048293"/>
      <c r="P1048293"/>
      <c r="Q1048293"/>
      <c r="R1048293"/>
      <c r="S1048293"/>
      <c r="T1048293"/>
      <c r="U1048293"/>
      <c r="V1048293"/>
      <c r="W1048293"/>
      <c r="X1048293"/>
      <c r="Y1048293"/>
      <c r="Z1048293"/>
      <c r="AA1048293"/>
      <c r="AB1048293"/>
    </row>
    <row r="1048294" spans="1:28">
      <c r="A1048294"/>
      <c r="B1048294"/>
      <c r="C1048294"/>
      <c r="D1048294"/>
      <c r="E1048294"/>
      <c r="F1048294"/>
      <c r="G1048294"/>
      <c r="H1048294"/>
      <c r="I1048294"/>
      <c r="J1048294"/>
      <c r="K1048294"/>
      <c r="L1048294"/>
      <c r="M1048294"/>
      <c r="N1048294"/>
      <c r="O1048294"/>
      <c r="P1048294"/>
      <c r="Q1048294"/>
      <c r="R1048294"/>
      <c r="S1048294"/>
      <c r="T1048294"/>
      <c r="U1048294"/>
      <c r="V1048294"/>
      <c r="W1048294"/>
      <c r="X1048294"/>
      <c r="Y1048294"/>
      <c r="Z1048294"/>
      <c r="AA1048294"/>
      <c r="AB1048294"/>
    </row>
    <row r="1048295" spans="1:28">
      <c r="A1048295"/>
      <c r="B1048295"/>
      <c r="C1048295"/>
      <c r="D1048295"/>
      <c r="E1048295"/>
      <c r="F1048295"/>
      <c r="G1048295"/>
      <c r="H1048295"/>
      <c r="I1048295"/>
      <c r="J1048295"/>
      <c r="K1048295"/>
      <c r="L1048295"/>
      <c r="M1048295"/>
      <c r="N1048295"/>
      <c r="O1048295"/>
      <c r="P1048295"/>
      <c r="Q1048295"/>
      <c r="R1048295"/>
      <c r="S1048295"/>
      <c r="T1048295"/>
      <c r="U1048295"/>
      <c r="V1048295"/>
      <c r="W1048295"/>
      <c r="X1048295"/>
      <c r="Y1048295"/>
      <c r="Z1048295"/>
      <c r="AA1048295"/>
      <c r="AB1048295"/>
    </row>
    <row r="1048296" spans="1:28">
      <c r="A1048296"/>
      <c r="B1048296"/>
      <c r="C1048296"/>
      <c r="D1048296"/>
      <c r="E1048296"/>
      <c r="F1048296"/>
      <c r="G1048296"/>
      <c r="H1048296"/>
      <c r="I1048296"/>
      <c r="J1048296"/>
      <c r="K1048296"/>
      <c r="L1048296"/>
      <c r="M1048296"/>
      <c r="N1048296"/>
      <c r="O1048296"/>
      <c r="P1048296"/>
      <c r="Q1048296"/>
      <c r="R1048296"/>
      <c r="S1048296"/>
      <c r="T1048296"/>
      <c r="U1048296"/>
      <c r="V1048296"/>
      <c r="W1048296"/>
      <c r="X1048296"/>
      <c r="Y1048296"/>
      <c r="Z1048296"/>
      <c r="AA1048296"/>
      <c r="AB1048296"/>
    </row>
    <row r="1048297" spans="1:28">
      <c r="A1048297"/>
      <c r="B1048297"/>
      <c r="C1048297"/>
      <c r="D1048297"/>
      <c r="E1048297"/>
      <c r="F1048297"/>
      <c r="G1048297"/>
      <c r="H1048297"/>
      <c r="I1048297"/>
      <c r="J1048297"/>
      <c r="K1048297"/>
      <c r="L1048297"/>
      <c r="M1048297"/>
      <c r="N1048297"/>
      <c r="O1048297"/>
      <c r="P1048297"/>
      <c r="Q1048297"/>
      <c r="R1048297"/>
      <c r="S1048297"/>
      <c r="T1048297"/>
      <c r="U1048297"/>
      <c r="V1048297"/>
      <c r="W1048297"/>
      <c r="X1048297"/>
      <c r="Y1048297"/>
      <c r="Z1048297"/>
      <c r="AA1048297"/>
      <c r="AB1048297"/>
    </row>
    <row r="1048298" spans="1:28">
      <c r="A1048298"/>
      <c r="B1048298"/>
      <c r="C1048298"/>
      <c r="D1048298"/>
      <c r="E1048298"/>
      <c r="F1048298"/>
      <c r="G1048298"/>
      <c r="H1048298"/>
      <c r="I1048298"/>
      <c r="J1048298"/>
      <c r="K1048298"/>
      <c r="L1048298"/>
      <c r="M1048298"/>
      <c r="N1048298"/>
      <c r="O1048298"/>
      <c r="P1048298"/>
      <c r="Q1048298"/>
      <c r="R1048298"/>
      <c r="S1048298"/>
      <c r="T1048298"/>
      <c r="U1048298"/>
      <c r="V1048298"/>
      <c r="W1048298"/>
      <c r="X1048298"/>
      <c r="Y1048298"/>
      <c r="Z1048298"/>
      <c r="AA1048298"/>
      <c r="AB1048298"/>
    </row>
    <row r="1048299" spans="1:28">
      <c r="A1048299"/>
      <c r="B1048299"/>
      <c r="C1048299"/>
      <c r="D1048299"/>
      <c r="E1048299"/>
      <c r="F1048299"/>
      <c r="G1048299"/>
      <c r="H1048299"/>
      <c r="I1048299"/>
      <c r="J1048299"/>
      <c r="K1048299"/>
      <c r="L1048299"/>
      <c r="M1048299"/>
      <c r="N1048299"/>
      <c r="O1048299"/>
      <c r="P1048299"/>
      <c r="Q1048299"/>
      <c r="R1048299"/>
      <c r="S1048299"/>
      <c r="T1048299"/>
      <c r="U1048299"/>
      <c r="V1048299"/>
      <c r="W1048299"/>
      <c r="X1048299"/>
      <c r="Y1048299"/>
      <c r="Z1048299"/>
      <c r="AA1048299"/>
      <c r="AB1048299"/>
    </row>
    <row r="1048300" spans="1:28">
      <c r="A1048300"/>
      <c r="B1048300"/>
      <c r="C1048300"/>
      <c r="D1048300"/>
      <c r="E1048300"/>
      <c r="F1048300"/>
      <c r="G1048300"/>
      <c r="H1048300"/>
      <c r="I1048300"/>
      <c r="J1048300"/>
      <c r="K1048300"/>
      <c r="L1048300"/>
      <c r="M1048300"/>
      <c r="N1048300"/>
      <c r="O1048300"/>
      <c r="P1048300"/>
      <c r="Q1048300"/>
      <c r="R1048300"/>
      <c r="S1048300"/>
      <c r="T1048300"/>
      <c r="U1048300"/>
      <c r="V1048300"/>
      <c r="W1048300"/>
      <c r="X1048300"/>
      <c r="Y1048300"/>
      <c r="Z1048300"/>
      <c r="AA1048300"/>
      <c r="AB1048300"/>
    </row>
    <row r="1048301" spans="1:28">
      <c r="A1048301"/>
      <c r="B1048301"/>
      <c r="C1048301"/>
      <c r="D1048301"/>
      <c r="E1048301"/>
      <c r="F1048301"/>
      <c r="G1048301"/>
      <c r="H1048301"/>
      <c r="I1048301"/>
      <c r="J1048301"/>
      <c r="K1048301"/>
      <c r="L1048301"/>
      <c r="M1048301"/>
      <c r="N1048301"/>
      <c r="O1048301"/>
      <c r="P1048301"/>
      <c r="Q1048301"/>
      <c r="R1048301"/>
      <c r="S1048301"/>
      <c r="T1048301"/>
      <c r="U1048301"/>
      <c r="V1048301"/>
      <c r="W1048301"/>
      <c r="X1048301"/>
      <c r="Y1048301"/>
      <c r="Z1048301"/>
      <c r="AA1048301"/>
      <c r="AB1048301"/>
    </row>
    <row r="1048302" spans="1:28">
      <c r="A1048302"/>
      <c r="B1048302"/>
      <c r="C1048302"/>
      <c r="D1048302"/>
      <c r="E1048302"/>
      <c r="F1048302"/>
      <c r="G1048302"/>
      <c r="H1048302"/>
      <c r="I1048302"/>
      <c r="J1048302"/>
      <c r="K1048302"/>
      <c r="L1048302"/>
      <c r="M1048302"/>
      <c r="N1048302"/>
      <c r="O1048302"/>
      <c r="P1048302"/>
      <c r="Q1048302"/>
      <c r="R1048302"/>
      <c r="S1048302"/>
      <c r="T1048302"/>
      <c r="U1048302"/>
      <c r="V1048302"/>
      <c r="W1048302"/>
      <c r="X1048302"/>
      <c r="Y1048302"/>
      <c r="Z1048302"/>
      <c r="AA1048302"/>
      <c r="AB1048302"/>
    </row>
    <row r="1048303" spans="1:28">
      <c r="A1048303"/>
      <c r="B1048303"/>
      <c r="C1048303"/>
      <c r="D1048303"/>
      <c r="E1048303"/>
      <c r="F1048303"/>
      <c r="G1048303"/>
      <c r="H1048303"/>
      <c r="I1048303"/>
      <c r="J1048303"/>
      <c r="K1048303"/>
      <c r="L1048303"/>
      <c r="M1048303"/>
      <c r="N1048303"/>
      <c r="O1048303"/>
      <c r="P1048303"/>
      <c r="Q1048303"/>
      <c r="R1048303"/>
      <c r="S1048303"/>
      <c r="T1048303"/>
      <c r="U1048303"/>
      <c r="V1048303"/>
      <c r="W1048303"/>
      <c r="X1048303"/>
      <c r="Y1048303"/>
      <c r="Z1048303"/>
      <c r="AA1048303"/>
      <c r="AB1048303"/>
    </row>
    <row r="1048304" spans="1:28">
      <c r="A1048304"/>
      <c r="B1048304"/>
      <c r="C1048304"/>
      <c r="D1048304"/>
      <c r="E1048304"/>
      <c r="F1048304"/>
      <c r="G1048304"/>
      <c r="H1048304"/>
      <c r="I1048304"/>
      <c r="J1048304"/>
      <c r="K1048304"/>
      <c r="L1048304"/>
      <c r="M1048304"/>
      <c r="N1048304"/>
      <c r="O1048304"/>
      <c r="P1048304"/>
      <c r="Q1048304"/>
      <c r="R1048304"/>
      <c r="S1048304"/>
      <c r="T1048304"/>
      <c r="U1048304"/>
      <c r="V1048304"/>
      <c r="W1048304"/>
      <c r="X1048304"/>
      <c r="Y1048304"/>
      <c r="Z1048304"/>
      <c r="AA1048304"/>
      <c r="AB1048304"/>
    </row>
    <row r="1048305" spans="1:28">
      <c r="A1048305"/>
      <c r="B1048305"/>
      <c r="C1048305"/>
      <c r="D1048305"/>
      <c r="E1048305"/>
      <c r="F1048305"/>
      <c r="G1048305"/>
      <c r="H1048305"/>
      <c r="I1048305"/>
      <c r="J1048305"/>
      <c r="K1048305"/>
      <c r="L1048305"/>
      <c r="M1048305"/>
      <c r="N1048305"/>
      <c r="O1048305"/>
      <c r="P1048305"/>
      <c r="Q1048305"/>
      <c r="R1048305"/>
      <c r="S1048305"/>
      <c r="T1048305"/>
      <c r="U1048305"/>
      <c r="V1048305"/>
      <c r="W1048305"/>
      <c r="X1048305"/>
      <c r="Y1048305"/>
      <c r="Z1048305"/>
      <c r="AA1048305"/>
      <c r="AB1048305"/>
    </row>
    <row r="1048306" spans="1:28">
      <c r="A1048306"/>
      <c r="B1048306"/>
      <c r="C1048306"/>
      <c r="D1048306"/>
      <c r="E1048306"/>
      <c r="F1048306"/>
      <c r="G1048306"/>
      <c r="H1048306"/>
      <c r="I1048306"/>
      <c r="J1048306"/>
      <c r="K1048306"/>
      <c r="L1048306"/>
      <c r="M1048306"/>
      <c r="N1048306"/>
      <c r="O1048306"/>
      <c r="P1048306"/>
      <c r="Q1048306"/>
      <c r="R1048306"/>
      <c r="S1048306"/>
      <c r="T1048306"/>
      <c r="U1048306"/>
      <c r="V1048306"/>
      <c r="W1048306"/>
      <c r="X1048306"/>
      <c r="Y1048306"/>
      <c r="Z1048306"/>
      <c r="AA1048306"/>
      <c r="AB1048306"/>
    </row>
    <row r="1048307" spans="1:28">
      <c r="A1048307"/>
      <c r="B1048307"/>
      <c r="C1048307"/>
      <c r="D1048307"/>
      <c r="E1048307"/>
      <c r="F1048307"/>
      <c r="G1048307"/>
      <c r="H1048307"/>
      <c r="I1048307"/>
      <c r="J1048307"/>
      <c r="K1048307"/>
      <c r="L1048307"/>
      <c r="M1048307"/>
      <c r="N1048307"/>
      <c r="O1048307"/>
      <c r="P1048307"/>
      <c r="Q1048307"/>
      <c r="R1048307"/>
      <c r="S1048307"/>
      <c r="T1048307"/>
      <c r="U1048307"/>
      <c r="V1048307"/>
      <c r="W1048307"/>
      <c r="X1048307"/>
      <c r="Y1048307"/>
      <c r="Z1048307"/>
      <c r="AA1048307"/>
      <c r="AB1048307"/>
    </row>
    <row r="1048308" spans="1:28">
      <c r="A1048308"/>
      <c r="B1048308"/>
      <c r="C1048308"/>
      <c r="D1048308"/>
      <c r="E1048308"/>
      <c r="F1048308"/>
      <c r="G1048308"/>
      <c r="H1048308"/>
      <c r="I1048308"/>
      <c r="J1048308"/>
      <c r="K1048308"/>
      <c r="L1048308"/>
      <c r="M1048308"/>
      <c r="N1048308"/>
      <c r="O1048308"/>
      <c r="P1048308"/>
      <c r="Q1048308"/>
      <c r="R1048308"/>
      <c r="S1048308"/>
      <c r="T1048308"/>
      <c r="U1048308"/>
      <c r="V1048308"/>
      <c r="W1048308"/>
      <c r="X1048308"/>
      <c r="Y1048308"/>
      <c r="Z1048308"/>
      <c r="AA1048308"/>
      <c r="AB1048308"/>
    </row>
    <row r="1048309" spans="1:28">
      <c r="A1048309"/>
      <c r="B1048309"/>
      <c r="C1048309"/>
      <c r="D1048309"/>
      <c r="E1048309"/>
      <c r="F1048309"/>
      <c r="G1048309"/>
      <c r="H1048309"/>
      <c r="I1048309"/>
      <c r="J1048309"/>
      <c r="K1048309"/>
      <c r="L1048309"/>
      <c r="M1048309"/>
      <c r="N1048309"/>
      <c r="O1048309"/>
      <c r="P1048309"/>
      <c r="Q1048309"/>
      <c r="R1048309"/>
      <c r="S1048309"/>
      <c r="T1048309"/>
      <c r="U1048309"/>
      <c r="V1048309"/>
      <c r="W1048309"/>
      <c r="X1048309"/>
      <c r="Y1048309"/>
      <c r="Z1048309"/>
      <c r="AA1048309"/>
      <c r="AB1048309"/>
    </row>
    <row r="1048310" spans="1:28">
      <c r="A1048310"/>
      <c r="B1048310"/>
      <c r="C1048310"/>
      <c r="D1048310"/>
      <c r="E1048310"/>
      <c r="F1048310"/>
      <c r="G1048310"/>
      <c r="H1048310"/>
      <c r="I1048310"/>
      <c r="J1048310"/>
      <c r="K1048310"/>
      <c r="L1048310"/>
      <c r="M1048310"/>
      <c r="N1048310"/>
      <c r="O1048310"/>
      <c r="P1048310"/>
      <c r="Q1048310"/>
      <c r="R1048310"/>
      <c r="S1048310"/>
      <c r="T1048310"/>
      <c r="U1048310"/>
      <c r="V1048310"/>
      <c r="W1048310"/>
      <c r="X1048310"/>
      <c r="Y1048310"/>
      <c r="Z1048310"/>
      <c r="AA1048310"/>
      <c r="AB1048310"/>
    </row>
    <row r="1048311" spans="1:28">
      <c r="A1048311"/>
      <c r="B1048311"/>
      <c r="C1048311"/>
      <c r="D1048311"/>
      <c r="E1048311"/>
      <c r="F1048311"/>
      <c r="G1048311"/>
      <c r="H1048311"/>
      <c r="I1048311"/>
      <c r="J1048311"/>
      <c r="K1048311"/>
      <c r="L1048311"/>
      <c r="M1048311"/>
      <c r="N1048311"/>
      <c r="O1048311"/>
      <c r="P1048311"/>
      <c r="Q1048311"/>
      <c r="R1048311"/>
      <c r="S1048311"/>
      <c r="T1048311"/>
      <c r="U1048311"/>
      <c r="V1048311"/>
      <c r="W1048311"/>
      <c r="X1048311"/>
      <c r="Y1048311"/>
      <c r="Z1048311"/>
      <c r="AA1048311"/>
      <c r="AB1048311"/>
    </row>
    <row r="1048312" spans="1:28">
      <c r="A1048312"/>
      <c r="B1048312"/>
      <c r="C1048312"/>
      <c r="D1048312"/>
      <c r="E1048312"/>
      <c r="F1048312"/>
      <c r="G1048312"/>
      <c r="H1048312"/>
      <c r="I1048312"/>
      <c r="J1048312"/>
      <c r="K1048312"/>
      <c r="L1048312"/>
      <c r="M1048312"/>
      <c r="N1048312"/>
      <c r="O1048312"/>
      <c r="P1048312"/>
      <c r="Q1048312"/>
      <c r="R1048312"/>
      <c r="S1048312"/>
      <c r="T1048312"/>
      <c r="U1048312"/>
      <c r="V1048312"/>
      <c r="W1048312"/>
      <c r="X1048312"/>
      <c r="Y1048312"/>
      <c r="Z1048312"/>
      <c r="AA1048312"/>
      <c r="AB1048312"/>
    </row>
    <row r="1048313" spans="1:28">
      <c r="A1048313"/>
      <c r="B1048313"/>
      <c r="C1048313"/>
      <c r="D1048313"/>
      <c r="E1048313"/>
      <c r="F1048313"/>
      <c r="G1048313"/>
      <c r="H1048313"/>
      <c r="I1048313"/>
      <c r="J1048313"/>
      <c r="K1048313"/>
      <c r="L1048313"/>
      <c r="M1048313"/>
      <c r="N1048313"/>
      <c r="O1048313"/>
      <c r="P1048313"/>
      <c r="Q1048313"/>
      <c r="R1048313"/>
      <c r="S1048313"/>
      <c r="T1048313"/>
      <c r="U1048313"/>
      <c r="V1048313"/>
      <c r="W1048313"/>
      <c r="X1048313"/>
      <c r="Y1048313"/>
      <c r="Z1048313"/>
      <c r="AA1048313"/>
      <c r="AB1048313"/>
    </row>
    <row r="1048314" spans="1:28">
      <c r="A1048314"/>
      <c r="B1048314"/>
      <c r="C1048314"/>
      <c r="D1048314"/>
      <c r="E1048314"/>
      <c r="F1048314"/>
      <c r="G1048314"/>
      <c r="H1048314"/>
      <c r="I1048314"/>
      <c r="J1048314"/>
      <c r="K1048314"/>
      <c r="L1048314"/>
      <c r="M1048314"/>
      <c r="N1048314"/>
      <c r="O1048314"/>
      <c r="P1048314"/>
      <c r="Q1048314"/>
      <c r="R1048314"/>
      <c r="S1048314"/>
      <c r="T1048314"/>
      <c r="U1048314"/>
      <c r="V1048314"/>
      <c r="W1048314"/>
      <c r="X1048314"/>
      <c r="Y1048314"/>
      <c r="Z1048314"/>
      <c r="AA1048314"/>
      <c r="AB1048314"/>
    </row>
    <row r="1048315" spans="1:28">
      <c r="A1048315"/>
      <c r="B1048315"/>
      <c r="C1048315"/>
      <c r="D1048315"/>
      <c r="E1048315"/>
      <c r="F1048315"/>
      <c r="G1048315"/>
      <c r="H1048315"/>
      <c r="I1048315"/>
      <c r="J1048315"/>
      <c r="K1048315"/>
      <c r="L1048315"/>
      <c r="M1048315"/>
      <c r="N1048315"/>
      <c r="O1048315"/>
      <c r="P1048315"/>
      <c r="Q1048315"/>
      <c r="R1048315"/>
      <c r="S1048315"/>
      <c r="T1048315"/>
      <c r="U1048315"/>
      <c r="V1048315"/>
      <c r="W1048315"/>
      <c r="X1048315"/>
      <c r="Y1048315"/>
      <c r="Z1048315"/>
      <c r="AA1048315"/>
      <c r="AB1048315"/>
    </row>
    <row r="1048316" spans="1:28">
      <c r="A1048316"/>
      <c r="B1048316"/>
      <c r="C1048316"/>
      <c r="D1048316"/>
      <c r="E1048316"/>
      <c r="F1048316"/>
      <c r="G1048316"/>
      <c r="H1048316"/>
      <c r="I1048316"/>
      <c r="J1048316"/>
      <c r="K1048316"/>
      <c r="L1048316"/>
      <c r="M1048316"/>
      <c r="N1048316"/>
      <c r="O1048316"/>
      <c r="P1048316"/>
      <c r="Q1048316"/>
      <c r="R1048316"/>
      <c r="S1048316"/>
      <c r="T1048316"/>
      <c r="U1048316"/>
      <c r="V1048316"/>
      <c r="W1048316"/>
      <c r="X1048316"/>
      <c r="Y1048316"/>
      <c r="Z1048316"/>
      <c r="AA1048316"/>
      <c r="AB1048316"/>
    </row>
    <row r="1048317" spans="1:28">
      <c r="A1048317"/>
      <c r="B1048317"/>
      <c r="C1048317"/>
      <c r="D1048317"/>
      <c r="E1048317"/>
      <c r="F1048317"/>
      <c r="G1048317"/>
      <c r="H1048317"/>
      <c r="I1048317"/>
      <c r="J1048317"/>
      <c r="K1048317"/>
      <c r="L1048317"/>
      <c r="M1048317"/>
      <c r="N1048317"/>
      <c r="O1048317"/>
      <c r="P1048317"/>
      <c r="Q1048317"/>
      <c r="R1048317"/>
      <c r="S1048317"/>
      <c r="T1048317"/>
      <c r="U1048317"/>
      <c r="V1048317"/>
      <c r="W1048317"/>
      <c r="X1048317"/>
      <c r="Y1048317"/>
      <c r="Z1048317"/>
      <c r="AA1048317"/>
      <c r="AB1048317"/>
    </row>
    <row r="1048318" spans="1:28">
      <c r="A1048318"/>
      <c r="B1048318"/>
      <c r="C1048318"/>
      <c r="D1048318"/>
      <c r="E1048318"/>
      <c r="F1048318"/>
      <c r="G1048318"/>
      <c r="H1048318"/>
      <c r="I1048318"/>
      <c r="J1048318"/>
      <c r="K1048318"/>
      <c r="L1048318"/>
      <c r="M1048318"/>
      <c r="N1048318"/>
      <c r="O1048318"/>
      <c r="P1048318"/>
      <c r="Q1048318"/>
      <c r="R1048318"/>
      <c r="S1048318"/>
      <c r="T1048318"/>
      <c r="U1048318"/>
      <c r="V1048318"/>
      <c r="W1048318"/>
      <c r="X1048318"/>
      <c r="Y1048318"/>
      <c r="Z1048318"/>
      <c r="AA1048318"/>
      <c r="AB1048318"/>
    </row>
    <row r="1048319" spans="1:28">
      <c r="A1048319"/>
      <c r="B1048319"/>
      <c r="C1048319"/>
      <c r="D1048319"/>
      <c r="E1048319"/>
      <c r="F1048319"/>
      <c r="G1048319"/>
      <c r="H1048319"/>
      <c r="I1048319"/>
      <c r="J1048319"/>
      <c r="K1048319"/>
      <c r="L1048319"/>
      <c r="M1048319"/>
      <c r="N1048319"/>
      <c r="O1048319"/>
      <c r="P1048319"/>
      <c r="Q1048319"/>
      <c r="R1048319"/>
      <c r="S1048319"/>
      <c r="T1048319"/>
      <c r="U1048319"/>
      <c r="V1048319"/>
      <c r="W1048319"/>
      <c r="X1048319"/>
      <c r="Y1048319"/>
      <c r="Z1048319"/>
      <c r="AA1048319"/>
      <c r="AB1048319"/>
    </row>
    <row r="1048320" spans="1:28">
      <c r="A1048320"/>
      <c r="B1048320"/>
      <c r="C1048320"/>
      <c r="D1048320"/>
      <c r="E1048320"/>
      <c r="F1048320"/>
      <c r="G1048320"/>
      <c r="H1048320"/>
      <c r="I1048320"/>
      <c r="J1048320"/>
      <c r="K1048320"/>
      <c r="L1048320"/>
      <c r="M1048320"/>
      <c r="N1048320"/>
      <c r="O1048320"/>
      <c r="P1048320"/>
      <c r="Q1048320"/>
      <c r="R1048320"/>
      <c r="S1048320"/>
      <c r="T1048320"/>
      <c r="U1048320"/>
      <c r="V1048320"/>
      <c r="W1048320"/>
      <c r="X1048320"/>
      <c r="Y1048320"/>
      <c r="Z1048320"/>
      <c r="AA1048320"/>
      <c r="AB1048320"/>
    </row>
    <row r="1048321" spans="1:28">
      <c r="A1048321"/>
      <c r="B1048321"/>
      <c r="C1048321"/>
      <c r="D1048321"/>
      <c r="E1048321"/>
      <c r="F1048321"/>
      <c r="G1048321"/>
      <c r="H1048321"/>
      <c r="I1048321"/>
      <c r="J1048321"/>
      <c r="K1048321"/>
      <c r="L1048321"/>
      <c r="M1048321"/>
      <c r="N1048321"/>
      <c r="O1048321"/>
      <c r="P1048321"/>
      <c r="Q1048321"/>
      <c r="R1048321"/>
      <c r="S1048321"/>
      <c r="T1048321"/>
      <c r="U1048321"/>
      <c r="V1048321"/>
      <c r="W1048321"/>
      <c r="X1048321"/>
      <c r="Y1048321"/>
      <c r="Z1048321"/>
      <c r="AA1048321"/>
      <c r="AB1048321"/>
    </row>
    <row r="1048322" spans="1:28">
      <c r="A1048322"/>
      <c r="B1048322"/>
      <c r="C1048322"/>
      <c r="D1048322"/>
      <c r="E1048322"/>
      <c r="F1048322"/>
      <c r="G1048322"/>
      <c r="H1048322"/>
      <c r="I1048322"/>
      <c r="J1048322"/>
      <c r="K1048322"/>
      <c r="L1048322"/>
      <c r="M1048322"/>
      <c r="N1048322"/>
      <c r="O1048322"/>
      <c r="P1048322"/>
      <c r="Q1048322"/>
      <c r="R1048322"/>
      <c r="S1048322"/>
      <c r="T1048322"/>
      <c r="U1048322"/>
      <c r="V1048322"/>
      <c r="W1048322"/>
      <c r="X1048322"/>
      <c r="Y1048322"/>
      <c r="Z1048322"/>
      <c r="AA1048322"/>
      <c r="AB1048322"/>
    </row>
    <row r="1048323" spans="1:28">
      <c r="A1048323"/>
      <c r="B1048323"/>
      <c r="C1048323"/>
      <c r="D1048323"/>
      <c r="E1048323"/>
      <c r="F1048323"/>
      <c r="G1048323"/>
      <c r="H1048323"/>
      <c r="I1048323"/>
      <c r="J1048323"/>
      <c r="K1048323"/>
      <c r="L1048323"/>
      <c r="M1048323"/>
      <c r="N1048323"/>
      <c r="O1048323"/>
      <c r="P1048323"/>
      <c r="Q1048323"/>
      <c r="R1048323"/>
      <c r="S1048323"/>
      <c r="T1048323"/>
      <c r="U1048323"/>
      <c r="V1048323"/>
      <c r="W1048323"/>
      <c r="X1048323"/>
      <c r="Y1048323"/>
      <c r="Z1048323"/>
      <c r="AA1048323"/>
      <c r="AB1048323"/>
    </row>
    <row r="1048324" spans="1:28">
      <c r="A1048324"/>
      <c r="B1048324"/>
      <c r="C1048324"/>
      <c r="D1048324"/>
      <c r="E1048324"/>
      <c r="F1048324"/>
      <c r="G1048324"/>
      <c r="H1048324"/>
      <c r="I1048324"/>
      <c r="J1048324"/>
      <c r="K1048324"/>
      <c r="L1048324"/>
      <c r="M1048324"/>
      <c r="N1048324"/>
      <c r="O1048324"/>
      <c r="P1048324"/>
      <c r="Q1048324"/>
      <c r="R1048324"/>
      <c r="S1048324"/>
      <c r="T1048324"/>
      <c r="U1048324"/>
      <c r="V1048324"/>
      <c r="W1048324"/>
      <c r="X1048324"/>
      <c r="Y1048324"/>
      <c r="Z1048324"/>
      <c r="AA1048324"/>
      <c r="AB1048324"/>
    </row>
    <row r="1048325" spans="1:28">
      <c r="A1048325"/>
      <c r="B1048325"/>
      <c r="C1048325"/>
      <c r="D1048325"/>
      <c r="E1048325"/>
      <c r="F1048325"/>
      <c r="G1048325"/>
      <c r="H1048325"/>
      <c r="I1048325"/>
      <c r="J1048325"/>
      <c r="K1048325"/>
      <c r="L1048325"/>
      <c r="M1048325"/>
      <c r="N1048325"/>
      <c r="O1048325"/>
      <c r="P1048325"/>
      <c r="Q1048325"/>
      <c r="R1048325"/>
      <c r="S1048325"/>
      <c r="T1048325"/>
      <c r="U1048325"/>
      <c r="V1048325"/>
      <c r="W1048325"/>
      <c r="X1048325"/>
      <c r="Y1048325"/>
      <c r="Z1048325"/>
      <c r="AA1048325"/>
      <c r="AB1048325"/>
    </row>
    <row r="1048326" spans="1:28">
      <c r="A1048326"/>
      <c r="B1048326"/>
      <c r="C1048326"/>
      <c r="D1048326"/>
      <c r="E1048326"/>
      <c r="F1048326"/>
      <c r="G1048326"/>
      <c r="H1048326"/>
      <c r="I1048326"/>
      <c r="J1048326"/>
      <c r="K1048326"/>
      <c r="L1048326"/>
      <c r="M1048326"/>
      <c r="N1048326"/>
      <c r="O1048326"/>
      <c r="P1048326"/>
      <c r="Q1048326"/>
      <c r="R1048326"/>
      <c r="S1048326"/>
      <c r="T1048326"/>
      <c r="U1048326"/>
      <c r="V1048326"/>
      <c r="W1048326"/>
      <c r="X1048326"/>
      <c r="Y1048326"/>
      <c r="Z1048326"/>
      <c r="AA1048326"/>
      <c r="AB1048326"/>
    </row>
    <row r="1048327" spans="1:28">
      <c r="A1048327"/>
      <c r="B1048327"/>
      <c r="C1048327"/>
      <c r="D1048327"/>
      <c r="E1048327"/>
      <c r="F1048327"/>
      <c r="G1048327"/>
      <c r="H1048327"/>
      <c r="I1048327"/>
      <c r="J1048327"/>
      <c r="K1048327"/>
      <c r="L1048327"/>
      <c r="M1048327"/>
      <c r="N1048327"/>
      <c r="O1048327"/>
      <c r="P1048327"/>
      <c r="Q1048327"/>
      <c r="R1048327"/>
      <c r="S1048327"/>
      <c r="T1048327"/>
      <c r="U1048327"/>
      <c r="V1048327"/>
      <c r="W1048327"/>
      <c r="X1048327"/>
      <c r="Y1048327"/>
      <c r="Z1048327"/>
      <c r="AA1048327"/>
      <c r="AB1048327"/>
    </row>
    <row r="1048328" spans="1:28">
      <c r="A1048328"/>
      <c r="B1048328"/>
      <c r="C1048328"/>
      <c r="D1048328"/>
      <c r="E1048328"/>
      <c r="F1048328"/>
      <c r="G1048328"/>
      <c r="H1048328"/>
      <c r="I1048328"/>
      <c r="J1048328"/>
      <c r="K1048328"/>
      <c r="L1048328"/>
      <c r="M1048328"/>
      <c r="N1048328"/>
      <c r="O1048328"/>
      <c r="P1048328"/>
      <c r="Q1048328"/>
      <c r="R1048328"/>
      <c r="S1048328"/>
      <c r="T1048328"/>
      <c r="U1048328"/>
      <c r="V1048328"/>
      <c r="W1048328"/>
      <c r="X1048328"/>
      <c r="Y1048328"/>
      <c r="Z1048328"/>
      <c r="AA1048328"/>
      <c r="AB1048328"/>
    </row>
    <row r="1048329" spans="1:28">
      <c r="A1048329"/>
      <c r="B1048329"/>
      <c r="C1048329"/>
      <c r="D1048329"/>
      <c r="E1048329"/>
      <c r="F1048329"/>
      <c r="G1048329"/>
      <c r="H1048329"/>
      <c r="I1048329"/>
      <c r="J1048329"/>
      <c r="K1048329"/>
      <c r="L1048329"/>
      <c r="M1048329"/>
      <c r="N1048329"/>
      <c r="O1048329"/>
      <c r="P1048329"/>
      <c r="Q1048329"/>
      <c r="R1048329"/>
      <c r="S1048329"/>
      <c r="T1048329"/>
      <c r="U1048329"/>
      <c r="V1048329"/>
      <c r="W1048329"/>
      <c r="X1048329"/>
      <c r="Y1048329"/>
      <c r="Z1048329"/>
      <c r="AA1048329"/>
      <c r="AB1048329"/>
    </row>
    <row r="1048330" spans="1:28">
      <c r="A1048330"/>
      <c r="B1048330"/>
      <c r="C1048330"/>
      <c r="D1048330"/>
      <c r="E1048330"/>
      <c r="F1048330"/>
      <c r="G1048330"/>
      <c r="H1048330"/>
      <c r="I1048330"/>
      <c r="J1048330"/>
      <c r="K1048330"/>
      <c r="L1048330"/>
      <c r="M1048330"/>
      <c r="N1048330"/>
      <c r="O1048330"/>
      <c r="P1048330"/>
      <c r="Q1048330"/>
      <c r="R1048330"/>
      <c r="S1048330"/>
      <c r="T1048330"/>
      <c r="U1048330"/>
      <c r="V1048330"/>
      <c r="W1048330"/>
      <c r="X1048330"/>
      <c r="Y1048330"/>
      <c r="Z1048330"/>
      <c r="AA1048330"/>
      <c r="AB1048330"/>
    </row>
    <row r="1048331" spans="1:28">
      <c r="A1048331"/>
      <c r="B1048331"/>
      <c r="C1048331"/>
      <c r="D1048331"/>
      <c r="E1048331"/>
      <c r="F1048331"/>
      <c r="G1048331"/>
      <c r="H1048331"/>
      <c r="I1048331"/>
      <c r="J1048331"/>
      <c r="K1048331"/>
      <c r="L1048331"/>
      <c r="M1048331"/>
      <c r="N1048331"/>
      <c r="O1048331"/>
      <c r="P1048331"/>
      <c r="Q1048331"/>
      <c r="R1048331"/>
      <c r="S1048331"/>
      <c r="T1048331"/>
      <c r="U1048331"/>
      <c r="V1048331"/>
      <c r="W1048331"/>
      <c r="X1048331"/>
      <c r="Y1048331"/>
      <c r="Z1048331"/>
      <c r="AA1048331"/>
      <c r="AB1048331"/>
    </row>
    <row r="1048332" spans="1:28">
      <c r="A1048332"/>
      <c r="B1048332"/>
      <c r="C1048332"/>
      <c r="D1048332"/>
      <c r="E1048332"/>
      <c r="F1048332"/>
      <c r="G1048332"/>
      <c r="H1048332"/>
      <c r="I1048332"/>
      <c r="J1048332"/>
      <c r="K1048332"/>
      <c r="L1048332"/>
      <c r="M1048332"/>
      <c r="N1048332"/>
      <c r="O1048332"/>
      <c r="P1048332"/>
      <c r="Q1048332"/>
      <c r="R1048332"/>
      <c r="S1048332"/>
      <c r="T1048332"/>
      <c r="U1048332"/>
      <c r="V1048332"/>
      <c r="W1048332"/>
      <c r="X1048332"/>
      <c r="Y1048332"/>
      <c r="Z1048332"/>
      <c r="AA1048332"/>
      <c r="AB1048332"/>
    </row>
    <row r="1048333" spans="1:28">
      <c r="A1048333"/>
      <c r="B1048333"/>
      <c r="C1048333"/>
      <c r="D1048333"/>
      <c r="E1048333"/>
      <c r="F1048333"/>
      <c r="G1048333"/>
      <c r="H1048333"/>
      <c r="I1048333"/>
      <c r="J1048333"/>
      <c r="K1048333"/>
      <c r="L1048333"/>
      <c r="M1048333"/>
      <c r="N1048333"/>
      <c r="O1048333"/>
      <c r="P1048333"/>
      <c r="Q1048333"/>
      <c r="R1048333"/>
      <c r="S1048333"/>
      <c r="T1048333"/>
      <c r="U1048333"/>
      <c r="V1048333"/>
      <c r="W1048333"/>
      <c r="X1048333"/>
      <c r="Y1048333"/>
      <c r="Z1048333"/>
      <c r="AA1048333"/>
      <c r="AB1048333"/>
    </row>
    <row r="1048334" spans="1:28">
      <c r="A1048334"/>
      <c r="B1048334"/>
      <c r="C1048334"/>
      <c r="D1048334"/>
      <c r="E1048334"/>
      <c r="F1048334"/>
      <c r="G1048334"/>
      <c r="H1048334"/>
      <c r="I1048334"/>
      <c r="J1048334"/>
      <c r="K1048334"/>
      <c r="L1048334"/>
      <c r="M1048334"/>
      <c r="N1048334"/>
      <c r="O1048334"/>
      <c r="P1048334"/>
      <c r="Q1048334"/>
      <c r="R1048334"/>
      <c r="S1048334"/>
      <c r="T1048334"/>
      <c r="U1048334"/>
      <c r="V1048334"/>
      <c r="W1048334"/>
      <c r="X1048334"/>
      <c r="Y1048334"/>
      <c r="Z1048334"/>
      <c r="AA1048334"/>
      <c r="AB1048334"/>
    </row>
    <row r="1048335" spans="1:28">
      <c r="A1048335"/>
      <c r="B1048335"/>
      <c r="C1048335"/>
      <c r="D1048335"/>
      <c r="E1048335"/>
      <c r="F1048335"/>
      <c r="G1048335"/>
      <c r="H1048335"/>
      <c r="I1048335"/>
      <c r="J1048335"/>
      <c r="K1048335"/>
      <c r="L1048335"/>
      <c r="M1048335"/>
      <c r="N1048335"/>
      <c r="O1048335"/>
      <c r="P1048335"/>
      <c r="Q1048335"/>
      <c r="R1048335"/>
      <c r="S1048335"/>
      <c r="T1048335"/>
      <c r="U1048335"/>
      <c r="V1048335"/>
      <c r="W1048335"/>
      <c r="X1048335"/>
      <c r="Y1048335"/>
      <c r="Z1048335"/>
      <c r="AA1048335"/>
      <c r="AB1048335"/>
    </row>
    <row r="1048336" spans="1:28">
      <c r="A1048336"/>
      <c r="B1048336"/>
      <c r="C1048336"/>
      <c r="D1048336"/>
      <c r="E1048336"/>
      <c r="F1048336"/>
      <c r="G1048336"/>
      <c r="H1048336"/>
      <c r="I1048336"/>
      <c r="J1048336"/>
      <c r="K1048336"/>
      <c r="L1048336"/>
      <c r="M1048336"/>
      <c r="N1048336"/>
      <c r="O1048336"/>
      <c r="P1048336"/>
      <c r="Q1048336"/>
      <c r="R1048336"/>
      <c r="S1048336"/>
      <c r="T1048336"/>
      <c r="U1048336"/>
      <c r="V1048336"/>
      <c r="W1048336"/>
      <c r="X1048336"/>
      <c r="Y1048336"/>
      <c r="Z1048336"/>
      <c r="AA1048336"/>
      <c r="AB1048336"/>
    </row>
    <row r="1048337" spans="1:28">
      <c r="A1048337"/>
      <c r="B1048337"/>
      <c r="C1048337"/>
      <c r="D1048337"/>
      <c r="E1048337"/>
      <c r="F1048337"/>
      <c r="G1048337"/>
      <c r="H1048337"/>
      <c r="I1048337"/>
      <c r="J1048337"/>
      <c r="K1048337"/>
      <c r="L1048337"/>
      <c r="M1048337"/>
      <c r="N1048337"/>
      <c r="O1048337"/>
      <c r="P1048337"/>
      <c r="Q1048337"/>
      <c r="R1048337"/>
      <c r="S1048337"/>
      <c r="T1048337"/>
      <c r="U1048337"/>
      <c r="V1048337"/>
      <c r="W1048337"/>
      <c r="X1048337"/>
      <c r="Y1048337"/>
      <c r="Z1048337"/>
      <c r="AA1048337"/>
      <c r="AB1048337"/>
    </row>
    <row r="1048338" spans="1:28">
      <c r="A1048338"/>
      <c r="B1048338"/>
      <c r="C1048338"/>
      <c r="D1048338"/>
      <c r="E1048338"/>
      <c r="F1048338"/>
      <c r="G1048338"/>
      <c r="H1048338"/>
      <c r="I1048338"/>
      <c r="J1048338"/>
      <c r="K1048338"/>
      <c r="L1048338"/>
      <c r="M1048338"/>
      <c r="N1048338"/>
      <c r="O1048338"/>
      <c r="P1048338"/>
      <c r="Q1048338"/>
      <c r="R1048338"/>
      <c r="S1048338"/>
      <c r="T1048338"/>
      <c r="U1048338"/>
      <c r="V1048338"/>
      <c r="W1048338"/>
      <c r="X1048338"/>
      <c r="Y1048338"/>
      <c r="Z1048338"/>
      <c r="AA1048338"/>
      <c r="AB1048338"/>
    </row>
    <row r="1048339" spans="1:28">
      <c r="A1048339"/>
      <c r="B1048339"/>
      <c r="C1048339"/>
      <c r="D1048339"/>
      <c r="E1048339"/>
      <c r="F1048339"/>
      <c r="G1048339"/>
      <c r="H1048339"/>
      <c r="I1048339"/>
      <c r="J1048339"/>
      <c r="K1048339"/>
      <c r="L1048339"/>
      <c r="M1048339"/>
      <c r="N1048339"/>
      <c r="O1048339"/>
      <c r="P1048339"/>
      <c r="Q1048339"/>
      <c r="R1048339"/>
      <c r="S1048339"/>
      <c r="T1048339"/>
      <c r="U1048339"/>
      <c r="V1048339"/>
      <c r="W1048339"/>
      <c r="X1048339"/>
      <c r="Y1048339"/>
      <c r="Z1048339"/>
      <c r="AA1048339"/>
      <c r="AB1048339"/>
    </row>
    <row r="1048340" spans="1:28">
      <c r="A1048340"/>
      <c r="B1048340"/>
      <c r="C1048340"/>
      <c r="D1048340"/>
      <c r="E1048340"/>
      <c r="F1048340"/>
      <c r="G1048340"/>
      <c r="H1048340"/>
      <c r="I1048340"/>
      <c r="J1048340"/>
      <c r="K1048340"/>
      <c r="L1048340"/>
      <c r="M1048340"/>
      <c r="N1048340"/>
      <c r="O1048340"/>
      <c r="P1048340"/>
      <c r="Q1048340"/>
      <c r="R1048340"/>
      <c r="S1048340"/>
      <c r="T1048340"/>
      <c r="U1048340"/>
      <c r="V1048340"/>
      <c r="W1048340"/>
      <c r="X1048340"/>
      <c r="Y1048340"/>
      <c r="Z1048340"/>
      <c r="AA1048340"/>
      <c r="AB1048340"/>
    </row>
    <row r="1048341" spans="1:28">
      <c r="A1048341"/>
      <c r="B1048341"/>
      <c r="C1048341"/>
      <c r="D1048341"/>
      <c r="E1048341"/>
      <c r="F1048341"/>
      <c r="G1048341"/>
      <c r="H1048341"/>
      <c r="I1048341"/>
      <c r="J1048341"/>
      <c r="K1048341"/>
      <c r="L1048341"/>
      <c r="M1048341"/>
      <c r="N1048341"/>
      <c r="O1048341"/>
      <c r="P1048341"/>
      <c r="Q1048341"/>
      <c r="R1048341"/>
      <c r="S1048341"/>
      <c r="T1048341"/>
      <c r="U1048341"/>
      <c r="V1048341"/>
      <c r="W1048341"/>
      <c r="X1048341"/>
      <c r="Y1048341"/>
      <c r="Z1048341"/>
      <c r="AA1048341"/>
      <c r="AB1048341"/>
    </row>
    <row r="1048342" spans="1:28">
      <c r="A1048342"/>
      <c r="B1048342"/>
      <c r="C1048342"/>
      <c r="D1048342"/>
      <c r="E1048342"/>
      <c r="F1048342"/>
      <c r="G1048342"/>
      <c r="H1048342"/>
      <c r="I1048342"/>
      <c r="J1048342"/>
      <c r="K1048342"/>
      <c r="L1048342"/>
      <c r="M1048342"/>
      <c r="N1048342"/>
      <c r="O1048342"/>
      <c r="P1048342"/>
      <c r="Q1048342"/>
      <c r="R1048342"/>
      <c r="S1048342"/>
      <c r="T1048342"/>
      <c r="U1048342"/>
      <c r="V1048342"/>
      <c r="W1048342"/>
      <c r="X1048342"/>
      <c r="Y1048342"/>
      <c r="Z1048342"/>
      <c r="AA1048342"/>
      <c r="AB1048342"/>
    </row>
    <row r="1048343" spans="1:28">
      <c r="A1048343"/>
      <c r="B1048343"/>
      <c r="C1048343"/>
      <c r="D1048343"/>
      <c r="E1048343"/>
      <c r="F1048343"/>
      <c r="G1048343"/>
      <c r="H1048343"/>
      <c r="I1048343"/>
      <c r="J1048343"/>
      <c r="K1048343"/>
      <c r="L1048343"/>
      <c r="M1048343"/>
      <c r="N1048343"/>
      <c r="O1048343"/>
      <c r="P1048343"/>
      <c r="Q1048343"/>
      <c r="R1048343"/>
      <c r="S1048343"/>
      <c r="T1048343"/>
      <c r="U1048343"/>
      <c r="V1048343"/>
      <c r="W1048343"/>
      <c r="X1048343"/>
      <c r="Y1048343"/>
      <c r="Z1048343"/>
      <c r="AA1048343"/>
      <c r="AB1048343"/>
    </row>
    <row r="1048344" spans="1:28">
      <c r="A1048344"/>
      <c r="B1048344"/>
      <c r="C1048344"/>
      <c r="D1048344"/>
      <c r="E1048344"/>
      <c r="F1048344"/>
      <c r="G1048344"/>
      <c r="H1048344"/>
      <c r="I1048344"/>
      <c r="J1048344"/>
      <c r="K1048344"/>
      <c r="L1048344"/>
      <c r="M1048344"/>
      <c r="N1048344"/>
      <c r="O1048344"/>
      <c r="P1048344"/>
      <c r="Q1048344"/>
      <c r="R1048344"/>
      <c r="S1048344"/>
      <c r="T1048344"/>
      <c r="U1048344"/>
      <c r="V1048344"/>
      <c r="W1048344"/>
      <c r="X1048344"/>
      <c r="Y1048344"/>
      <c r="Z1048344"/>
      <c r="AA1048344"/>
      <c r="AB1048344"/>
    </row>
    <row r="1048345" spans="1:28">
      <c r="A1048345"/>
      <c r="B1048345"/>
      <c r="C1048345"/>
      <c r="D1048345"/>
      <c r="E1048345"/>
      <c r="F1048345"/>
      <c r="G1048345"/>
      <c r="H1048345"/>
      <c r="I1048345"/>
      <c r="J1048345"/>
      <c r="K1048345"/>
      <c r="L1048345"/>
      <c r="M1048345"/>
      <c r="N1048345"/>
      <c r="O1048345"/>
      <c r="P1048345"/>
      <c r="Q1048345"/>
      <c r="R1048345"/>
      <c r="S1048345"/>
      <c r="T1048345"/>
      <c r="U1048345"/>
      <c r="V1048345"/>
      <c r="W1048345"/>
      <c r="X1048345"/>
      <c r="Y1048345"/>
      <c r="Z1048345"/>
      <c r="AA1048345"/>
      <c r="AB1048345"/>
    </row>
    <row r="1048346" spans="1:28">
      <c r="A1048346"/>
      <c r="B1048346"/>
      <c r="C1048346"/>
      <c r="D1048346"/>
      <c r="E1048346"/>
      <c r="F1048346"/>
      <c r="G1048346"/>
      <c r="H1048346"/>
      <c r="I1048346"/>
      <c r="J1048346"/>
      <c r="K1048346"/>
      <c r="L1048346"/>
      <c r="M1048346"/>
      <c r="N1048346"/>
      <c r="O1048346"/>
      <c r="P1048346"/>
      <c r="Q1048346"/>
      <c r="R1048346"/>
      <c r="S1048346"/>
      <c r="T1048346"/>
      <c r="U1048346"/>
      <c r="V1048346"/>
      <c r="W1048346"/>
      <c r="X1048346"/>
      <c r="Y1048346"/>
      <c r="Z1048346"/>
      <c r="AA1048346"/>
      <c r="AB1048346"/>
    </row>
    <row r="1048347" spans="1:28">
      <c r="A1048347"/>
      <c r="B1048347"/>
      <c r="C1048347"/>
      <c r="D1048347"/>
      <c r="E1048347"/>
      <c r="F1048347"/>
      <c r="G1048347"/>
      <c r="H1048347"/>
      <c r="I1048347"/>
      <c r="J1048347"/>
      <c r="K1048347"/>
      <c r="L1048347"/>
      <c r="M1048347"/>
      <c r="N1048347"/>
      <c r="O1048347"/>
      <c r="P1048347"/>
      <c r="Q1048347"/>
      <c r="R1048347"/>
      <c r="S1048347"/>
      <c r="T1048347"/>
      <c r="U1048347"/>
      <c r="V1048347"/>
      <c r="W1048347"/>
      <c r="X1048347"/>
      <c r="Y1048347"/>
      <c r="Z1048347"/>
      <c r="AA1048347"/>
      <c r="AB1048347"/>
    </row>
    <row r="1048348" spans="1:28">
      <c r="A1048348"/>
      <c r="B1048348"/>
      <c r="C1048348"/>
      <c r="D1048348"/>
      <c r="E1048348"/>
      <c r="F1048348"/>
      <c r="G1048348"/>
      <c r="H1048348"/>
      <c r="I1048348"/>
      <c r="J1048348"/>
      <c r="K1048348"/>
      <c r="L1048348"/>
      <c r="M1048348"/>
      <c r="N1048348"/>
      <c r="O1048348"/>
      <c r="P1048348"/>
      <c r="Q1048348"/>
      <c r="R1048348"/>
      <c r="S1048348"/>
      <c r="T1048348"/>
      <c r="U1048348"/>
      <c r="V1048348"/>
      <c r="W1048348"/>
      <c r="X1048348"/>
      <c r="Y1048348"/>
      <c r="Z1048348"/>
      <c r="AA1048348"/>
      <c r="AB1048348"/>
    </row>
    <row r="1048349" spans="1:28">
      <c r="A1048349"/>
      <c r="B1048349"/>
      <c r="C1048349"/>
      <c r="D1048349"/>
      <c r="E1048349"/>
      <c r="F1048349"/>
      <c r="G1048349"/>
      <c r="H1048349"/>
      <c r="I1048349"/>
      <c r="J1048349"/>
      <c r="K1048349"/>
      <c r="L1048349"/>
      <c r="M1048349"/>
      <c r="N1048349"/>
      <c r="O1048349"/>
      <c r="P1048349"/>
      <c r="Q1048349"/>
      <c r="R1048349"/>
      <c r="S1048349"/>
      <c r="T1048349"/>
      <c r="U1048349"/>
      <c r="V1048349"/>
      <c r="W1048349"/>
      <c r="X1048349"/>
      <c r="Y1048349"/>
      <c r="Z1048349"/>
      <c r="AA1048349"/>
      <c r="AB1048349"/>
    </row>
    <row r="1048350" spans="1:28">
      <c r="A1048350"/>
      <c r="B1048350"/>
      <c r="C1048350"/>
      <c r="D1048350"/>
      <c r="E1048350"/>
      <c r="F1048350"/>
      <c r="G1048350"/>
      <c r="H1048350"/>
      <c r="I1048350"/>
      <c r="J1048350"/>
      <c r="K1048350"/>
      <c r="L1048350"/>
      <c r="M1048350"/>
      <c r="N1048350"/>
      <c r="O1048350"/>
      <c r="P1048350"/>
      <c r="Q1048350"/>
      <c r="R1048350"/>
      <c r="S1048350"/>
      <c r="T1048350"/>
      <c r="U1048350"/>
      <c r="V1048350"/>
      <c r="W1048350"/>
      <c r="X1048350"/>
      <c r="Y1048350"/>
      <c r="Z1048350"/>
      <c r="AA1048350"/>
      <c r="AB1048350"/>
    </row>
    <row r="1048351" spans="1:28">
      <c r="A1048351"/>
      <c r="B1048351"/>
      <c r="C1048351"/>
      <c r="D1048351"/>
      <c r="E1048351"/>
      <c r="F1048351"/>
      <c r="G1048351"/>
      <c r="H1048351"/>
      <c r="I1048351"/>
      <c r="J1048351"/>
      <c r="K1048351"/>
      <c r="L1048351"/>
      <c r="M1048351"/>
      <c r="N1048351"/>
      <c r="O1048351"/>
      <c r="P1048351"/>
      <c r="Q1048351"/>
      <c r="R1048351"/>
      <c r="S1048351"/>
      <c r="T1048351"/>
      <c r="U1048351"/>
      <c r="V1048351"/>
      <c r="W1048351"/>
      <c r="X1048351"/>
      <c r="Y1048351"/>
      <c r="Z1048351"/>
      <c r="AA1048351"/>
      <c r="AB1048351"/>
    </row>
    <row r="1048352" spans="1:28">
      <c r="A1048352"/>
      <c r="B1048352"/>
      <c r="C1048352"/>
      <c r="D1048352"/>
      <c r="E1048352"/>
      <c r="F1048352"/>
      <c r="G1048352"/>
      <c r="H1048352"/>
      <c r="I1048352"/>
      <c r="J1048352"/>
      <c r="K1048352"/>
      <c r="L1048352"/>
      <c r="M1048352"/>
      <c r="N1048352"/>
      <c r="O1048352"/>
      <c r="P1048352"/>
      <c r="Q1048352"/>
      <c r="R1048352"/>
      <c r="S1048352"/>
      <c r="T1048352"/>
      <c r="U1048352"/>
      <c r="V1048352"/>
      <c r="W1048352"/>
      <c r="X1048352"/>
      <c r="Y1048352"/>
      <c r="Z1048352"/>
      <c r="AA1048352"/>
      <c r="AB1048352"/>
    </row>
    <row r="1048353" spans="1:28">
      <c r="A1048353"/>
      <c r="B1048353"/>
      <c r="C1048353"/>
      <c r="D1048353"/>
      <c r="E1048353"/>
      <c r="F1048353"/>
      <c r="G1048353"/>
      <c r="H1048353"/>
      <c r="I1048353"/>
      <c r="J1048353"/>
      <c r="K1048353"/>
      <c r="L1048353"/>
      <c r="M1048353"/>
      <c r="N1048353"/>
      <c r="O1048353"/>
      <c r="P1048353"/>
      <c r="Q1048353"/>
      <c r="R1048353"/>
      <c r="S1048353"/>
      <c r="T1048353"/>
      <c r="U1048353"/>
      <c r="V1048353"/>
      <c r="W1048353"/>
      <c r="X1048353"/>
      <c r="Y1048353"/>
      <c r="Z1048353"/>
      <c r="AA1048353"/>
      <c r="AB1048353"/>
    </row>
    <row r="1048354" spans="1:28">
      <c r="A1048354"/>
      <c r="B1048354"/>
      <c r="C1048354"/>
      <c r="D1048354"/>
      <c r="E1048354"/>
      <c r="F1048354"/>
      <c r="G1048354"/>
      <c r="H1048354"/>
      <c r="I1048354"/>
      <c r="J1048354"/>
      <c r="K1048354"/>
      <c r="L1048354"/>
      <c r="M1048354"/>
      <c r="N1048354"/>
      <c r="O1048354"/>
      <c r="P1048354"/>
      <c r="Q1048354"/>
      <c r="R1048354"/>
      <c r="S1048354"/>
      <c r="T1048354"/>
      <c r="U1048354"/>
      <c r="V1048354"/>
      <c r="W1048354"/>
      <c r="X1048354"/>
      <c r="Y1048354"/>
      <c r="Z1048354"/>
      <c r="AA1048354"/>
      <c r="AB1048354"/>
    </row>
    <row r="1048355" spans="1:28">
      <c r="A1048355"/>
      <c r="B1048355"/>
      <c r="C1048355"/>
      <c r="D1048355"/>
      <c r="E1048355"/>
      <c r="F1048355"/>
      <c r="G1048355"/>
      <c r="H1048355"/>
      <c r="I1048355"/>
      <c r="J1048355"/>
      <c r="K1048355"/>
      <c r="L1048355"/>
      <c r="M1048355"/>
      <c r="N1048355"/>
      <c r="O1048355"/>
      <c r="P1048355"/>
      <c r="Q1048355"/>
      <c r="R1048355"/>
      <c r="S1048355"/>
      <c r="T1048355"/>
      <c r="U1048355"/>
      <c r="V1048355"/>
      <c r="W1048355"/>
      <c r="X1048355"/>
      <c r="Y1048355"/>
      <c r="Z1048355"/>
      <c r="AA1048355"/>
      <c r="AB1048355"/>
    </row>
    <row r="1048356" spans="1:28">
      <c r="A1048356"/>
      <c r="B1048356"/>
      <c r="C1048356"/>
      <c r="D1048356"/>
      <c r="E1048356"/>
      <c r="F1048356"/>
      <c r="G1048356"/>
      <c r="H1048356"/>
      <c r="I1048356"/>
      <c r="J1048356"/>
      <c r="K1048356"/>
      <c r="L1048356"/>
      <c r="M1048356"/>
      <c r="N1048356"/>
      <c r="O1048356"/>
      <c r="P1048356"/>
      <c r="Q1048356"/>
      <c r="R1048356"/>
      <c r="S1048356"/>
      <c r="T1048356"/>
      <c r="U1048356"/>
      <c r="V1048356"/>
      <c r="W1048356"/>
      <c r="X1048356"/>
      <c r="Y1048356"/>
      <c r="Z1048356"/>
      <c r="AA1048356"/>
      <c r="AB1048356"/>
    </row>
    <row r="1048357" spans="1:28">
      <c r="A1048357"/>
      <c r="B1048357"/>
      <c r="C1048357"/>
      <c r="D1048357"/>
      <c r="E1048357"/>
      <c r="F1048357"/>
      <c r="G1048357"/>
      <c r="H1048357"/>
      <c r="I1048357"/>
      <c r="J1048357"/>
      <c r="K1048357"/>
      <c r="L1048357"/>
      <c r="M1048357"/>
      <c r="N1048357"/>
      <c r="O1048357"/>
      <c r="P1048357"/>
      <c r="Q1048357"/>
      <c r="R1048357"/>
      <c r="S1048357"/>
      <c r="T1048357"/>
      <c r="U1048357"/>
      <c r="V1048357"/>
      <c r="W1048357"/>
      <c r="X1048357"/>
      <c r="Y1048357"/>
      <c r="Z1048357"/>
      <c r="AA1048357"/>
      <c r="AB1048357"/>
    </row>
    <row r="1048358" spans="1:28">
      <c r="A1048358"/>
      <c r="B1048358"/>
      <c r="C1048358"/>
      <c r="D1048358"/>
      <c r="E1048358"/>
      <c r="F1048358"/>
      <c r="G1048358"/>
      <c r="H1048358"/>
      <c r="I1048358"/>
      <c r="J1048358"/>
      <c r="K1048358"/>
      <c r="L1048358"/>
      <c r="M1048358"/>
      <c r="N1048358"/>
      <c r="O1048358"/>
      <c r="P1048358"/>
      <c r="Q1048358"/>
      <c r="R1048358"/>
      <c r="S1048358"/>
      <c r="T1048358"/>
      <c r="U1048358"/>
      <c r="V1048358"/>
      <c r="W1048358"/>
      <c r="X1048358"/>
      <c r="Y1048358"/>
      <c r="Z1048358"/>
      <c r="AA1048358"/>
      <c r="AB1048358"/>
    </row>
    <row r="1048359" spans="1:28">
      <c r="A1048359"/>
      <c r="B1048359"/>
      <c r="C1048359"/>
      <c r="D1048359"/>
      <c r="E1048359"/>
      <c r="F1048359"/>
      <c r="G1048359"/>
      <c r="H1048359"/>
      <c r="I1048359"/>
      <c r="J1048359"/>
      <c r="K1048359"/>
      <c r="L1048359"/>
      <c r="M1048359"/>
      <c r="N1048359"/>
      <c r="O1048359"/>
      <c r="P1048359"/>
      <c r="Q1048359"/>
      <c r="R1048359"/>
      <c r="S1048359"/>
      <c r="T1048359"/>
      <c r="U1048359"/>
      <c r="V1048359"/>
      <c r="W1048359"/>
      <c r="X1048359"/>
      <c r="Y1048359"/>
      <c r="Z1048359"/>
      <c r="AA1048359"/>
      <c r="AB1048359"/>
    </row>
    <row r="1048360" spans="1:28">
      <c r="A1048360"/>
      <c r="B1048360"/>
      <c r="C1048360"/>
      <c r="D1048360"/>
      <c r="E1048360"/>
      <c r="F1048360"/>
      <c r="G1048360"/>
      <c r="H1048360"/>
      <c r="I1048360"/>
      <c r="J1048360"/>
      <c r="K1048360"/>
      <c r="L1048360"/>
      <c r="M1048360"/>
      <c r="N1048360"/>
      <c r="O1048360"/>
      <c r="P1048360"/>
      <c r="Q1048360"/>
      <c r="R1048360"/>
      <c r="S1048360"/>
      <c r="T1048360"/>
      <c r="U1048360"/>
      <c r="V1048360"/>
      <c r="W1048360"/>
      <c r="X1048360"/>
      <c r="Y1048360"/>
      <c r="Z1048360"/>
      <c r="AA1048360"/>
      <c r="AB1048360"/>
    </row>
    <row r="1048361" spans="1:28">
      <c r="A1048361"/>
      <c r="B1048361"/>
      <c r="C1048361"/>
      <c r="D1048361"/>
      <c r="E1048361"/>
      <c r="F1048361"/>
      <c r="G1048361"/>
      <c r="H1048361"/>
      <c r="I1048361"/>
      <c r="J1048361"/>
      <c r="K1048361"/>
      <c r="L1048361"/>
      <c r="M1048361"/>
      <c r="N1048361"/>
      <c r="O1048361"/>
      <c r="P1048361"/>
      <c r="Q1048361"/>
      <c r="R1048361"/>
      <c r="S1048361"/>
      <c r="T1048361"/>
      <c r="U1048361"/>
      <c r="V1048361"/>
      <c r="W1048361"/>
      <c r="X1048361"/>
      <c r="Y1048361"/>
      <c r="Z1048361"/>
      <c r="AA1048361"/>
      <c r="AB1048361"/>
    </row>
    <row r="1048362" spans="1:28">
      <c r="A1048362"/>
      <c r="B1048362"/>
      <c r="C1048362"/>
      <c r="D1048362"/>
      <c r="E1048362"/>
      <c r="F1048362"/>
      <c r="G1048362"/>
      <c r="H1048362"/>
      <c r="I1048362"/>
      <c r="J1048362"/>
      <c r="K1048362"/>
      <c r="L1048362"/>
      <c r="M1048362"/>
      <c r="N1048362"/>
      <c r="O1048362"/>
      <c r="P1048362"/>
      <c r="Q1048362"/>
      <c r="R1048362"/>
      <c r="S1048362"/>
      <c r="T1048362"/>
      <c r="U1048362"/>
      <c r="V1048362"/>
      <c r="W1048362"/>
      <c r="X1048362"/>
      <c r="Y1048362"/>
      <c r="Z1048362"/>
      <c r="AA1048362"/>
      <c r="AB1048362"/>
    </row>
    <row r="1048363" spans="1:28">
      <c r="A1048363"/>
      <c r="B1048363"/>
      <c r="C1048363"/>
      <c r="D1048363"/>
      <c r="E1048363"/>
      <c r="F1048363"/>
      <c r="G1048363"/>
      <c r="H1048363"/>
      <c r="I1048363"/>
      <c r="J1048363"/>
      <c r="K1048363"/>
      <c r="L1048363"/>
      <c r="M1048363"/>
      <c r="N1048363"/>
      <c r="O1048363"/>
      <c r="P1048363"/>
      <c r="Q1048363"/>
      <c r="R1048363"/>
      <c r="S1048363"/>
      <c r="T1048363"/>
      <c r="U1048363"/>
      <c r="V1048363"/>
      <c r="W1048363"/>
      <c r="X1048363"/>
      <c r="Y1048363"/>
      <c r="Z1048363"/>
      <c r="AA1048363"/>
      <c r="AB1048363"/>
    </row>
    <row r="1048364" spans="1:28">
      <c r="A1048364"/>
      <c r="B1048364"/>
      <c r="C1048364"/>
      <c r="D1048364"/>
      <c r="E1048364"/>
      <c r="F1048364"/>
      <c r="G1048364"/>
      <c r="H1048364"/>
      <c r="I1048364"/>
      <c r="J1048364"/>
      <c r="K1048364"/>
      <c r="L1048364"/>
      <c r="M1048364"/>
      <c r="N1048364"/>
      <c r="O1048364"/>
      <c r="P1048364"/>
      <c r="Q1048364"/>
      <c r="R1048364"/>
      <c r="S1048364"/>
      <c r="T1048364"/>
      <c r="U1048364"/>
      <c r="V1048364"/>
      <c r="W1048364"/>
      <c r="X1048364"/>
      <c r="Y1048364"/>
      <c r="Z1048364"/>
      <c r="AA1048364"/>
      <c r="AB1048364"/>
    </row>
    <row r="1048365" spans="1:28">
      <c r="A1048365"/>
      <c r="B1048365"/>
      <c r="C1048365"/>
      <c r="D1048365"/>
      <c r="E1048365"/>
      <c r="F1048365"/>
      <c r="G1048365"/>
      <c r="H1048365"/>
      <c r="I1048365"/>
      <c r="J1048365"/>
      <c r="K1048365"/>
      <c r="L1048365"/>
      <c r="M1048365"/>
      <c r="N1048365"/>
      <c r="O1048365"/>
      <c r="P1048365"/>
      <c r="Q1048365"/>
      <c r="R1048365"/>
      <c r="S1048365"/>
      <c r="T1048365"/>
      <c r="U1048365"/>
      <c r="V1048365"/>
      <c r="W1048365"/>
      <c r="X1048365"/>
      <c r="Y1048365"/>
      <c r="Z1048365"/>
      <c r="AA1048365"/>
      <c r="AB1048365"/>
    </row>
    <row r="1048366" spans="1:28">
      <c r="A1048366"/>
      <c r="B1048366"/>
      <c r="C1048366"/>
      <c r="D1048366"/>
      <c r="E1048366"/>
      <c r="F1048366"/>
      <c r="G1048366"/>
      <c r="H1048366"/>
      <c r="I1048366"/>
      <c r="J1048366"/>
      <c r="K1048366"/>
      <c r="L1048366"/>
      <c r="M1048366"/>
      <c r="N1048366"/>
      <c r="O1048366"/>
      <c r="P1048366"/>
      <c r="Q1048366"/>
      <c r="R1048366"/>
      <c r="S1048366"/>
      <c r="T1048366"/>
      <c r="U1048366"/>
      <c r="V1048366"/>
      <c r="W1048366"/>
      <c r="X1048366"/>
      <c r="Y1048366"/>
      <c r="Z1048366"/>
      <c r="AA1048366"/>
      <c r="AB1048366"/>
    </row>
    <row r="1048367" spans="1:28">
      <c r="A1048367"/>
      <c r="B1048367"/>
      <c r="C1048367"/>
      <c r="D1048367"/>
      <c r="E1048367"/>
      <c r="F1048367"/>
      <c r="G1048367"/>
      <c r="H1048367"/>
      <c r="I1048367"/>
      <c r="J1048367"/>
      <c r="K1048367"/>
      <c r="L1048367"/>
      <c r="M1048367"/>
      <c r="N1048367"/>
      <c r="O1048367"/>
      <c r="P1048367"/>
      <c r="Q1048367"/>
      <c r="R1048367"/>
      <c r="S1048367"/>
      <c r="T1048367"/>
      <c r="U1048367"/>
      <c r="V1048367"/>
      <c r="W1048367"/>
      <c r="X1048367"/>
      <c r="Y1048367"/>
      <c r="Z1048367"/>
      <c r="AA1048367"/>
      <c r="AB1048367"/>
    </row>
    <row r="1048368" spans="1:28">
      <c r="A1048368"/>
      <c r="B1048368"/>
      <c r="C1048368"/>
      <c r="D1048368"/>
      <c r="E1048368"/>
      <c r="F1048368"/>
      <c r="G1048368"/>
      <c r="H1048368"/>
      <c r="I1048368"/>
      <c r="J1048368"/>
      <c r="K1048368"/>
      <c r="L1048368"/>
      <c r="M1048368"/>
      <c r="N1048368"/>
      <c r="O1048368"/>
      <c r="P1048368"/>
      <c r="Q1048368"/>
      <c r="R1048368"/>
      <c r="S1048368"/>
      <c r="T1048368"/>
      <c r="U1048368"/>
      <c r="V1048368"/>
      <c r="W1048368"/>
      <c r="X1048368"/>
      <c r="Y1048368"/>
      <c r="Z1048368"/>
      <c r="AA1048368"/>
      <c r="AB1048368"/>
    </row>
    <row r="1048369" spans="1:28">
      <c r="A1048369"/>
      <c r="B1048369"/>
      <c r="C1048369"/>
      <c r="D1048369"/>
      <c r="E1048369"/>
      <c r="F1048369"/>
      <c r="G1048369"/>
      <c r="H1048369"/>
      <c r="I1048369"/>
      <c r="J1048369"/>
      <c r="K1048369"/>
      <c r="L1048369"/>
      <c r="M1048369"/>
      <c r="N1048369"/>
      <c r="O1048369"/>
      <c r="P1048369"/>
      <c r="Q1048369"/>
      <c r="R1048369"/>
      <c r="S1048369"/>
      <c r="T1048369"/>
      <c r="U1048369"/>
      <c r="V1048369"/>
      <c r="W1048369"/>
      <c r="X1048369"/>
      <c r="Y1048369"/>
      <c r="Z1048369"/>
      <c r="AA1048369"/>
      <c r="AB1048369"/>
    </row>
    <row r="1048370" spans="1:28">
      <c r="A1048370"/>
      <c r="B1048370"/>
      <c r="C1048370"/>
      <c r="D1048370"/>
      <c r="E1048370"/>
      <c r="F1048370"/>
      <c r="G1048370"/>
      <c r="H1048370"/>
      <c r="I1048370"/>
      <c r="J1048370"/>
      <c r="K1048370"/>
      <c r="L1048370"/>
      <c r="M1048370"/>
      <c r="N1048370"/>
      <c r="O1048370"/>
      <c r="P1048370"/>
      <c r="Q1048370"/>
      <c r="R1048370"/>
      <c r="S1048370"/>
      <c r="T1048370"/>
      <c r="U1048370"/>
      <c r="V1048370"/>
      <c r="W1048370"/>
      <c r="X1048370"/>
      <c r="Y1048370"/>
      <c r="Z1048370"/>
      <c r="AA1048370"/>
      <c r="AB1048370"/>
    </row>
    <row r="1048371" spans="1:28">
      <c r="A1048371"/>
      <c r="B1048371"/>
      <c r="C1048371"/>
      <c r="D1048371"/>
      <c r="E1048371"/>
      <c r="F1048371"/>
      <c r="G1048371"/>
      <c r="H1048371"/>
      <c r="I1048371"/>
      <c r="J1048371"/>
      <c r="K1048371"/>
      <c r="L1048371"/>
      <c r="M1048371"/>
      <c r="N1048371"/>
      <c r="O1048371"/>
      <c r="P1048371"/>
      <c r="Q1048371"/>
      <c r="R1048371"/>
      <c r="S1048371"/>
      <c r="T1048371"/>
      <c r="U1048371"/>
      <c r="V1048371"/>
      <c r="W1048371"/>
      <c r="X1048371"/>
      <c r="Y1048371"/>
      <c r="Z1048371"/>
      <c r="AA1048371"/>
      <c r="AB1048371"/>
    </row>
    <row r="1048372" spans="1:28">
      <c r="A1048372"/>
      <c r="B1048372"/>
      <c r="C1048372"/>
      <c r="D1048372"/>
      <c r="E1048372"/>
      <c r="F1048372"/>
      <c r="G1048372"/>
      <c r="H1048372"/>
      <c r="I1048372"/>
      <c r="J1048372"/>
      <c r="K1048372"/>
      <c r="L1048372"/>
      <c r="M1048372"/>
      <c r="N1048372"/>
      <c r="O1048372"/>
      <c r="P1048372"/>
      <c r="Q1048372"/>
      <c r="R1048372"/>
      <c r="S1048372"/>
      <c r="T1048372"/>
      <c r="U1048372"/>
      <c r="V1048372"/>
      <c r="W1048372"/>
      <c r="X1048372"/>
      <c r="Y1048372"/>
      <c r="Z1048372"/>
      <c r="AA1048372"/>
      <c r="AB1048372"/>
    </row>
    <row r="1048373" spans="1:28">
      <c r="A1048373"/>
      <c r="B1048373"/>
      <c r="C1048373"/>
      <c r="D1048373"/>
      <c r="E1048373"/>
      <c r="F1048373"/>
      <c r="G1048373"/>
      <c r="H1048373"/>
      <c r="I1048373"/>
      <c r="J1048373"/>
      <c r="K1048373"/>
      <c r="L1048373"/>
      <c r="M1048373"/>
      <c r="N1048373"/>
      <c r="O1048373"/>
      <c r="P1048373"/>
      <c r="Q1048373"/>
      <c r="R1048373"/>
      <c r="S1048373"/>
      <c r="T1048373"/>
      <c r="U1048373"/>
      <c r="V1048373"/>
      <c r="W1048373"/>
      <c r="X1048373"/>
      <c r="Y1048373"/>
      <c r="Z1048373"/>
      <c r="AA1048373"/>
      <c r="AB1048373"/>
    </row>
    <row r="1048374" spans="1:28">
      <c r="A1048374"/>
      <c r="B1048374"/>
      <c r="C1048374"/>
      <c r="D1048374"/>
      <c r="E1048374"/>
      <c r="F1048374"/>
      <c r="G1048374"/>
      <c r="H1048374"/>
      <c r="I1048374"/>
      <c r="J1048374"/>
      <c r="K1048374"/>
      <c r="L1048374"/>
      <c r="M1048374"/>
      <c r="N1048374"/>
      <c r="O1048374"/>
      <c r="P1048374"/>
      <c r="Q1048374"/>
      <c r="R1048374"/>
      <c r="S1048374"/>
      <c r="T1048374"/>
      <c r="U1048374"/>
      <c r="V1048374"/>
      <c r="W1048374"/>
      <c r="X1048374"/>
      <c r="Y1048374"/>
      <c r="Z1048374"/>
      <c r="AA1048374"/>
      <c r="AB1048374"/>
    </row>
    <row r="1048375" spans="1:28">
      <c r="A1048375"/>
      <c r="B1048375"/>
      <c r="C1048375"/>
      <c r="D1048375"/>
      <c r="E1048375"/>
      <c r="F1048375"/>
      <c r="G1048375"/>
      <c r="H1048375"/>
      <c r="I1048375"/>
      <c r="J1048375"/>
      <c r="K1048375"/>
      <c r="L1048375"/>
      <c r="M1048375"/>
      <c r="N1048375"/>
      <c r="O1048375"/>
      <c r="P1048375"/>
      <c r="Q1048375"/>
      <c r="R1048375"/>
      <c r="S1048375"/>
      <c r="T1048375"/>
      <c r="U1048375"/>
      <c r="V1048375"/>
      <c r="W1048375"/>
      <c r="X1048375"/>
      <c r="Y1048375"/>
      <c r="Z1048375"/>
      <c r="AA1048375"/>
      <c r="AB1048375"/>
    </row>
    <row r="1048376" spans="1:28">
      <c r="A1048376"/>
      <c r="B1048376"/>
      <c r="C1048376"/>
      <c r="D1048376"/>
      <c r="E1048376"/>
      <c r="F1048376"/>
      <c r="G1048376"/>
      <c r="H1048376"/>
      <c r="I1048376"/>
      <c r="J1048376"/>
      <c r="K1048376"/>
      <c r="L1048376"/>
      <c r="M1048376"/>
      <c r="N1048376"/>
      <c r="O1048376"/>
      <c r="P1048376"/>
      <c r="Q1048376"/>
      <c r="R1048376"/>
      <c r="S1048376"/>
      <c r="T1048376"/>
      <c r="U1048376"/>
      <c r="V1048376"/>
      <c r="W1048376"/>
      <c r="X1048376"/>
      <c r="Y1048376"/>
      <c r="Z1048376"/>
      <c r="AA1048376"/>
      <c r="AB1048376"/>
    </row>
    <row r="1048377" spans="1:28">
      <c r="A1048377"/>
      <c r="B1048377"/>
      <c r="C1048377"/>
      <c r="D1048377"/>
      <c r="E1048377"/>
      <c r="F1048377"/>
      <c r="G1048377"/>
      <c r="H1048377"/>
      <c r="I1048377"/>
      <c r="J1048377"/>
      <c r="K1048377"/>
      <c r="L1048377"/>
      <c r="M1048377"/>
      <c r="N1048377"/>
      <c r="O1048377"/>
      <c r="P1048377"/>
      <c r="Q1048377"/>
      <c r="R1048377"/>
      <c r="S1048377"/>
      <c r="T1048377"/>
      <c r="U1048377"/>
      <c r="V1048377"/>
      <c r="W1048377"/>
      <c r="X1048377"/>
      <c r="Y1048377"/>
      <c r="Z1048377"/>
      <c r="AA1048377"/>
      <c r="AB1048377"/>
    </row>
    <row r="1048378" spans="1:28">
      <c r="A1048378"/>
      <c r="B1048378"/>
      <c r="C1048378"/>
      <c r="D1048378"/>
      <c r="E1048378"/>
      <c r="F1048378"/>
      <c r="G1048378"/>
      <c r="H1048378"/>
      <c r="I1048378"/>
      <c r="J1048378"/>
      <c r="K1048378"/>
      <c r="L1048378"/>
      <c r="M1048378"/>
      <c r="N1048378"/>
      <c r="O1048378"/>
      <c r="P1048378"/>
      <c r="Q1048378"/>
      <c r="R1048378"/>
      <c r="S1048378"/>
      <c r="T1048378"/>
      <c r="U1048378"/>
      <c r="V1048378"/>
      <c r="W1048378"/>
      <c r="X1048378"/>
      <c r="Y1048378"/>
      <c r="Z1048378"/>
      <c r="AA1048378"/>
      <c r="AB1048378"/>
    </row>
    <row r="1048379" spans="1:28">
      <c r="A1048379"/>
      <c r="B1048379"/>
      <c r="C1048379"/>
      <c r="D1048379"/>
      <c r="E1048379"/>
      <c r="F1048379"/>
      <c r="G1048379"/>
      <c r="H1048379"/>
      <c r="I1048379"/>
      <c r="J1048379"/>
      <c r="K1048379"/>
      <c r="L1048379"/>
      <c r="M1048379"/>
      <c r="N1048379"/>
      <c r="O1048379"/>
      <c r="P1048379"/>
      <c r="Q1048379"/>
      <c r="R1048379"/>
      <c r="S1048379"/>
      <c r="T1048379"/>
      <c r="U1048379"/>
      <c r="V1048379"/>
      <c r="W1048379"/>
      <c r="X1048379"/>
      <c r="Y1048379"/>
      <c r="Z1048379"/>
      <c r="AA1048379"/>
      <c r="AB1048379"/>
    </row>
    <row r="1048380" spans="1:28">
      <c r="A1048380"/>
      <c r="B1048380"/>
      <c r="C1048380"/>
      <c r="D1048380"/>
      <c r="E1048380"/>
      <c r="F1048380"/>
      <c r="G1048380"/>
      <c r="H1048380"/>
      <c r="I1048380"/>
      <c r="J1048380"/>
      <c r="K1048380"/>
      <c r="L1048380"/>
      <c r="M1048380"/>
      <c r="N1048380"/>
      <c r="O1048380"/>
      <c r="P1048380"/>
      <c r="Q1048380"/>
      <c r="R1048380"/>
      <c r="S1048380"/>
      <c r="T1048380"/>
      <c r="U1048380"/>
      <c r="V1048380"/>
      <c r="W1048380"/>
      <c r="X1048380"/>
      <c r="Y1048380"/>
      <c r="Z1048380"/>
      <c r="AA1048380"/>
      <c r="AB1048380"/>
    </row>
    <row r="1048381" spans="1:28">
      <c r="A1048381"/>
      <c r="B1048381"/>
      <c r="C1048381"/>
      <c r="D1048381"/>
      <c r="E1048381"/>
      <c r="F1048381"/>
      <c r="G1048381"/>
      <c r="H1048381"/>
      <c r="I1048381"/>
      <c r="J1048381"/>
      <c r="K1048381"/>
      <c r="L1048381"/>
      <c r="M1048381"/>
      <c r="N1048381"/>
      <c r="O1048381"/>
      <c r="P1048381"/>
      <c r="Q1048381"/>
      <c r="R1048381"/>
      <c r="S1048381"/>
      <c r="T1048381"/>
      <c r="U1048381"/>
      <c r="V1048381"/>
      <c r="W1048381"/>
      <c r="X1048381"/>
      <c r="Y1048381"/>
      <c r="Z1048381"/>
      <c r="AA1048381"/>
      <c r="AB1048381"/>
    </row>
    <row r="1048382" spans="1:28">
      <c r="A1048382"/>
      <c r="B1048382"/>
      <c r="C1048382"/>
      <c r="D1048382"/>
      <c r="E1048382"/>
      <c r="F1048382"/>
      <c r="G1048382"/>
      <c r="H1048382"/>
      <c r="I1048382"/>
      <c r="J1048382"/>
      <c r="K1048382"/>
      <c r="L1048382"/>
      <c r="M1048382"/>
      <c r="N1048382"/>
      <c r="O1048382"/>
      <c r="P1048382"/>
      <c r="Q1048382"/>
      <c r="R1048382"/>
      <c r="S1048382"/>
      <c r="T1048382"/>
      <c r="U1048382"/>
      <c r="V1048382"/>
      <c r="W1048382"/>
      <c r="X1048382"/>
      <c r="Y1048382"/>
      <c r="Z1048382"/>
      <c r="AA1048382"/>
      <c r="AB1048382"/>
    </row>
    <row r="1048383" spans="1:28">
      <c r="A1048383"/>
      <c r="B1048383"/>
      <c r="C1048383"/>
      <c r="D1048383"/>
      <c r="E1048383"/>
      <c r="F1048383"/>
      <c r="G1048383"/>
      <c r="H1048383"/>
      <c r="I1048383"/>
      <c r="J1048383"/>
      <c r="K1048383"/>
      <c r="L1048383"/>
      <c r="M1048383"/>
      <c r="N1048383"/>
      <c r="O1048383"/>
      <c r="P1048383"/>
      <c r="Q1048383"/>
      <c r="R1048383"/>
      <c r="S1048383"/>
      <c r="T1048383"/>
      <c r="U1048383"/>
      <c r="V1048383"/>
      <c r="W1048383"/>
      <c r="X1048383"/>
      <c r="Y1048383"/>
      <c r="Z1048383"/>
      <c r="AA1048383"/>
      <c r="AB1048383"/>
    </row>
    <row r="1048384" spans="1:28">
      <c r="A1048384"/>
      <c r="B1048384"/>
      <c r="C1048384"/>
      <c r="D1048384"/>
      <c r="E1048384"/>
      <c r="F1048384"/>
      <c r="G1048384"/>
      <c r="H1048384"/>
      <c r="I1048384"/>
      <c r="J1048384"/>
      <c r="K1048384"/>
      <c r="L1048384"/>
      <c r="M1048384"/>
      <c r="N1048384"/>
      <c r="O1048384"/>
      <c r="P1048384"/>
      <c r="Q1048384"/>
      <c r="R1048384"/>
      <c r="S1048384"/>
      <c r="T1048384"/>
      <c r="U1048384"/>
      <c r="V1048384"/>
      <c r="W1048384"/>
      <c r="X1048384"/>
      <c r="Y1048384"/>
      <c r="Z1048384"/>
      <c r="AA1048384"/>
      <c r="AB1048384"/>
    </row>
    <row r="1048385" spans="1:28">
      <c r="A1048385"/>
      <c r="B1048385"/>
      <c r="C1048385"/>
      <c r="D1048385"/>
      <c r="E1048385"/>
      <c r="F1048385"/>
      <c r="G1048385"/>
      <c r="H1048385"/>
      <c r="I1048385"/>
      <c r="J1048385"/>
      <c r="K1048385"/>
      <c r="L1048385"/>
      <c r="M1048385"/>
      <c r="N1048385"/>
      <c r="O1048385"/>
      <c r="P1048385"/>
      <c r="Q1048385"/>
      <c r="R1048385"/>
      <c r="S1048385"/>
      <c r="T1048385"/>
      <c r="U1048385"/>
      <c r="V1048385"/>
      <c r="W1048385"/>
      <c r="X1048385"/>
      <c r="Y1048385"/>
      <c r="Z1048385"/>
      <c r="AA1048385"/>
      <c r="AB1048385"/>
    </row>
    <row r="1048386" spans="1:28">
      <c r="A1048386"/>
      <c r="B1048386"/>
      <c r="C1048386"/>
      <c r="D1048386"/>
      <c r="E1048386"/>
      <c r="F1048386"/>
      <c r="G1048386"/>
      <c r="H1048386"/>
      <c r="I1048386"/>
      <c r="J1048386"/>
      <c r="K1048386"/>
      <c r="L1048386"/>
      <c r="M1048386"/>
      <c r="N1048386"/>
      <c r="O1048386"/>
      <c r="P1048386"/>
      <c r="Q1048386"/>
      <c r="R1048386"/>
      <c r="S1048386"/>
      <c r="T1048386"/>
      <c r="U1048386"/>
      <c r="V1048386"/>
      <c r="W1048386"/>
      <c r="X1048386"/>
      <c r="Y1048386"/>
      <c r="Z1048386"/>
      <c r="AA1048386"/>
      <c r="AB1048386"/>
    </row>
    <row r="1048387" spans="1:28">
      <c r="A1048387"/>
      <c r="B1048387"/>
      <c r="C1048387"/>
      <c r="D1048387"/>
      <c r="E1048387"/>
      <c r="F1048387"/>
      <c r="G1048387"/>
      <c r="H1048387"/>
      <c r="I1048387"/>
      <c r="J1048387"/>
      <c r="K1048387"/>
      <c r="L1048387"/>
      <c r="M1048387"/>
      <c r="N1048387"/>
      <c r="O1048387"/>
      <c r="P1048387"/>
      <c r="Q1048387"/>
      <c r="R1048387"/>
      <c r="S1048387"/>
      <c r="T1048387"/>
      <c r="U1048387"/>
      <c r="V1048387"/>
      <c r="W1048387"/>
      <c r="X1048387"/>
      <c r="Y1048387"/>
      <c r="Z1048387"/>
      <c r="AA1048387"/>
      <c r="AB1048387"/>
    </row>
    <row r="1048388" spans="1:28">
      <c r="A1048388"/>
      <c r="B1048388"/>
      <c r="C1048388"/>
      <c r="D1048388"/>
      <c r="E1048388"/>
      <c r="F1048388"/>
      <c r="G1048388"/>
      <c r="H1048388"/>
      <c r="I1048388"/>
      <c r="J1048388"/>
      <c r="K1048388"/>
      <c r="L1048388"/>
      <c r="M1048388"/>
      <c r="N1048388"/>
      <c r="O1048388"/>
      <c r="P1048388"/>
      <c r="Q1048388"/>
      <c r="R1048388"/>
      <c r="S1048388"/>
      <c r="T1048388"/>
      <c r="U1048388"/>
      <c r="V1048388"/>
      <c r="W1048388"/>
      <c r="X1048388"/>
      <c r="Y1048388"/>
      <c r="Z1048388"/>
      <c r="AA1048388"/>
      <c r="AB1048388"/>
    </row>
    <row r="1048389" spans="1:28">
      <c r="A1048389"/>
      <c r="B1048389"/>
      <c r="C1048389"/>
      <c r="D1048389"/>
      <c r="E1048389"/>
      <c r="F1048389"/>
      <c r="G1048389"/>
      <c r="H1048389"/>
      <c r="I1048389"/>
      <c r="J1048389"/>
      <c r="K1048389"/>
      <c r="L1048389"/>
      <c r="M1048389"/>
      <c r="N1048389"/>
      <c r="O1048389"/>
      <c r="P1048389"/>
      <c r="Q1048389"/>
      <c r="R1048389"/>
      <c r="S1048389"/>
      <c r="T1048389"/>
      <c r="U1048389"/>
      <c r="V1048389"/>
      <c r="W1048389"/>
      <c r="X1048389"/>
      <c r="Y1048389"/>
      <c r="Z1048389"/>
      <c r="AA1048389"/>
      <c r="AB1048389"/>
    </row>
    <row r="1048390" spans="1:28">
      <c r="A1048390"/>
      <c r="B1048390"/>
      <c r="C1048390"/>
      <c r="D1048390"/>
      <c r="E1048390"/>
      <c r="F1048390"/>
      <c r="G1048390"/>
      <c r="H1048390"/>
      <c r="I1048390"/>
      <c r="J1048390"/>
      <c r="K1048390"/>
      <c r="L1048390"/>
      <c r="M1048390"/>
      <c r="N1048390"/>
      <c r="O1048390"/>
      <c r="P1048390"/>
      <c r="Q1048390"/>
      <c r="R1048390"/>
      <c r="S1048390"/>
      <c r="T1048390"/>
      <c r="U1048390"/>
      <c r="V1048390"/>
      <c r="W1048390"/>
      <c r="X1048390"/>
      <c r="Y1048390"/>
      <c r="Z1048390"/>
      <c r="AA1048390"/>
      <c r="AB1048390"/>
    </row>
    <row r="1048391" spans="1:28">
      <c r="A1048391"/>
      <c r="B1048391"/>
      <c r="C1048391"/>
      <c r="D1048391"/>
      <c r="E1048391"/>
      <c r="F1048391"/>
      <c r="G1048391"/>
      <c r="H1048391"/>
      <c r="I1048391"/>
      <c r="J1048391"/>
      <c r="K1048391"/>
      <c r="L1048391"/>
      <c r="M1048391"/>
      <c r="N1048391"/>
      <c r="O1048391"/>
      <c r="P1048391"/>
      <c r="Q1048391"/>
      <c r="R1048391"/>
      <c r="S1048391"/>
      <c r="T1048391"/>
      <c r="U1048391"/>
      <c r="V1048391"/>
      <c r="W1048391"/>
      <c r="X1048391"/>
      <c r="Y1048391"/>
      <c r="Z1048391"/>
      <c r="AA1048391"/>
      <c r="AB1048391"/>
    </row>
    <row r="1048392" spans="1:28">
      <c r="A1048392"/>
      <c r="B1048392"/>
      <c r="C1048392"/>
      <c r="D1048392"/>
      <c r="E1048392"/>
      <c r="F1048392"/>
      <c r="G1048392"/>
      <c r="H1048392"/>
      <c r="I1048392"/>
      <c r="J1048392"/>
      <c r="K1048392"/>
      <c r="L1048392"/>
      <c r="M1048392"/>
      <c r="N1048392"/>
      <c r="O1048392"/>
      <c r="P1048392"/>
      <c r="Q1048392"/>
      <c r="R1048392"/>
      <c r="S1048392"/>
      <c r="T1048392"/>
      <c r="U1048392"/>
      <c r="V1048392"/>
      <c r="W1048392"/>
      <c r="X1048392"/>
      <c r="Y1048392"/>
      <c r="Z1048392"/>
      <c r="AA1048392"/>
      <c r="AB1048392"/>
    </row>
    <row r="1048393" spans="1:28">
      <c r="A1048393"/>
      <c r="B1048393"/>
      <c r="C1048393"/>
      <c r="D1048393"/>
      <c r="E1048393"/>
      <c r="F1048393"/>
      <c r="G1048393"/>
      <c r="H1048393"/>
      <c r="I1048393"/>
      <c r="J1048393"/>
      <c r="K1048393"/>
      <c r="L1048393"/>
      <c r="M1048393"/>
      <c r="N1048393"/>
      <c r="O1048393"/>
      <c r="P1048393"/>
      <c r="Q1048393"/>
      <c r="R1048393"/>
      <c r="S1048393"/>
      <c r="T1048393"/>
      <c r="U1048393"/>
      <c r="V1048393"/>
      <c r="W1048393"/>
      <c r="X1048393"/>
      <c r="Y1048393"/>
      <c r="Z1048393"/>
      <c r="AA1048393"/>
      <c r="AB1048393"/>
    </row>
    <row r="1048394" spans="1:28">
      <c r="A1048394"/>
      <c r="B1048394"/>
      <c r="C1048394"/>
      <c r="D1048394"/>
      <c r="E1048394"/>
      <c r="F1048394"/>
      <c r="G1048394"/>
      <c r="H1048394"/>
      <c r="I1048394"/>
      <c r="J1048394"/>
      <c r="K1048394"/>
      <c r="L1048394"/>
      <c r="M1048394"/>
      <c r="N1048394"/>
      <c r="O1048394"/>
      <c r="P1048394"/>
      <c r="Q1048394"/>
      <c r="R1048394"/>
      <c r="S1048394"/>
      <c r="T1048394"/>
      <c r="U1048394"/>
      <c r="V1048394"/>
      <c r="W1048394"/>
      <c r="X1048394"/>
      <c r="Y1048394"/>
      <c r="Z1048394"/>
      <c r="AA1048394"/>
      <c r="AB1048394"/>
    </row>
    <row r="1048395" spans="1:28">
      <c r="A1048395"/>
      <c r="B1048395"/>
      <c r="C1048395"/>
      <c r="D1048395"/>
      <c r="E1048395"/>
      <c r="F1048395"/>
      <c r="G1048395"/>
      <c r="H1048395"/>
      <c r="I1048395"/>
      <c r="J1048395"/>
      <c r="K1048395"/>
      <c r="L1048395"/>
      <c r="M1048395"/>
      <c r="N1048395"/>
      <c r="O1048395"/>
      <c r="P1048395"/>
      <c r="Q1048395"/>
      <c r="R1048395"/>
      <c r="S1048395"/>
      <c r="T1048395"/>
      <c r="U1048395"/>
      <c r="V1048395"/>
      <c r="W1048395"/>
      <c r="X1048395"/>
      <c r="Y1048395"/>
      <c r="Z1048395"/>
      <c r="AA1048395"/>
      <c r="AB1048395"/>
    </row>
    <row r="1048396" spans="1:28">
      <c r="A1048396"/>
      <c r="B1048396"/>
      <c r="C1048396"/>
      <c r="D1048396"/>
      <c r="E1048396"/>
      <c r="F1048396"/>
      <c r="G1048396"/>
      <c r="H1048396"/>
      <c r="I1048396"/>
      <c r="J1048396"/>
      <c r="K1048396"/>
      <c r="L1048396"/>
      <c r="M1048396"/>
      <c r="N1048396"/>
      <c r="O1048396"/>
      <c r="P1048396"/>
      <c r="Q1048396"/>
      <c r="R1048396"/>
      <c r="S1048396"/>
      <c r="T1048396"/>
      <c r="U1048396"/>
      <c r="V1048396"/>
      <c r="W1048396"/>
      <c r="X1048396"/>
      <c r="Y1048396"/>
      <c r="Z1048396"/>
      <c r="AA1048396"/>
      <c r="AB1048396"/>
    </row>
    <row r="1048397" spans="1:28">
      <c r="A1048397"/>
      <c r="B1048397"/>
      <c r="C1048397"/>
      <c r="D1048397"/>
      <c r="E1048397"/>
      <c r="F1048397"/>
      <c r="G1048397"/>
      <c r="H1048397"/>
      <c r="I1048397"/>
      <c r="J1048397"/>
      <c r="K1048397"/>
      <c r="L1048397"/>
      <c r="M1048397"/>
      <c r="N1048397"/>
      <c r="O1048397"/>
      <c r="P1048397"/>
      <c r="Q1048397"/>
      <c r="R1048397"/>
      <c r="S1048397"/>
      <c r="T1048397"/>
      <c r="U1048397"/>
      <c r="V1048397"/>
      <c r="W1048397"/>
      <c r="X1048397"/>
      <c r="Y1048397"/>
      <c r="Z1048397"/>
      <c r="AA1048397"/>
      <c r="AB1048397"/>
    </row>
    <row r="1048398" spans="1:28">
      <c r="A1048398"/>
      <c r="B1048398"/>
      <c r="C1048398"/>
      <c r="D1048398"/>
      <c r="E1048398"/>
      <c r="F1048398"/>
      <c r="G1048398"/>
      <c r="H1048398"/>
      <c r="I1048398"/>
      <c r="J1048398"/>
      <c r="K1048398"/>
      <c r="L1048398"/>
      <c r="M1048398"/>
      <c r="N1048398"/>
      <c r="O1048398"/>
      <c r="P1048398"/>
      <c r="Q1048398"/>
      <c r="R1048398"/>
      <c r="S1048398"/>
      <c r="T1048398"/>
      <c r="U1048398"/>
      <c r="V1048398"/>
      <c r="W1048398"/>
      <c r="X1048398"/>
      <c r="Y1048398"/>
      <c r="Z1048398"/>
      <c r="AA1048398"/>
      <c r="AB1048398"/>
    </row>
    <row r="1048399" spans="1:28">
      <c r="A1048399"/>
      <c r="B1048399"/>
      <c r="C1048399"/>
      <c r="D1048399"/>
      <c r="E1048399"/>
      <c r="F1048399"/>
      <c r="G1048399"/>
      <c r="H1048399"/>
      <c r="I1048399"/>
      <c r="J1048399"/>
      <c r="K1048399"/>
      <c r="L1048399"/>
      <c r="M1048399"/>
      <c r="N1048399"/>
      <c r="O1048399"/>
      <c r="P1048399"/>
      <c r="Q1048399"/>
      <c r="R1048399"/>
      <c r="S1048399"/>
      <c r="T1048399"/>
      <c r="U1048399"/>
      <c r="V1048399"/>
      <c r="W1048399"/>
      <c r="X1048399"/>
      <c r="Y1048399"/>
      <c r="Z1048399"/>
      <c r="AA1048399"/>
      <c r="AB1048399"/>
    </row>
    <row r="1048400" spans="1:28">
      <c r="A1048400"/>
      <c r="B1048400"/>
      <c r="C1048400"/>
      <c r="D1048400"/>
      <c r="E1048400"/>
      <c r="F1048400"/>
      <c r="G1048400"/>
      <c r="H1048400"/>
      <c r="I1048400"/>
      <c r="J1048400"/>
      <c r="K1048400"/>
      <c r="L1048400"/>
      <c r="M1048400"/>
      <c r="N1048400"/>
      <c r="O1048400"/>
      <c r="P1048400"/>
      <c r="Q1048400"/>
      <c r="R1048400"/>
      <c r="S1048400"/>
      <c r="T1048400"/>
      <c r="U1048400"/>
      <c r="V1048400"/>
      <c r="W1048400"/>
      <c r="X1048400"/>
      <c r="Y1048400"/>
      <c r="Z1048400"/>
      <c r="AA1048400"/>
      <c r="AB1048400"/>
    </row>
    <row r="1048401" spans="1:28">
      <c r="A1048401"/>
      <c r="B1048401"/>
      <c r="C1048401"/>
      <c r="D1048401"/>
      <c r="E1048401"/>
      <c r="F1048401"/>
      <c r="G1048401"/>
      <c r="H1048401"/>
      <c r="I1048401"/>
      <c r="J1048401"/>
      <c r="K1048401"/>
      <c r="L1048401"/>
      <c r="M1048401"/>
      <c r="N1048401"/>
      <c r="O1048401"/>
      <c r="P1048401"/>
      <c r="Q1048401"/>
      <c r="R1048401"/>
      <c r="S1048401"/>
      <c r="T1048401"/>
      <c r="U1048401"/>
      <c r="V1048401"/>
      <c r="W1048401"/>
      <c r="X1048401"/>
      <c r="Y1048401"/>
      <c r="Z1048401"/>
      <c r="AA1048401"/>
      <c r="AB1048401"/>
    </row>
    <row r="1048402" spans="1:28">
      <c r="A1048402"/>
      <c r="B1048402"/>
      <c r="C1048402"/>
      <c r="D1048402"/>
      <c r="E1048402"/>
      <c r="F1048402"/>
      <c r="G1048402"/>
      <c r="H1048402"/>
      <c r="I1048402"/>
      <c r="J1048402"/>
      <c r="K1048402"/>
      <c r="L1048402"/>
      <c r="M1048402"/>
      <c r="N1048402"/>
      <c r="O1048402"/>
      <c r="P1048402"/>
      <c r="Q1048402"/>
      <c r="R1048402"/>
      <c r="S1048402"/>
      <c r="T1048402"/>
      <c r="U1048402"/>
      <c r="V1048402"/>
      <c r="W1048402"/>
      <c r="X1048402"/>
      <c r="Y1048402"/>
      <c r="Z1048402"/>
      <c r="AA1048402"/>
      <c r="AB1048402"/>
    </row>
    <row r="1048403" spans="1:28">
      <c r="A1048403"/>
      <c r="B1048403"/>
      <c r="C1048403"/>
      <c r="D1048403"/>
      <c r="E1048403"/>
      <c r="F1048403"/>
      <c r="G1048403"/>
      <c r="H1048403"/>
      <c r="I1048403"/>
      <c r="J1048403"/>
      <c r="K1048403"/>
      <c r="L1048403"/>
      <c r="M1048403"/>
      <c r="N1048403"/>
      <c r="O1048403"/>
      <c r="P1048403"/>
      <c r="Q1048403"/>
      <c r="R1048403"/>
      <c r="S1048403"/>
      <c r="T1048403"/>
      <c r="U1048403"/>
      <c r="V1048403"/>
      <c r="W1048403"/>
      <c r="X1048403"/>
      <c r="Y1048403"/>
      <c r="Z1048403"/>
      <c r="AA1048403"/>
      <c r="AB1048403"/>
    </row>
    <row r="1048404" spans="1:28">
      <c r="A1048404"/>
      <c r="B1048404"/>
      <c r="C1048404"/>
      <c r="D1048404"/>
      <c r="E1048404"/>
      <c r="F1048404"/>
      <c r="G1048404"/>
      <c r="H1048404"/>
      <c r="I1048404"/>
      <c r="J1048404"/>
      <c r="K1048404"/>
      <c r="L1048404"/>
      <c r="M1048404"/>
      <c r="N1048404"/>
      <c r="O1048404"/>
      <c r="P1048404"/>
      <c r="Q1048404"/>
      <c r="R1048404"/>
      <c r="S1048404"/>
      <c r="T1048404"/>
      <c r="U1048404"/>
      <c r="V1048404"/>
      <c r="W1048404"/>
      <c r="X1048404"/>
      <c r="Y1048404"/>
      <c r="Z1048404"/>
      <c r="AA1048404"/>
      <c r="AB1048404"/>
    </row>
    <row r="1048405" spans="1:28">
      <c r="A1048405"/>
      <c r="B1048405"/>
      <c r="C1048405"/>
      <c r="D1048405"/>
      <c r="E1048405"/>
      <c r="F1048405"/>
      <c r="G1048405"/>
      <c r="H1048405"/>
      <c r="I1048405"/>
      <c r="J1048405"/>
      <c r="K1048405"/>
      <c r="L1048405"/>
      <c r="M1048405"/>
      <c r="N1048405"/>
      <c r="O1048405"/>
      <c r="P1048405"/>
      <c r="Q1048405"/>
      <c r="R1048405"/>
      <c r="S1048405"/>
      <c r="T1048405"/>
      <c r="U1048405"/>
      <c r="V1048405"/>
      <c r="W1048405"/>
      <c r="X1048405"/>
      <c r="Y1048405"/>
      <c r="Z1048405"/>
      <c r="AA1048405"/>
      <c r="AB1048405"/>
    </row>
    <row r="1048406" spans="1:28">
      <c r="A1048406"/>
      <c r="B1048406"/>
      <c r="C1048406"/>
      <c r="D1048406"/>
      <c r="E1048406"/>
      <c r="F1048406"/>
      <c r="G1048406"/>
      <c r="H1048406"/>
      <c r="I1048406"/>
      <c r="J1048406"/>
      <c r="K1048406"/>
      <c r="L1048406"/>
      <c r="M1048406"/>
      <c r="N1048406"/>
      <c r="O1048406"/>
      <c r="P1048406"/>
      <c r="Q1048406"/>
      <c r="R1048406"/>
      <c r="S1048406"/>
      <c r="T1048406"/>
      <c r="U1048406"/>
      <c r="V1048406"/>
      <c r="W1048406"/>
      <c r="X1048406"/>
      <c r="Y1048406"/>
      <c r="Z1048406"/>
      <c r="AA1048406"/>
      <c r="AB1048406"/>
    </row>
    <row r="1048407" spans="1:28">
      <c r="A1048407"/>
      <c r="B1048407"/>
      <c r="C1048407"/>
      <c r="D1048407"/>
      <c r="E1048407"/>
      <c r="F1048407"/>
      <c r="G1048407"/>
      <c r="H1048407"/>
      <c r="I1048407"/>
      <c r="J1048407"/>
      <c r="K1048407"/>
      <c r="L1048407"/>
      <c r="M1048407"/>
      <c r="N1048407"/>
      <c r="O1048407"/>
      <c r="P1048407"/>
      <c r="Q1048407"/>
      <c r="R1048407"/>
      <c r="S1048407"/>
      <c r="T1048407"/>
      <c r="U1048407"/>
      <c r="V1048407"/>
      <c r="W1048407"/>
      <c r="X1048407"/>
      <c r="Y1048407"/>
      <c r="Z1048407"/>
      <c r="AA1048407"/>
      <c r="AB1048407"/>
    </row>
    <row r="1048408" spans="1:28">
      <c r="A1048408"/>
      <c r="B1048408"/>
      <c r="C1048408"/>
      <c r="D1048408"/>
      <c r="E1048408"/>
      <c r="F1048408"/>
      <c r="G1048408"/>
      <c r="H1048408"/>
      <c r="I1048408"/>
      <c r="J1048408"/>
      <c r="K1048408"/>
      <c r="L1048408"/>
      <c r="M1048408"/>
      <c r="N1048408"/>
      <c r="O1048408"/>
      <c r="P1048408"/>
      <c r="Q1048408"/>
      <c r="R1048408"/>
      <c r="S1048408"/>
      <c r="T1048408"/>
      <c r="U1048408"/>
      <c r="V1048408"/>
      <c r="W1048408"/>
      <c r="X1048408"/>
      <c r="Y1048408"/>
      <c r="Z1048408"/>
      <c r="AA1048408"/>
      <c r="AB1048408"/>
    </row>
    <row r="1048409" spans="1:28">
      <c r="A1048409"/>
      <c r="B1048409"/>
      <c r="C1048409"/>
      <c r="D1048409"/>
      <c r="E1048409"/>
      <c r="F1048409"/>
      <c r="G1048409"/>
      <c r="H1048409"/>
      <c r="I1048409"/>
      <c r="J1048409"/>
      <c r="K1048409"/>
      <c r="L1048409"/>
      <c r="M1048409"/>
      <c r="N1048409"/>
      <c r="O1048409"/>
      <c r="P1048409"/>
      <c r="Q1048409"/>
      <c r="R1048409"/>
      <c r="S1048409"/>
      <c r="T1048409"/>
      <c r="U1048409"/>
      <c r="V1048409"/>
      <c r="W1048409"/>
      <c r="X1048409"/>
      <c r="Y1048409"/>
      <c r="Z1048409"/>
      <c r="AA1048409"/>
      <c r="AB1048409"/>
    </row>
    <row r="1048410" spans="1:28">
      <c r="A1048410"/>
      <c r="B1048410"/>
      <c r="C1048410"/>
      <c r="D1048410"/>
      <c r="E1048410"/>
      <c r="F1048410"/>
      <c r="G1048410"/>
      <c r="H1048410"/>
      <c r="I1048410"/>
      <c r="J1048410"/>
      <c r="K1048410"/>
      <c r="L1048410"/>
      <c r="M1048410"/>
      <c r="N1048410"/>
      <c r="O1048410"/>
      <c r="P1048410"/>
      <c r="Q1048410"/>
      <c r="R1048410"/>
      <c r="S1048410"/>
      <c r="T1048410"/>
      <c r="U1048410"/>
      <c r="V1048410"/>
      <c r="W1048410"/>
      <c r="X1048410"/>
      <c r="Y1048410"/>
      <c r="Z1048410"/>
      <c r="AA1048410"/>
      <c r="AB1048410"/>
    </row>
    <row r="1048411" spans="1:28">
      <c r="A1048411"/>
      <c r="B1048411"/>
      <c r="C1048411"/>
      <c r="D1048411"/>
      <c r="E1048411"/>
      <c r="F1048411"/>
      <c r="G1048411"/>
      <c r="H1048411"/>
      <c r="I1048411"/>
      <c r="J1048411"/>
      <c r="K1048411"/>
      <c r="L1048411"/>
      <c r="M1048411"/>
      <c r="N1048411"/>
      <c r="O1048411"/>
      <c r="P1048411"/>
      <c r="Q1048411"/>
      <c r="R1048411"/>
      <c r="S1048411"/>
      <c r="T1048411"/>
      <c r="U1048411"/>
      <c r="V1048411"/>
      <c r="W1048411"/>
      <c r="X1048411"/>
      <c r="Y1048411"/>
      <c r="Z1048411"/>
      <c r="AA1048411"/>
      <c r="AB1048411"/>
    </row>
    <row r="1048412" spans="1:28">
      <c r="A1048412"/>
      <c r="B1048412"/>
      <c r="C1048412"/>
      <c r="D1048412"/>
      <c r="E1048412"/>
      <c r="F1048412"/>
      <c r="G1048412"/>
      <c r="H1048412"/>
      <c r="I1048412"/>
      <c r="J1048412"/>
      <c r="K1048412"/>
      <c r="L1048412"/>
      <c r="M1048412"/>
      <c r="N1048412"/>
      <c r="O1048412"/>
      <c r="P1048412"/>
      <c r="Q1048412"/>
      <c r="R1048412"/>
      <c r="S1048412"/>
      <c r="T1048412"/>
      <c r="U1048412"/>
      <c r="V1048412"/>
      <c r="W1048412"/>
      <c r="X1048412"/>
      <c r="Y1048412"/>
      <c r="Z1048412"/>
      <c r="AA1048412"/>
      <c r="AB1048412"/>
    </row>
    <row r="1048413" spans="1:28">
      <c r="A1048413"/>
      <c r="B1048413"/>
      <c r="C1048413"/>
      <c r="D1048413"/>
      <c r="E1048413"/>
      <c r="F1048413"/>
      <c r="G1048413"/>
      <c r="H1048413"/>
      <c r="I1048413"/>
      <c r="J1048413"/>
      <c r="K1048413"/>
      <c r="L1048413"/>
      <c r="M1048413"/>
      <c r="N1048413"/>
      <c r="O1048413"/>
      <c r="P1048413"/>
      <c r="Q1048413"/>
      <c r="R1048413"/>
      <c r="S1048413"/>
      <c r="T1048413"/>
      <c r="U1048413"/>
      <c r="V1048413"/>
      <c r="W1048413"/>
      <c r="X1048413"/>
      <c r="Y1048413"/>
      <c r="Z1048413"/>
      <c r="AA1048413"/>
      <c r="AB1048413"/>
    </row>
    <row r="1048414" spans="1:28">
      <c r="A1048414"/>
      <c r="B1048414"/>
      <c r="C1048414"/>
      <c r="D1048414"/>
      <c r="E1048414"/>
      <c r="F1048414"/>
      <c r="G1048414"/>
      <c r="H1048414"/>
      <c r="I1048414"/>
      <c r="J1048414"/>
      <c r="K1048414"/>
      <c r="L1048414"/>
      <c r="M1048414"/>
      <c r="N1048414"/>
      <c r="O1048414"/>
      <c r="P1048414"/>
      <c r="Q1048414"/>
      <c r="R1048414"/>
      <c r="S1048414"/>
      <c r="T1048414"/>
      <c r="U1048414"/>
      <c r="V1048414"/>
      <c r="W1048414"/>
      <c r="X1048414"/>
      <c r="Y1048414"/>
      <c r="Z1048414"/>
      <c r="AA1048414"/>
      <c r="AB1048414"/>
    </row>
    <row r="1048415" spans="1:28">
      <c r="A1048415"/>
      <c r="B1048415"/>
      <c r="C1048415"/>
      <c r="D1048415"/>
      <c r="E1048415"/>
      <c r="F1048415"/>
      <c r="G1048415"/>
      <c r="H1048415"/>
      <c r="I1048415"/>
      <c r="J1048415"/>
      <c r="K1048415"/>
      <c r="L1048415"/>
      <c r="M1048415"/>
      <c r="N1048415"/>
      <c r="O1048415"/>
      <c r="P1048415"/>
      <c r="Q1048415"/>
      <c r="R1048415"/>
      <c r="S1048415"/>
      <c r="T1048415"/>
      <c r="U1048415"/>
      <c r="V1048415"/>
      <c r="W1048415"/>
      <c r="X1048415"/>
      <c r="Y1048415"/>
      <c r="Z1048415"/>
      <c r="AA1048415"/>
      <c r="AB1048415"/>
    </row>
    <row r="1048416" spans="1:28">
      <c r="A1048416"/>
      <c r="B1048416"/>
      <c r="C1048416"/>
      <c r="D1048416"/>
      <c r="E1048416"/>
      <c r="F1048416"/>
      <c r="G1048416"/>
      <c r="H1048416"/>
      <c r="I1048416"/>
      <c r="J1048416"/>
      <c r="K1048416"/>
      <c r="L1048416"/>
      <c r="M1048416"/>
      <c r="N1048416"/>
      <c r="O1048416"/>
      <c r="P1048416"/>
      <c r="Q1048416"/>
      <c r="R1048416"/>
      <c r="S1048416"/>
      <c r="T1048416"/>
      <c r="U1048416"/>
      <c r="V1048416"/>
      <c r="W1048416"/>
      <c r="X1048416"/>
      <c r="Y1048416"/>
      <c r="Z1048416"/>
      <c r="AA1048416"/>
      <c r="AB1048416"/>
    </row>
    <row r="1048417" spans="1:28">
      <c r="A1048417"/>
      <c r="B1048417"/>
      <c r="C1048417"/>
      <c r="D1048417"/>
      <c r="E1048417"/>
      <c r="F1048417"/>
      <c r="G1048417"/>
      <c r="H1048417"/>
      <c r="I1048417"/>
      <c r="J1048417"/>
      <c r="K1048417"/>
      <c r="L1048417"/>
      <c r="M1048417"/>
      <c r="N1048417"/>
      <c r="O1048417"/>
      <c r="P1048417"/>
      <c r="Q1048417"/>
      <c r="R1048417"/>
      <c r="S1048417"/>
      <c r="T1048417"/>
      <c r="U1048417"/>
      <c r="V1048417"/>
      <c r="W1048417"/>
      <c r="X1048417"/>
      <c r="Y1048417"/>
      <c r="Z1048417"/>
      <c r="AA1048417"/>
      <c r="AB1048417"/>
    </row>
    <row r="1048418" spans="1:28">
      <c r="A1048418"/>
      <c r="B1048418"/>
      <c r="C1048418"/>
      <c r="D1048418"/>
      <c r="E1048418"/>
      <c r="F1048418"/>
      <c r="G1048418"/>
      <c r="H1048418"/>
      <c r="I1048418"/>
      <c r="J1048418"/>
      <c r="K1048418"/>
      <c r="L1048418"/>
      <c r="M1048418"/>
      <c r="N1048418"/>
      <c r="O1048418"/>
      <c r="P1048418"/>
      <c r="Q1048418"/>
      <c r="R1048418"/>
      <c r="S1048418"/>
      <c r="T1048418"/>
      <c r="U1048418"/>
      <c r="V1048418"/>
      <c r="W1048418"/>
      <c r="X1048418"/>
      <c r="Y1048418"/>
      <c r="Z1048418"/>
      <c r="AA1048418"/>
      <c r="AB1048418"/>
    </row>
    <row r="1048419" spans="1:28">
      <c r="A1048419"/>
      <c r="B1048419"/>
      <c r="C1048419"/>
      <c r="D1048419"/>
      <c r="E1048419"/>
      <c r="F1048419"/>
      <c r="G1048419"/>
      <c r="H1048419"/>
      <c r="I1048419"/>
      <c r="J1048419"/>
      <c r="K1048419"/>
      <c r="L1048419"/>
      <c r="M1048419"/>
      <c r="N1048419"/>
      <c r="O1048419"/>
      <c r="P1048419"/>
      <c r="Q1048419"/>
      <c r="R1048419"/>
      <c r="S1048419"/>
      <c r="T1048419"/>
      <c r="U1048419"/>
      <c r="V1048419"/>
      <c r="W1048419"/>
      <c r="X1048419"/>
      <c r="Y1048419"/>
      <c r="Z1048419"/>
      <c r="AA1048419"/>
      <c r="AB1048419"/>
    </row>
    <row r="1048420" spans="1:28">
      <c r="A1048420"/>
      <c r="B1048420"/>
      <c r="C1048420"/>
      <c r="D1048420"/>
      <c r="E1048420"/>
      <c r="F1048420"/>
      <c r="G1048420"/>
      <c r="H1048420"/>
      <c r="I1048420"/>
      <c r="J1048420"/>
      <c r="K1048420"/>
      <c r="L1048420"/>
      <c r="M1048420"/>
      <c r="N1048420"/>
      <c r="O1048420"/>
      <c r="P1048420"/>
      <c r="Q1048420"/>
      <c r="R1048420"/>
      <c r="S1048420"/>
      <c r="T1048420"/>
      <c r="U1048420"/>
      <c r="V1048420"/>
      <c r="W1048420"/>
      <c r="X1048420"/>
      <c r="Y1048420"/>
      <c r="Z1048420"/>
      <c r="AA1048420"/>
      <c r="AB1048420"/>
    </row>
    <row r="1048421" spans="1:28">
      <c r="A1048421"/>
      <c r="B1048421"/>
      <c r="C1048421"/>
      <c r="D1048421"/>
      <c r="E1048421"/>
      <c r="F1048421"/>
      <c r="G1048421"/>
      <c r="H1048421"/>
      <c r="I1048421"/>
      <c r="J1048421"/>
      <c r="K1048421"/>
      <c r="L1048421"/>
      <c r="M1048421"/>
      <c r="N1048421"/>
      <c r="O1048421"/>
      <c r="P1048421"/>
      <c r="Q1048421"/>
      <c r="R1048421"/>
      <c r="S1048421"/>
      <c r="T1048421"/>
      <c r="U1048421"/>
      <c r="V1048421"/>
      <c r="W1048421"/>
      <c r="X1048421"/>
      <c r="Y1048421"/>
      <c r="Z1048421"/>
      <c r="AA1048421"/>
      <c r="AB1048421"/>
    </row>
    <row r="1048422" spans="1:28">
      <c r="A1048422"/>
      <c r="B1048422"/>
      <c r="C1048422"/>
      <c r="D1048422"/>
      <c r="E1048422"/>
      <c r="F1048422"/>
      <c r="G1048422"/>
      <c r="H1048422"/>
      <c r="I1048422"/>
      <c r="J1048422"/>
      <c r="K1048422"/>
      <c r="L1048422"/>
      <c r="M1048422"/>
      <c r="N1048422"/>
      <c r="O1048422"/>
      <c r="P1048422"/>
      <c r="Q1048422"/>
      <c r="R1048422"/>
      <c r="S1048422"/>
      <c r="T1048422"/>
      <c r="U1048422"/>
      <c r="V1048422"/>
      <c r="W1048422"/>
      <c r="X1048422"/>
      <c r="Y1048422"/>
      <c r="Z1048422"/>
      <c r="AA1048422"/>
      <c r="AB1048422"/>
    </row>
    <row r="1048423" spans="1:28">
      <c r="A1048423"/>
      <c r="B1048423"/>
      <c r="C1048423"/>
      <c r="D1048423"/>
      <c r="E1048423"/>
      <c r="F1048423"/>
      <c r="G1048423"/>
      <c r="H1048423"/>
      <c r="I1048423"/>
      <c r="J1048423"/>
      <c r="K1048423"/>
      <c r="L1048423"/>
      <c r="M1048423"/>
      <c r="N1048423"/>
      <c r="O1048423"/>
      <c r="P1048423"/>
      <c r="Q1048423"/>
      <c r="R1048423"/>
      <c r="S1048423"/>
      <c r="T1048423"/>
      <c r="U1048423"/>
      <c r="V1048423"/>
      <c r="W1048423"/>
      <c r="X1048423"/>
      <c r="Y1048423"/>
      <c r="Z1048423"/>
      <c r="AA1048423"/>
      <c r="AB1048423"/>
    </row>
    <row r="1048424" spans="1:28">
      <c r="A1048424"/>
      <c r="B1048424"/>
      <c r="C1048424"/>
      <c r="D1048424"/>
      <c r="E1048424"/>
      <c r="F1048424"/>
      <c r="G1048424"/>
      <c r="H1048424"/>
      <c r="I1048424"/>
      <c r="J1048424"/>
      <c r="K1048424"/>
      <c r="L1048424"/>
      <c r="M1048424"/>
      <c r="N1048424"/>
      <c r="O1048424"/>
      <c r="P1048424"/>
      <c r="Q1048424"/>
      <c r="R1048424"/>
      <c r="S1048424"/>
      <c r="T1048424"/>
      <c r="U1048424"/>
      <c r="V1048424"/>
      <c r="W1048424"/>
      <c r="X1048424"/>
      <c r="Y1048424"/>
      <c r="Z1048424"/>
      <c r="AA1048424"/>
      <c r="AB1048424"/>
    </row>
    <row r="1048425" spans="1:28">
      <c r="A1048425"/>
      <c r="B1048425"/>
      <c r="C1048425"/>
      <c r="D1048425"/>
      <c r="E1048425"/>
      <c r="F1048425"/>
      <c r="G1048425"/>
      <c r="H1048425"/>
      <c r="I1048425"/>
      <c r="J1048425"/>
      <c r="K1048425"/>
      <c r="L1048425"/>
      <c r="M1048425"/>
      <c r="N1048425"/>
      <c r="O1048425"/>
      <c r="P1048425"/>
      <c r="Q1048425"/>
      <c r="R1048425"/>
      <c r="S1048425"/>
      <c r="T1048425"/>
      <c r="U1048425"/>
      <c r="V1048425"/>
      <c r="W1048425"/>
      <c r="X1048425"/>
      <c r="Y1048425"/>
      <c r="Z1048425"/>
      <c r="AA1048425"/>
      <c r="AB1048425"/>
    </row>
    <row r="1048426" spans="1:28">
      <c r="A1048426"/>
      <c r="B1048426"/>
      <c r="C1048426"/>
      <c r="D1048426"/>
      <c r="E1048426"/>
      <c r="F1048426"/>
      <c r="G1048426"/>
      <c r="H1048426"/>
      <c r="I1048426"/>
      <c r="J1048426"/>
      <c r="K1048426"/>
      <c r="L1048426"/>
      <c r="M1048426"/>
      <c r="N1048426"/>
      <c r="O1048426"/>
      <c r="P1048426"/>
      <c r="Q1048426"/>
      <c r="R1048426"/>
      <c r="S1048426"/>
      <c r="T1048426"/>
      <c r="U1048426"/>
      <c r="V1048426"/>
      <c r="W1048426"/>
      <c r="X1048426"/>
      <c r="Y1048426"/>
      <c r="Z1048426"/>
      <c r="AA1048426"/>
      <c r="AB1048426"/>
    </row>
    <row r="1048427" spans="1:28">
      <c r="A1048427"/>
      <c r="B1048427"/>
      <c r="C1048427"/>
      <c r="D1048427"/>
      <c r="E1048427"/>
      <c r="F1048427"/>
      <c r="G1048427"/>
      <c r="H1048427"/>
      <c r="I1048427"/>
      <c r="J1048427"/>
      <c r="K1048427"/>
      <c r="L1048427"/>
      <c r="M1048427"/>
      <c r="N1048427"/>
      <c r="O1048427"/>
      <c r="P1048427"/>
      <c r="Q1048427"/>
      <c r="R1048427"/>
      <c r="S1048427"/>
      <c r="T1048427"/>
      <c r="U1048427"/>
      <c r="V1048427"/>
      <c r="W1048427"/>
      <c r="X1048427"/>
      <c r="Y1048427"/>
      <c r="Z1048427"/>
      <c r="AA1048427"/>
      <c r="AB1048427"/>
    </row>
    <row r="1048428" spans="1:28">
      <c r="A1048428"/>
      <c r="B1048428"/>
      <c r="C1048428"/>
      <c r="D1048428"/>
      <c r="E1048428"/>
      <c r="F1048428"/>
      <c r="G1048428"/>
      <c r="H1048428"/>
      <c r="I1048428"/>
      <c r="J1048428"/>
      <c r="K1048428"/>
      <c r="L1048428"/>
      <c r="M1048428"/>
      <c r="N1048428"/>
      <c r="O1048428"/>
      <c r="P1048428"/>
      <c r="Q1048428"/>
      <c r="R1048428"/>
      <c r="S1048428"/>
      <c r="T1048428"/>
      <c r="U1048428"/>
      <c r="V1048428"/>
      <c r="W1048428"/>
      <c r="X1048428"/>
      <c r="Y1048428"/>
      <c r="Z1048428"/>
      <c r="AA1048428"/>
      <c r="AB1048428"/>
    </row>
    <row r="1048429" spans="1:28">
      <c r="A1048429"/>
      <c r="B1048429"/>
      <c r="C1048429"/>
      <c r="D1048429"/>
      <c r="E1048429"/>
      <c r="F1048429"/>
      <c r="G1048429"/>
      <c r="H1048429"/>
      <c r="I1048429"/>
      <c r="J1048429"/>
      <c r="K1048429"/>
      <c r="L1048429"/>
      <c r="M1048429"/>
      <c r="N1048429"/>
      <c r="O1048429"/>
      <c r="P1048429"/>
      <c r="Q1048429"/>
      <c r="R1048429"/>
      <c r="S1048429"/>
      <c r="T1048429"/>
      <c r="U1048429"/>
      <c r="V1048429"/>
      <c r="W1048429"/>
      <c r="X1048429"/>
      <c r="Y1048429"/>
      <c r="Z1048429"/>
      <c r="AA1048429"/>
      <c r="AB1048429"/>
    </row>
    <row r="1048430" spans="1:28">
      <c r="A1048430"/>
      <c r="B1048430"/>
      <c r="C1048430"/>
      <c r="D1048430"/>
      <c r="E1048430"/>
      <c r="F1048430"/>
      <c r="G1048430"/>
      <c r="H1048430"/>
      <c r="I1048430"/>
      <c r="J1048430"/>
      <c r="K1048430"/>
      <c r="L1048430"/>
      <c r="M1048430"/>
      <c r="N1048430"/>
      <c r="O1048430"/>
      <c r="P1048430"/>
      <c r="Q1048430"/>
      <c r="R1048430"/>
      <c r="S1048430"/>
      <c r="T1048430"/>
      <c r="U1048430"/>
      <c r="V1048430"/>
      <c r="W1048430"/>
      <c r="X1048430"/>
      <c r="Y1048430"/>
      <c r="Z1048430"/>
      <c r="AA1048430"/>
      <c r="AB1048430"/>
    </row>
    <row r="1048431" spans="1:28">
      <c r="A1048431"/>
      <c r="B1048431"/>
      <c r="C1048431"/>
      <c r="D1048431"/>
      <c r="E1048431"/>
      <c r="F1048431"/>
      <c r="G1048431"/>
      <c r="H1048431"/>
      <c r="I1048431"/>
      <c r="J1048431"/>
      <c r="K1048431"/>
      <c r="L1048431"/>
      <c r="M1048431"/>
      <c r="N1048431"/>
      <c r="O1048431"/>
      <c r="P1048431"/>
      <c r="Q1048431"/>
      <c r="R1048431"/>
      <c r="S1048431"/>
      <c r="T1048431"/>
      <c r="U1048431"/>
      <c r="V1048431"/>
      <c r="W1048431"/>
      <c r="X1048431"/>
      <c r="Y1048431"/>
      <c r="Z1048431"/>
      <c r="AA1048431"/>
      <c r="AB1048431"/>
    </row>
    <row r="1048432" spans="1:28">
      <c r="A1048432"/>
      <c r="B1048432"/>
      <c r="C1048432"/>
      <c r="D1048432"/>
      <c r="E1048432"/>
      <c r="F1048432"/>
      <c r="G1048432"/>
      <c r="H1048432"/>
      <c r="I1048432"/>
      <c r="J1048432"/>
      <c r="K1048432"/>
      <c r="L1048432"/>
      <c r="M1048432"/>
      <c r="N1048432"/>
      <c r="O1048432"/>
      <c r="P1048432"/>
      <c r="Q1048432"/>
      <c r="R1048432"/>
      <c r="S1048432"/>
      <c r="T1048432"/>
      <c r="U1048432"/>
      <c r="V1048432"/>
      <c r="W1048432"/>
      <c r="X1048432"/>
      <c r="Y1048432"/>
      <c r="Z1048432"/>
      <c r="AA1048432"/>
      <c r="AB1048432"/>
    </row>
    <row r="1048433" spans="1:28">
      <c r="A1048433"/>
      <c r="B1048433"/>
      <c r="C1048433"/>
      <c r="D1048433"/>
      <c r="E1048433"/>
      <c r="F1048433"/>
      <c r="G1048433"/>
      <c r="H1048433"/>
      <c r="I1048433"/>
      <c r="J1048433"/>
      <c r="K1048433"/>
      <c r="L1048433"/>
      <c r="M1048433"/>
      <c r="N1048433"/>
      <c r="O1048433"/>
      <c r="P1048433"/>
      <c r="Q1048433"/>
      <c r="R1048433"/>
      <c r="S1048433"/>
      <c r="T1048433"/>
      <c r="U1048433"/>
      <c r="V1048433"/>
      <c r="W1048433"/>
      <c r="X1048433"/>
      <c r="Y1048433"/>
      <c r="Z1048433"/>
      <c r="AA1048433"/>
      <c r="AB1048433"/>
    </row>
    <row r="1048434" spans="1:28">
      <c r="A1048434"/>
      <c r="B1048434"/>
      <c r="C1048434"/>
      <c r="D1048434"/>
      <c r="E1048434"/>
      <c r="F1048434"/>
      <c r="G1048434"/>
      <c r="H1048434"/>
      <c r="I1048434"/>
      <c r="J1048434"/>
      <c r="K1048434"/>
      <c r="L1048434"/>
      <c r="M1048434"/>
      <c r="N1048434"/>
      <c r="O1048434"/>
      <c r="P1048434"/>
      <c r="Q1048434"/>
      <c r="R1048434"/>
      <c r="S1048434"/>
      <c r="T1048434"/>
      <c r="U1048434"/>
      <c r="V1048434"/>
      <c r="W1048434"/>
      <c r="X1048434"/>
      <c r="Y1048434"/>
      <c r="Z1048434"/>
      <c r="AA1048434"/>
      <c r="AB1048434"/>
    </row>
    <row r="1048435" spans="1:28">
      <c r="A1048435"/>
      <c r="B1048435"/>
      <c r="C1048435"/>
      <c r="D1048435"/>
      <c r="E1048435"/>
      <c r="F1048435"/>
      <c r="G1048435"/>
      <c r="H1048435"/>
      <c r="I1048435"/>
      <c r="J1048435"/>
      <c r="K1048435"/>
      <c r="L1048435"/>
      <c r="M1048435"/>
      <c r="N1048435"/>
      <c r="O1048435"/>
      <c r="P1048435"/>
      <c r="Q1048435"/>
      <c r="R1048435"/>
      <c r="S1048435"/>
      <c r="T1048435"/>
      <c r="U1048435"/>
      <c r="V1048435"/>
      <c r="W1048435"/>
      <c r="X1048435"/>
      <c r="Y1048435"/>
      <c r="Z1048435"/>
      <c r="AA1048435"/>
      <c r="AB1048435"/>
    </row>
    <row r="1048436" spans="1:28">
      <c r="A1048436"/>
      <c r="B1048436"/>
      <c r="C1048436"/>
      <c r="D1048436"/>
      <c r="E1048436"/>
      <c r="F1048436"/>
      <c r="G1048436"/>
      <c r="H1048436"/>
      <c r="I1048436"/>
      <c r="J1048436"/>
      <c r="K1048436"/>
      <c r="L1048436"/>
      <c r="M1048436"/>
      <c r="N1048436"/>
      <c r="O1048436"/>
      <c r="P1048436"/>
      <c r="Q1048436"/>
      <c r="R1048436"/>
      <c r="S1048436"/>
      <c r="T1048436"/>
      <c r="U1048436"/>
      <c r="V1048436"/>
      <c r="W1048436"/>
      <c r="X1048436"/>
      <c r="Y1048436"/>
      <c r="Z1048436"/>
      <c r="AA1048436"/>
      <c r="AB1048436"/>
    </row>
    <row r="1048437" spans="1:28">
      <c r="A1048437"/>
      <c r="B1048437"/>
      <c r="C1048437"/>
      <c r="D1048437"/>
      <c r="E1048437"/>
      <c r="F1048437"/>
      <c r="G1048437"/>
      <c r="H1048437"/>
      <c r="I1048437"/>
      <c r="J1048437"/>
      <c r="K1048437"/>
      <c r="L1048437"/>
      <c r="M1048437"/>
      <c r="N1048437"/>
      <c r="O1048437"/>
      <c r="P1048437"/>
      <c r="Q1048437"/>
      <c r="R1048437"/>
      <c r="S1048437"/>
      <c r="T1048437"/>
      <c r="U1048437"/>
      <c r="V1048437"/>
      <c r="W1048437"/>
      <c r="X1048437"/>
      <c r="Y1048437"/>
      <c r="Z1048437"/>
      <c r="AA1048437"/>
      <c r="AB1048437"/>
    </row>
    <row r="1048438" spans="1:28">
      <c r="A1048438"/>
      <c r="B1048438"/>
      <c r="C1048438"/>
      <c r="D1048438"/>
      <c r="E1048438"/>
      <c r="F1048438"/>
      <c r="G1048438"/>
      <c r="H1048438"/>
      <c r="I1048438"/>
      <c r="J1048438"/>
      <c r="K1048438"/>
      <c r="L1048438"/>
      <c r="M1048438"/>
      <c r="N1048438"/>
      <c r="O1048438"/>
      <c r="P1048438"/>
      <c r="Q1048438"/>
      <c r="R1048438"/>
      <c r="S1048438"/>
      <c r="T1048438"/>
      <c r="U1048438"/>
      <c r="V1048438"/>
      <c r="W1048438"/>
      <c r="X1048438"/>
      <c r="Y1048438"/>
      <c r="Z1048438"/>
      <c r="AA1048438"/>
      <c r="AB1048438"/>
    </row>
    <row r="1048439" spans="1:28">
      <c r="A1048439"/>
      <c r="B1048439"/>
      <c r="C1048439"/>
      <c r="D1048439"/>
      <c r="E1048439"/>
      <c r="F1048439"/>
      <c r="G1048439"/>
      <c r="H1048439"/>
      <c r="I1048439"/>
      <c r="J1048439"/>
      <c r="K1048439"/>
      <c r="L1048439"/>
      <c r="M1048439"/>
      <c r="N1048439"/>
      <c r="O1048439"/>
      <c r="P1048439"/>
      <c r="Q1048439"/>
      <c r="R1048439"/>
      <c r="S1048439"/>
      <c r="T1048439"/>
      <c r="U1048439"/>
      <c r="V1048439"/>
      <c r="W1048439"/>
      <c r="X1048439"/>
      <c r="Y1048439"/>
      <c r="Z1048439"/>
      <c r="AA1048439"/>
      <c r="AB1048439"/>
    </row>
    <row r="1048440" spans="1:28">
      <c r="A1048440"/>
      <c r="B1048440"/>
      <c r="C1048440"/>
      <c r="D1048440"/>
      <c r="E1048440"/>
      <c r="F1048440"/>
      <c r="G1048440"/>
      <c r="H1048440"/>
      <c r="I1048440"/>
      <c r="J1048440"/>
      <c r="K1048440"/>
      <c r="L1048440"/>
      <c r="M1048440"/>
      <c r="N1048440"/>
      <c r="O1048440"/>
      <c r="P1048440"/>
      <c r="Q1048440"/>
      <c r="R1048440"/>
      <c r="S1048440"/>
      <c r="T1048440"/>
      <c r="U1048440"/>
      <c r="V1048440"/>
      <c r="W1048440"/>
      <c r="X1048440"/>
      <c r="Y1048440"/>
      <c r="Z1048440"/>
      <c r="AA1048440"/>
      <c r="AB1048440"/>
    </row>
    <row r="1048441" spans="1:28">
      <c r="A1048441"/>
      <c r="B1048441"/>
      <c r="C1048441"/>
      <c r="D1048441"/>
      <c r="E1048441"/>
      <c r="F1048441"/>
      <c r="G1048441"/>
      <c r="H1048441"/>
      <c r="I1048441"/>
      <c r="J1048441"/>
      <c r="K1048441"/>
      <c r="L1048441"/>
      <c r="M1048441"/>
      <c r="N1048441"/>
      <c r="O1048441"/>
      <c r="P1048441"/>
      <c r="Q1048441"/>
      <c r="R1048441"/>
      <c r="S1048441"/>
      <c r="T1048441"/>
      <c r="U1048441"/>
      <c r="V1048441"/>
      <c r="W1048441"/>
      <c r="X1048441"/>
      <c r="Y1048441"/>
      <c r="Z1048441"/>
      <c r="AA1048441"/>
      <c r="AB1048441"/>
    </row>
    <row r="1048442" spans="1:28">
      <c r="A1048442"/>
      <c r="B1048442"/>
      <c r="C1048442"/>
      <c r="D1048442"/>
      <c r="E1048442"/>
      <c r="F1048442"/>
      <c r="G1048442"/>
      <c r="H1048442"/>
      <c r="I1048442"/>
      <c r="J1048442"/>
      <c r="K1048442"/>
      <c r="L1048442"/>
      <c r="M1048442"/>
      <c r="N1048442"/>
      <c r="O1048442"/>
      <c r="P1048442"/>
      <c r="Q1048442"/>
      <c r="R1048442"/>
      <c r="S1048442"/>
      <c r="T1048442"/>
      <c r="U1048442"/>
      <c r="V1048442"/>
      <c r="W1048442"/>
      <c r="X1048442"/>
      <c r="Y1048442"/>
      <c r="Z1048442"/>
      <c r="AA1048442"/>
      <c r="AB1048442"/>
    </row>
    <row r="1048443" spans="1:28">
      <c r="A1048443"/>
      <c r="B1048443"/>
      <c r="C1048443"/>
      <c r="D1048443"/>
      <c r="E1048443"/>
      <c r="F1048443"/>
      <c r="G1048443"/>
      <c r="H1048443"/>
      <c r="I1048443"/>
      <c r="J1048443"/>
      <c r="K1048443"/>
      <c r="L1048443"/>
      <c r="M1048443"/>
      <c r="N1048443"/>
      <c r="O1048443"/>
      <c r="P1048443"/>
      <c r="Q1048443"/>
      <c r="R1048443"/>
      <c r="S1048443"/>
      <c r="T1048443"/>
      <c r="U1048443"/>
      <c r="V1048443"/>
      <c r="W1048443"/>
      <c r="X1048443"/>
      <c r="Y1048443"/>
      <c r="Z1048443"/>
      <c r="AA1048443"/>
      <c r="AB1048443"/>
    </row>
    <row r="1048444" spans="1:28">
      <c r="A1048444"/>
      <c r="B1048444"/>
      <c r="C1048444"/>
      <c r="D1048444"/>
      <c r="E1048444"/>
      <c r="F1048444"/>
      <c r="G1048444"/>
      <c r="H1048444"/>
      <c r="I1048444"/>
      <c r="J1048444"/>
      <c r="K1048444"/>
      <c r="L1048444"/>
      <c r="M1048444"/>
      <c r="N1048444"/>
      <c r="O1048444"/>
      <c r="P1048444"/>
      <c r="Q1048444"/>
      <c r="R1048444"/>
      <c r="S1048444"/>
      <c r="T1048444"/>
      <c r="U1048444"/>
      <c r="V1048444"/>
      <c r="W1048444"/>
      <c r="X1048444"/>
      <c r="Y1048444"/>
      <c r="Z1048444"/>
      <c r="AA1048444"/>
      <c r="AB1048444"/>
    </row>
    <row r="1048445" spans="1:28">
      <c r="A1048445"/>
      <c r="B1048445"/>
      <c r="C1048445"/>
      <c r="D1048445"/>
      <c r="E1048445"/>
      <c r="F1048445"/>
      <c r="G1048445"/>
      <c r="H1048445"/>
      <c r="I1048445"/>
      <c r="J1048445"/>
      <c r="K1048445"/>
      <c r="L1048445"/>
      <c r="M1048445"/>
      <c r="N1048445"/>
      <c r="O1048445"/>
      <c r="P1048445"/>
      <c r="Q1048445"/>
      <c r="R1048445"/>
      <c r="S1048445"/>
      <c r="T1048445"/>
      <c r="U1048445"/>
      <c r="V1048445"/>
      <c r="W1048445"/>
      <c r="X1048445"/>
      <c r="Y1048445"/>
      <c r="Z1048445"/>
      <c r="AA1048445"/>
      <c r="AB1048445"/>
    </row>
    <row r="1048446" spans="1:28">
      <c r="A1048446"/>
      <c r="B1048446"/>
      <c r="C1048446"/>
      <c r="D1048446"/>
      <c r="E1048446"/>
      <c r="F1048446"/>
      <c r="G1048446"/>
      <c r="H1048446"/>
      <c r="I1048446"/>
      <c r="J1048446"/>
      <c r="K1048446"/>
      <c r="L1048446"/>
      <c r="M1048446"/>
      <c r="N1048446"/>
      <c r="O1048446"/>
      <c r="P1048446"/>
      <c r="Q1048446"/>
      <c r="R1048446"/>
      <c r="S1048446"/>
      <c r="T1048446"/>
      <c r="U1048446"/>
      <c r="V1048446"/>
      <c r="W1048446"/>
      <c r="X1048446"/>
      <c r="Y1048446"/>
      <c r="Z1048446"/>
      <c r="AA1048446"/>
      <c r="AB1048446"/>
    </row>
    <row r="1048447" spans="1:28">
      <c r="A1048447"/>
      <c r="B1048447"/>
      <c r="C1048447"/>
      <c r="D1048447"/>
      <c r="E1048447"/>
      <c r="F1048447"/>
      <c r="G1048447"/>
      <c r="H1048447"/>
      <c r="I1048447"/>
      <c r="J1048447"/>
      <c r="K1048447"/>
      <c r="L1048447"/>
      <c r="M1048447"/>
      <c r="N1048447"/>
      <c r="O1048447"/>
      <c r="P1048447"/>
      <c r="Q1048447"/>
      <c r="R1048447"/>
      <c r="S1048447"/>
      <c r="T1048447"/>
      <c r="U1048447"/>
      <c r="V1048447"/>
      <c r="W1048447"/>
      <c r="X1048447"/>
      <c r="Y1048447"/>
      <c r="Z1048447"/>
      <c r="AA1048447"/>
      <c r="AB1048447"/>
    </row>
    <row r="1048448" spans="1:28">
      <c r="A1048448"/>
      <c r="B1048448"/>
      <c r="C1048448"/>
      <c r="D1048448"/>
      <c r="E1048448"/>
      <c r="F1048448"/>
      <c r="G1048448"/>
      <c r="H1048448"/>
      <c r="I1048448"/>
      <c r="J1048448"/>
      <c r="K1048448"/>
      <c r="L1048448"/>
      <c r="M1048448"/>
      <c r="N1048448"/>
      <c r="O1048448"/>
      <c r="P1048448"/>
      <c r="Q1048448"/>
      <c r="R1048448"/>
      <c r="S1048448"/>
      <c r="T1048448"/>
      <c r="U1048448"/>
      <c r="V1048448"/>
      <c r="W1048448"/>
      <c r="X1048448"/>
      <c r="Y1048448"/>
      <c r="Z1048448"/>
      <c r="AA1048448"/>
      <c r="AB1048448"/>
    </row>
    <row r="1048449" spans="1:28">
      <c r="A1048449"/>
      <c r="B1048449"/>
      <c r="C1048449"/>
      <c r="D1048449"/>
      <c r="E1048449"/>
      <c r="F1048449"/>
      <c r="G1048449"/>
      <c r="H1048449"/>
      <c r="I1048449"/>
      <c r="J1048449"/>
      <c r="K1048449"/>
      <c r="L1048449"/>
      <c r="M1048449"/>
      <c r="N1048449"/>
      <c r="O1048449"/>
      <c r="P1048449"/>
      <c r="Q1048449"/>
      <c r="R1048449"/>
      <c r="S1048449"/>
      <c r="T1048449"/>
      <c r="U1048449"/>
      <c r="V1048449"/>
      <c r="W1048449"/>
      <c r="X1048449"/>
      <c r="Y1048449"/>
      <c r="Z1048449"/>
      <c r="AA1048449"/>
      <c r="AB1048449"/>
    </row>
    <row r="1048450" spans="1:28">
      <c r="A1048450"/>
      <c r="B1048450"/>
      <c r="C1048450"/>
      <c r="D1048450"/>
      <c r="E1048450"/>
      <c r="F1048450"/>
      <c r="G1048450"/>
      <c r="H1048450"/>
      <c r="I1048450"/>
      <c r="J1048450"/>
      <c r="K1048450"/>
      <c r="L1048450"/>
      <c r="M1048450"/>
      <c r="N1048450"/>
      <c r="O1048450"/>
      <c r="P1048450"/>
      <c r="Q1048450"/>
      <c r="R1048450"/>
      <c r="S1048450"/>
      <c r="T1048450"/>
      <c r="U1048450"/>
      <c r="V1048450"/>
      <c r="W1048450"/>
      <c r="X1048450"/>
      <c r="Y1048450"/>
      <c r="Z1048450"/>
      <c r="AA1048450"/>
      <c r="AB1048450"/>
    </row>
    <row r="1048451" spans="1:28">
      <c r="A1048451"/>
      <c r="B1048451"/>
      <c r="C1048451"/>
      <c r="D1048451"/>
      <c r="E1048451"/>
      <c r="F1048451"/>
      <c r="G1048451"/>
      <c r="H1048451"/>
      <c r="I1048451"/>
      <c r="J1048451"/>
      <c r="K1048451"/>
      <c r="L1048451"/>
      <c r="M1048451"/>
      <c r="N1048451"/>
      <c r="O1048451"/>
      <c r="P1048451"/>
      <c r="Q1048451"/>
      <c r="R1048451"/>
      <c r="S1048451"/>
      <c r="T1048451"/>
      <c r="U1048451"/>
      <c r="V1048451"/>
      <c r="W1048451"/>
      <c r="X1048451"/>
      <c r="Y1048451"/>
      <c r="Z1048451"/>
      <c r="AA1048451"/>
      <c r="AB1048451"/>
    </row>
    <row r="1048452" spans="1:28">
      <c r="A1048452"/>
      <c r="B1048452"/>
      <c r="C1048452"/>
      <c r="D1048452"/>
      <c r="E1048452"/>
      <c r="F1048452"/>
      <c r="G1048452"/>
      <c r="H1048452"/>
      <c r="I1048452"/>
      <c r="J1048452"/>
      <c r="K1048452"/>
      <c r="L1048452"/>
      <c r="M1048452"/>
      <c r="N1048452"/>
      <c r="O1048452"/>
      <c r="P1048452"/>
      <c r="Q1048452"/>
      <c r="R1048452"/>
      <c r="S1048452"/>
      <c r="T1048452"/>
      <c r="U1048452"/>
      <c r="V1048452"/>
      <c r="W1048452"/>
      <c r="X1048452"/>
      <c r="Y1048452"/>
      <c r="Z1048452"/>
      <c r="AA1048452"/>
      <c r="AB1048452"/>
    </row>
    <row r="1048453" spans="1:28">
      <c r="A1048453"/>
      <c r="B1048453"/>
      <c r="C1048453"/>
      <c r="D1048453"/>
      <c r="E1048453"/>
      <c r="F1048453"/>
      <c r="G1048453"/>
      <c r="H1048453"/>
      <c r="I1048453"/>
      <c r="J1048453"/>
      <c r="K1048453"/>
      <c r="L1048453"/>
      <c r="M1048453"/>
      <c r="N1048453"/>
      <c r="O1048453"/>
      <c r="P1048453"/>
      <c r="Q1048453"/>
      <c r="R1048453"/>
      <c r="S1048453"/>
      <c r="T1048453"/>
      <c r="U1048453"/>
      <c r="V1048453"/>
      <c r="W1048453"/>
      <c r="X1048453"/>
      <c r="Y1048453"/>
      <c r="Z1048453"/>
      <c r="AA1048453"/>
      <c r="AB1048453"/>
    </row>
    <row r="1048454" spans="1:28">
      <c r="A1048454"/>
      <c r="B1048454"/>
      <c r="C1048454"/>
      <c r="D1048454"/>
      <c r="E1048454"/>
      <c r="F1048454"/>
      <c r="G1048454"/>
      <c r="H1048454"/>
      <c r="I1048454"/>
      <c r="J1048454"/>
      <c r="K1048454"/>
      <c r="L1048454"/>
      <c r="M1048454"/>
      <c r="N1048454"/>
      <c r="O1048454"/>
      <c r="P1048454"/>
      <c r="Q1048454"/>
      <c r="R1048454"/>
      <c r="S1048454"/>
      <c r="T1048454"/>
      <c r="U1048454"/>
      <c r="V1048454"/>
      <c r="W1048454"/>
      <c r="X1048454"/>
      <c r="Y1048454"/>
      <c r="Z1048454"/>
      <c r="AA1048454"/>
      <c r="AB1048454"/>
    </row>
    <row r="1048455" spans="1:28">
      <c r="A1048455"/>
      <c r="B1048455"/>
      <c r="C1048455"/>
      <c r="D1048455"/>
      <c r="E1048455"/>
      <c r="F1048455"/>
      <c r="G1048455"/>
      <c r="H1048455"/>
      <c r="I1048455"/>
      <c r="J1048455"/>
      <c r="K1048455"/>
      <c r="L1048455"/>
      <c r="M1048455"/>
      <c r="N1048455"/>
      <c r="O1048455"/>
      <c r="P1048455"/>
      <c r="Q1048455"/>
      <c r="R1048455"/>
      <c r="S1048455"/>
      <c r="T1048455"/>
      <c r="U1048455"/>
      <c r="V1048455"/>
      <c r="W1048455"/>
      <c r="X1048455"/>
      <c r="Y1048455"/>
      <c r="Z1048455"/>
      <c r="AA1048455"/>
      <c r="AB1048455"/>
    </row>
    <row r="1048456" spans="1:28">
      <c r="A1048456"/>
      <c r="B1048456"/>
      <c r="C1048456"/>
      <c r="D1048456"/>
      <c r="E1048456"/>
      <c r="F1048456"/>
      <c r="G1048456"/>
      <c r="H1048456"/>
      <c r="I1048456"/>
      <c r="J1048456"/>
      <c r="K1048456"/>
      <c r="L1048456"/>
      <c r="M1048456"/>
      <c r="N1048456"/>
      <c r="O1048456"/>
      <c r="P1048456"/>
      <c r="Q1048456"/>
      <c r="R1048456"/>
      <c r="S1048456"/>
      <c r="T1048456"/>
      <c r="U1048456"/>
      <c r="V1048456"/>
      <c r="W1048456"/>
      <c r="X1048456"/>
      <c r="Y1048456"/>
      <c r="Z1048456"/>
      <c r="AA1048456"/>
      <c r="AB1048456"/>
    </row>
    <row r="1048457" spans="1:28">
      <c r="A1048457"/>
      <c r="B1048457"/>
      <c r="C1048457"/>
      <c r="D1048457"/>
      <c r="E1048457"/>
      <c r="F1048457"/>
      <c r="G1048457"/>
      <c r="H1048457"/>
      <c r="I1048457"/>
      <c r="J1048457"/>
      <c r="K1048457"/>
      <c r="L1048457"/>
      <c r="M1048457"/>
      <c r="N1048457"/>
      <c r="O1048457"/>
      <c r="P1048457"/>
      <c r="Q1048457"/>
      <c r="R1048457"/>
      <c r="S1048457"/>
      <c r="T1048457"/>
      <c r="U1048457"/>
      <c r="V1048457"/>
      <c r="W1048457"/>
      <c r="X1048457"/>
      <c r="Y1048457"/>
      <c r="Z1048457"/>
      <c r="AA1048457"/>
      <c r="AB1048457"/>
    </row>
    <row r="1048458" spans="1:28">
      <c r="A1048458"/>
      <c r="B1048458"/>
      <c r="C1048458"/>
      <c r="D1048458"/>
      <c r="E1048458"/>
      <c r="F1048458"/>
      <c r="G1048458"/>
      <c r="H1048458"/>
      <c r="I1048458"/>
      <c r="J1048458"/>
      <c r="K1048458"/>
      <c r="L1048458"/>
      <c r="M1048458"/>
      <c r="N1048458"/>
      <c r="O1048458"/>
      <c r="P1048458"/>
      <c r="Q1048458"/>
      <c r="R1048458"/>
      <c r="S1048458"/>
      <c r="T1048458"/>
      <c r="U1048458"/>
      <c r="V1048458"/>
      <c r="W1048458"/>
      <c r="X1048458"/>
      <c r="Y1048458"/>
      <c r="Z1048458"/>
      <c r="AA1048458"/>
      <c r="AB1048458"/>
    </row>
    <row r="1048459" spans="1:28">
      <c r="A1048459"/>
      <c r="B1048459"/>
      <c r="C1048459"/>
      <c r="D1048459"/>
      <c r="E1048459"/>
      <c r="F1048459"/>
      <c r="G1048459"/>
      <c r="H1048459"/>
      <c r="I1048459"/>
      <c r="J1048459"/>
      <c r="K1048459"/>
      <c r="L1048459"/>
      <c r="M1048459"/>
      <c r="N1048459"/>
      <c r="O1048459"/>
      <c r="P1048459"/>
      <c r="Q1048459"/>
      <c r="R1048459"/>
      <c r="S1048459"/>
      <c r="T1048459"/>
      <c r="U1048459"/>
      <c r="V1048459"/>
      <c r="W1048459"/>
      <c r="X1048459"/>
      <c r="Y1048459"/>
      <c r="Z1048459"/>
      <c r="AA1048459"/>
      <c r="AB1048459"/>
    </row>
    <row r="1048460" spans="1:28">
      <c r="A1048460"/>
      <c r="B1048460"/>
      <c r="C1048460"/>
      <c r="D1048460"/>
      <c r="E1048460"/>
      <c r="F1048460"/>
      <c r="G1048460"/>
      <c r="H1048460"/>
      <c r="I1048460"/>
      <c r="J1048460"/>
      <c r="K1048460"/>
      <c r="L1048460"/>
      <c r="M1048460"/>
      <c r="N1048460"/>
      <c r="O1048460"/>
      <c r="P1048460"/>
      <c r="Q1048460"/>
      <c r="R1048460"/>
      <c r="S1048460"/>
      <c r="T1048460"/>
      <c r="U1048460"/>
      <c r="V1048460"/>
      <c r="W1048460"/>
      <c r="X1048460"/>
      <c r="Y1048460"/>
      <c r="Z1048460"/>
      <c r="AA1048460"/>
      <c r="AB1048460"/>
    </row>
    <row r="1048461" spans="1:28">
      <c r="A1048461"/>
      <c r="B1048461"/>
      <c r="C1048461"/>
      <c r="D1048461"/>
      <c r="E1048461"/>
      <c r="F1048461"/>
      <c r="G1048461"/>
      <c r="H1048461"/>
      <c r="I1048461"/>
      <c r="J1048461"/>
      <c r="K1048461"/>
      <c r="L1048461"/>
      <c r="M1048461"/>
      <c r="N1048461"/>
      <c r="O1048461"/>
      <c r="P1048461"/>
      <c r="Q1048461"/>
      <c r="R1048461"/>
      <c r="S1048461"/>
      <c r="T1048461"/>
      <c r="U1048461"/>
      <c r="V1048461"/>
      <c r="W1048461"/>
      <c r="X1048461"/>
      <c r="Y1048461"/>
      <c r="Z1048461"/>
      <c r="AA1048461"/>
      <c r="AB1048461"/>
    </row>
    <row r="1048462" spans="1:28">
      <c r="A1048462"/>
      <c r="B1048462"/>
      <c r="C1048462"/>
      <c r="D1048462"/>
      <c r="E1048462"/>
      <c r="F1048462"/>
      <c r="G1048462"/>
      <c r="H1048462"/>
      <c r="I1048462"/>
      <c r="J1048462"/>
      <c r="K1048462"/>
      <c r="L1048462"/>
      <c r="M1048462"/>
      <c r="N1048462"/>
      <c r="O1048462"/>
      <c r="P1048462"/>
      <c r="Q1048462"/>
      <c r="R1048462"/>
      <c r="S1048462"/>
      <c r="T1048462"/>
      <c r="U1048462"/>
      <c r="V1048462"/>
      <c r="W1048462"/>
      <c r="X1048462"/>
      <c r="Y1048462"/>
      <c r="Z1048462"/>
      <c r="AA1048462"/>
      <c r="AB1048462"/>
    </row>
    <row r="1048463" spans="1:28">
      <c r="A1048463"/>
      <c r="B1048463"/>
      <c r="C1048463"/>
      <c r="D1048463"/>
      <c r="E1048463"/>
      <c r="F1048463"/>
      <c r="G1048463"/>
      <c r="H1048463"/>
      <c r="I1048463"/>
      <c r="J1048463"/>
      <c r="K1048463"/>
      <c r="L1048463"/>
      <c r="M1048463"/>
      <c r="N1048463"/>
      <c r="O1048463"/>
      <c r="P1048463"/>
      <c r="Q1048463"/>
      <c r="R1048463"/>
      <c r="S1048463"/>
      <c r="T1048463"/>
      <c r="U1048463"/>
      <c r="V1048463"/>
      <c r="W1048463"/>
      <c r="X1048463"/>
      <c r="Y1048463"/>
      <c r="Z1048463"/>
      <c r="AA1048463"/>
      <c r="AB1048463"/>
    </row>
    <row r="1048464" spans="1:28">
      <c r="A1048464"/>
      <c r="B1048464"/>
      <c r="C1048464"/>
      <c r="D1048464"/>
      <c r="E1048464"/>
      <c r="F1048464"/>
      <c r="G1048464"/>
      <c r="H1048464"/>
      <c r="I1048464"/>
      <c r="J1048464"/>
      <c r="K1048464"/>
      <c r="L1048464"/>
      <c r="M1048464"/>
      <c r="N1048464"/>
      <c r="O1048464"/>
      <c r="P1048464"/>
      <c r="Q1048464"/>
      <c r="R1048464"/>
      <c r="S1048464"/>
      <c r="T1048464"/>
      <c r="U1048464"/>
      <c r="V1048464"/>
      <c r="W1048464"/>
      <c r="X1048464"/>
      <c r="Y1048464"/>
      <c r="Z1048464"/>
      <c r="AA1048464"/>
      <c r="AB1048464"/>
    </row>
    <row r="1048465" spans="1:28">
      <c r="A1048465"/>
      <c r="B1048465"/>
      <c r="C1048465"/>
      <c r="D1048465"/>
      <c r="E1048465"/>
      <c r="F1048465"/>
      <c r="G1048465"/>
      <c r="H1048465"/>
      <c r="I1048465"/>
      <c r="J1048465"/>
      <c r="K1048465"/>
      <c r="L1048465"/>
      <c r="M1048465"/>
      <c r="N1048465"/>
      <c r="O1048465"/>
      <c r="P1048465"/>
      <c r="Q1048465"/>
      <c r="R1048465"/>
      <c r="S1048465"/>
      <c r="T1048465"/>
      <c r="U1048465"/>
      <c r="V1048465"/>
      <c r="W1048465"/>
      <c r="X1048465"/>
      <c r="Y1048465"/>
      <c r="Z1048465"/>
      <c r="AA1048465"/>
      <c r="AB1048465"/>
    </row>
    <row r="1048466" spans="1:28">
      <c r="A1048466"/>
      <c r="B1048466"/>
      <c r="C1048466"/>
      <c r="D1048466"/>
      <c r="E1048466"/>
      <c r="F1048466"/>
      <c r="G1048466"/>
      <c r="H1048466"/>
      <c r="I1048466"/>
      <c r="J1048466"/>
      <c r="K1048466"/>
      <c r="L1048466"/>
      <c r="M1048466"/>
      <c r="N1048466"/>
      <c r="O1048466"/>
      <c r="P1048466"/>
      <c r="Q1048466"/>
      <c r="R1048466"/>
      <c r="S1048466"/>
      <c r="T1048466"/>
      <c r="U1048466"/>
      <c r="V1048466"/>
      <c r="W1048466"/>
      <c r="X1048466"/>
      <c r="Y1048466"/>
      <c r="Z1048466"/>
      <c r="AA1048466"/>
      <c r="AB1048466"/>
    </row>
    <row r="1048467" spans="1:28">
      <c r="A1048467"/>
      <c r="B1048467"/>
      <c r="C1048467"/>
      <c r="D1048467"/>
      <c r="E1048467"/>
      <c r="F1048467"/>
      <c r="G1048467"/>
      <c r="H1048467"/>
      <c r="I1048467"/>
      <c r="J1048467"/>
      <c r="K1048467"/>
      <c r="L1048467"/>
      <c r="M1048467"/>
      <c r="N1048467"/>
      <c r="O1048467"/>
      <c r="P1048467"/>
      <c r="Q1048467"/>
      <c r="R1048467"/>
      <c r="S1048467"/>
      <c r="T1048467"/>
      <c r="U1048467"/>
      <c r="V1048467"/>
      <c r="W1048467"/>
      <c r="X1048467"/>
      <c r="Y1048467"/>
      <c r="Z1048467"/>
      <c r="AA1048467"/>
      <c r="AB1048467"/>
    </row>
    <row r="1048468" spans="1:28">
      <c r="A1048468"/>
      <c r="B1048468"/>
      <c r="C1048468"/>
      <c r="D1048468"/>
      <c r="E1048468"/>
      <c r="F1048468"/>
      <c r="G1048468"/>
      <c r="H1048468"/>
      <c r="I1048468"/>
      <c r="J1048468"/>
      <c r="K1048468"/>
      <c r="L1048468"/>
      <c r="M1048468"/>
      <c r="N1048468"/>
      <c r="O1048468"/>
      <c r="P1048468"/>
      <c r="Q1048468"/>
      <c r="R1048468"/>
      <c r="S1048468"/>
      <c r="T1048468"/>
      <c r="U1048468"/>
      <c r="V1048468"/>
      <c r="W1048468"/>
      <c r="X1048468"/>
      <c r="Y1048468"/>
      <c r="Z1048468"/>
      <c r="AA1048468"/>
      <c r="AB1048468"/>
    </row>
    <row r="1048469" spans="1:28">
      <c r="A1048469"/>
      <c r="B1048469"/>
      <c r="C1048469"/>
      <c r="D1048469"/>
      <c r="E1048469"/>
      <c r="F1048469"/>
      <c r="G1048469"/>
      <c r="H1048469"/>
      <c r="I1048469"/>
      <c r="J1048469"/>
      <c r="K1048469"/>
      <c r="L1048469"/>
      <c r="M1048469"/>
      <c r="N1048469"/>
      <c r="O1048469"/>
      <c r="P1048469"/>
      <c r="Q1048469"/>
      <c r="R1048469"/>
      <c r="S1048469"/>
      <c r="T1048469"/>
      <c r="U1048469"/>
      <c r="V1048469"/>
      <c r="W1048469"/>
      <c r="X1048469"/>
      <c r="Y1048469"/>
      <c r="Z1048469"/>
      <c r="AA1048469"/>
      <c r="AB1048469"/>
    </row>
    <row r="1048470" spans="1:28">
      <c r="A1048470"/>
      <c r="B1048470"/>
      <c r="C1048470"/>
      <c r="D1048470"/>
      <c r="E1048470"/>
      <c r="F1048470"/>
      <c r="G1048470"/>
      <c r="H1048470"/>
      <c r="I1048470"/>
      <c r="J1048470"/>
      <c r="K1048470"/>
      <c r="L1048470"/>
      <c r="M1048470"/>
      <c r="N1048470"/>
      <c r="O1048470"/>
      <c r="P1048470"/>
      <c r="Q1048470"/>
      <c r="R1048470"/>
      <c r="S1048470"/>
      <c r="T1048470"/>
      <c r="U1048470"/>
      <c r="V1048470"/>
      <c r="W1048470"/>
      <c r="X1048470"/>
      <c r="Y1048470"/>
      <c r="Z1048470"/>
      <c r="AA1048470"/>
      <c r="AB1048470"/>
    </row>
    <row r="1048471" spans="1:28">
      <c r="A1048471"/>
      <c r="B1048471"/>
      <c r="C1048471"/>
      <c r="D1048471"/>
      <c r="E1048471"/>
      <c r="F1048471"/>
      <c r="G1048471"/>
      <c r="H1048471"/>
      <c r="I1048471"/>
      <c r="J1048471"/>
      <c r="K1048471"/>
      <c r="L1048471"/>
      <c r="M1048471"/>
      <c r="N1048471"/>
      <c r="O1048471"/>
      <c r="P1048471"/>
      <c r="Q1048471"/>
      <c r="R1048471"/>
      <c r="S1048471"/>
      <c r="T1048471"/>
      <c r="U1048471"/>
      <c r="V1048471"/>
      <c r="W1048471"/>
      <c r="X1048471"/>
      <c r="Y1048471"/>
      <c r="Z1048471"/>
      <c r="AA1048471"/>
      <c r="AB1048471"/>
    </row>
    <row r="1048472" spans="1:28">
      <c r="A1048472"/>
      <c r="B1048472"/>
      <c r="C1048472"/>
      <c r="D1048472"/>
      <c r="E1048472"/>
      <c r="F1048472"/>
      <c r="G1048472"/>
      <c r="H1048472"/>
      <c r="I1048472"/>
      <c r="J1048472"/>
      <c r="K1048472"/>
      <c r="L1048472"/>
      <c r="M1048472"/>
      <c r="N1048472"/>
      <c r="O1048472"/>
      <c r="P1048472"/>
      <c r="Q1048472"/>
      <c r="R1048472"/>
      <c r="S1048472"/>
      <c r="T1048472"/>
      <c r="U1048472"/>
      <c r="V1048472"/>
      <c r="W1048472"/>
      <c r="X1048472"/>
      <c r="Y1048472"/>
      <c r="Z1048472"/>
      <c r="AA1048472"/>
      <c r="AB1048472"/>
    </row>
    <row r="1048473" spans="1:28">
      <c r="A1048473"/>
      <c r="B1048473"/>
      <c r="C1048473"/>
      <c r="D1048473"/>
      <c r="E1048473"/>
      <c r="F1048473"/>
      <c r="G1048473"/>
      <c r="H1048473"/>
      <c r="I1048473"/>
      <c r="J1048473"/>
      <c r="K1048473"/>
      <c r="L1048473"/>
      <c r="M1048473"/>
      <c r="N1048473"/>
      <c r="O1048473"/>
      <c r="P1048473"/>
      <c r="Q1048473"/>
      <c r="R1048473"/>
      <c r="S1048473"/>
      <c r="T1048473"/>
      <c r="U1048473"/>
      <c r="V1048473"/>
      <c r="W1048473"/>
      <c r="X1048473"/>
      <c r="Y1048473"/>
      <c r="Z1048473"/>
      <c r="AA1048473"/>
      <c r="AB1048473"/>
    </row>
    <row r="1048474" spans="1:28">
      <c r="A1048474"/>
      <c r="B1048474"/>
      <c r="C1048474"/>
      <c r="D1048474"/>
      <c r="E1048474"/>
      <c r="F1048474"/>
      <c r="G1048474"/>
      <c r="H1048474"/>
      <c r="I1048474"/>
      <c r="J1048474"/>
      <c r="K1048474"/>
      <c r="L1048474"/>
      <c r="M1048474"/>
      <c r="N1048474"/>
      <c r="O1048474"/>
      <c r="P1048474"/>
      <c r="Q1048474"/>
      <c r="R1048474"/>
      <c r="S1048474"/>
      <c r="T1048474"/>
      <c r="U1048474"/>
      <c r="V1048474"/>
      <c r="W1048474"/>
      <c r="X1048474"/>
      <c r="Y1048474"/>
      <c r="Z1048474"/>
      <c r="AA1048474"/>
      <c r="AB1048474"/>
    </row>
    <row r="1048475" spans="1:28">
      <c r="A1048475"/>
      <c r="B1048475"/>
      <c r="C1048475"/>
      <c r="D1048475"/>
      <c r="E1048475"/>
      <c r="F1048475"/>
      <c r="G1048475"/>
      <c r="H1048475"/>
      <c r="I1048475"/>
      <c r="J1048475"/>
      <c r="K1048475"/>
      <c r="L1048475"/>
      <c r="M1048475"/>
      <c r="N1048475"/>
      <c r="O1048475"/>
      <c r="P1048475"/>
      <c r="Q1048475"/>
      <c r="R1048475"/>
      <c r="S1048475"/>
      <c r="T1048475"/>
      <c r="U1048475"/>
      <c r="V1048475"/>
      <c r="W1048475"/>
      <c r="X1048475"/>
      <c r="Y1048475"/>
      <c r="Z1048475"/>
      <c r="AA1048475"/>
      <c r="AB1048475"/>
    </row>
    <row r="1048476" spans="1:28">
      <c r="A1048476"/>
      <c r="B1048476"/>
      <c r="C1048476"/>
      <c r="D1048476"/>
      <c r="E1048476"/>
      <c r="F1048476"/>
      <c r="G1048476"/>
      <c r="H1048476"/>
      <c r="I1048476"/>
      <c r="J1048476"/>
      <c r="K1048476"/>
      <c r="L1048476"/>
      <c r="M1048476"/>
      <c r="N1048476"/>
      <c r="O1048476"/>
      <c r="P1048476"/>
      <c r="Q1048476"/>
      <c r="R1048476"/>
      <c r="S1048476"/>
      <c r="T1048476"/>
      <c r="U1048476"/>
      <c r="V1048476"/>
      <c r="W1048476"/>
      <c r="X1048476"/>
      <c r="Y1048476"/>
      <c r="Z1048476"/>
      <c r="AA1048476"/>
      <c r="AB1048476"/>
    </row>
    <row r="1048477" spans="1:28">
      <c r="A1048477"/>
      <c r="B1048477"/>
      <c r="C1048477"/>
      <c r="D1048477"/>
      <c r="E1048477"/>
      <c r="F1048477"/>
      <c r="G1048477"/>
      <c r="H1048477"/>
      <c r="I1048477"/>
      <c r="J1048477"/>
      <c r="K1048477"/>
      <c r="L1048477"/>
      <c r="M1048477"/>
      <c r="N1048477"/>
      <c r="O1048477"/>
      <c r="P1048477"/>
      <c r="Q1048477"/>
      <c r="R1048477"/>
      <c r="S1048477"/>
      <c r="T1048477"/>
      <c r="U1048477"/>
      <c r="V1048477"/>
      <c r="W1048477"/>
      <c r="X1048477"/>
      <c r="Y1048477"/>
      <c r="Z1048477"/>
      <c r="AA1048477"/>
      <c r="AB1048477"/>
    </row>
    <row r="1048478" spans="1:28">
      <c r="A1048478"/>
      <c r="B1048478"/>
      <c r="C1048478"/>
      <c r="D1048478"/>
      <c r="E1048478"/>
      <c r="F1048478"/>
      <c r="G1048478"/>
      <c r="H1048478"/>
      <c r="I1048478"/>
      <c r="J1048478"/>
      <c r="K1048478"/>
      <c r="L1048478"/>
      <c r="M1048478"/>
      <c r="N1048478"/>
      <c r="O1048478"/>
      <c r="P1048478"/>
      <c r="Q1048478"/>
      <c r="R1048478"/>
      <c r="S1048478"/>
      <c r="T1048478"/>
      <c r="U1048478"/>
      <c r="V1048478"/>
      <c r="W1048478"/>
      <c r="X1048478"/>
      <c r="Y1048478"/>
      <c r="Z1048478"/>
      <c r="AA1048478"/>
      <c r="AB1048478"/>
    </row>
    <row r="1048479" spans="1:28">
      <c r="A1048479"/>
      <c r="B1048479"/>
      <c r="C1048479"/>
      <c r="D1048479"/>
      <c r="E1048479"/>
      <c r="F1048479"/>
      <c r="G1048479"/>
      <c r="H1048479"/>
      <c r="I1048479"/>
      <c r="J1048479"/>
      <c r="K1048479"/>
      <c r="L1048479"/>
      <c r="M1048479"/>
      <c r="N1048479"/>
      <c r="O1048479"/>
      <c r="P1048479"/>
      <c r="Q1048479"/>
      <c r="R1048479"/>
      <c r="S1048479"/>
      <c r="T1048479"/>
      <c r="U1048479"/>
      <c r="V1048479"/>
      <c r="W1048479"/>
      <c r="X1048479"/>
      <c r="Y1048479"/>
      <c r="Z1048479"/>
      <c r="AA1048479"/>
      <c r="AB1048479"/>
    </row>
    <row r="1048480" spans="1:28">
      <c r="A1048480"/>
      <c r="B1048480"/>
      <c r="C1048480"/>
      <c r="D1048480"/>
      <c r="E1048480"/>
      <c r="F1048480"/>
      <c r="G1048480"/>
      <c r="H1048480"/>
      <c r="I1048480"/>
      <c r="J1048480"/>
      <c r="K1048480"/>
      <c r="L1048480"/>
      <c r="M1048480"/>
      <c r="N1048480"/>
      <c r="O1048480"/>
      <c r="P1048480"/>
      <c r="Q1048480"/>
      <c r="R1048480"/>
      <c r="S1048480"/>
      <c r="T1048480"/>
      <c r="U1048480"/>
      <c r="V1048480"/>
      <c r="W1048480"/>
      <c r="X1048480"/>
      <c r="Y1048480"/>
      <c r="Z1048480"/>
      <c r="AA1048480"/>
      <c r="AB1048480"/>
    </row>
    <row r="1048481" spans="1:28">
      <c r="A1048481"/>
      <c r="B1048481"/>
      <c r="C1048481"/>
      <c r="D1048481"/>
      <c r="E1048481"/>
      <c r="F1048481"/>
      <c r="G1048481"/>
      <c r="H1048481"/>
      <c r="I1048481"/>
      <c r="J1048481"/>
      <c r="K1048481"/>
      <c r="L1048481"/>
      <c r="M1048481"/>
      <c r="N1048481"/>
      <c r="O1048481"/>
      <c r="P1048481"/>
      <c r="Q1048481"/>
      <c r="R1048481"/>
      <c r="S1048481"/>
      <c r="T1048481"/>
      <c r="U1048481"/>
      <c r="V1048481"/>
      <c r="W1048481"/>
      <c r="X1048481"/>
      <c r="Y1048481"/>
      <c r="Z1048481"/>
      <c r="AA1048481"/>
      <c r="AB1048481"/>
    </row>
    <row r="1048482" spans="1:28">
      <c r="A1048482"/>
      <c r="B1048482"/>
      <c r="C1048482"/>
      <c r="D1048482"/>
      <c r="E1048482"/>
      <c r="F1048482"/>
      <c r="G1048482"/>
      <c r="H1048482"/>
      <c r="I1048482"/>
      <c r="J1048482"/>
      <c r="K1048482"/>
      <c r="L1048482"/>
      <c r="M1048482"/>
      <c r="N1048482"/>
      <c r="O1048482"/>
      <c r="P1048482"/>
      <c r="Q1048482"/>
      <c r="R1048482"/>
      <c r="S1048482"/>
      <c r="T1048482"/>
      <c r="U1048482"/>
      <c r="V1048482"/>
      <c r="W1048482"/>
      <c r="X1048482"/>
      <c r="Y1048482"/>
      <c r="Z1048482"/>
      <c r="AA1048482"/>
      <c r="AB1048482"/>
    </row>
    <row r="1048483" spans="1:28">
      <c r="A1048483"/>
      <c r="B1048483"/>
      <c r="C1048483"/>
      <c r="D1048483"/>
      <c r="E1048483"/>
      <c r="F1048483"/>
      <c r="G1048483"/>
      <c r="H1048483"/>
      <c r="I1048483"/>
      <c r="J1048483"/>
      <c r="K1048483"/>
      <c r="L1048483"/>
      <c r="M1048483"/>
      <c r="N1048483"/>
      <c r="O1048483"/>
      <c r="P1048483"/>
      <c r="Q1048483"/>
      <c r="R1048483"/>
      <c r="S1048483"/>
      <c r="T1048483"/>
      <c r="U1048483"/>
      <c r="V1048483"/>
      <c r="W1048483"/>
      <c r="X1048483"/>
      <c r="Y1048483"/>
      <c r="Z1048483"/>
      <c r="AA1048483"/>
      <c r="AB1048483"/>
    </row>
    <row r="1048484" spans="1:28">
      <c r="A1048484"/>
      <c r="B1048484"/>
      <c r="C1048484"/>
      <c r="D1048484"/>
      <c r="E1048484"/>
      <c r="F1048484"/>
      <c r="G1048484"/>
      <c r="H1048484"/>
      <c r="I1048484"/>
      <c r="J1048484"/>
      <c r="K1048484"/>
      <c r="L1048484"/>
      <c r="M1048484"/>
      <c r="N1048484"/>
      <c r="O1048484"/>
      <c r="P1048484"/>
      <c r="Q1048484"/>
      <c r="R1048484"/>
      <c r="S1048484"/>
      <c r="T1048484"/>
      <c r="U1048484"/>
      <c r="V1048484"/>
      <c r="W1048484"/>
      <c r="X1048484"/>
      <c r="Y1048484"/>
      <c r="Z1048484"/>
      <c r="AA1048484"/>
      <c r="AB1048484"/>
    </row>
    <row r="1048485" spans="1:28">
      <c r="A1048485"/>
      <c r="B1048485"/>
      <c r="C1048485"/>
      <c r="D1048485"/>
      <c r="E1048485"/>
      <c r="F1048485"/>
      <c r="G1048485"/>
      <c r="H1048485"/>
      <c r="I1048485"/>
      <c r="J1048485"/>
      <c r="K1048485"/>
      <c r="L1048485"/>
      <c r="M1048485"/>
      <c r="N1048485"/>
      <c r="O1048485"/>
      <c r="P1048485"/>
      <c r="Q1048485"/>
      <c r="R1048485"/>
      <c r="S1048485"/>
      <c r="T1048485"/>
      <c r="U1048485"/>
      <c r="V1048485"/>
      <c r="W1048485"/>
      <c r="X1048485"/>
      <c r="Y1048485"/>
      <c r="Z1048485"/>
      <c r="AA1048485"/>
      <c r="AB1048485"/>
    </row>
    <row r="1048486" spans="1:28">
      <c r="A1048486"/>
      <c r="B1048486"/>
      <c r="C1048486"/>
      <c r="D1048486"/>
      <c r="E1048486"/>
      <c r="F1048486"/>
      <c r="G1048486"/>
      <c r="H1048486"/>
      <c r="I1048486"/>
      <c r="J1048486"/>
      <c r="K1048486"/>
      <c r="L1048486"/>
      <c r="M1048486"/>
      <c r="N1048486"/>
      <c r="O1048486"/>
      <c r="P1048486"/>
      <c r="Q1048486"/>
      <c r="R1048486"/>
      <c r="S1048486"/>
      <c r="T1048486"/>
      <c r="U1048486"/>
      <c r="V1048486"/>
      <c r="W1048486"/>
      <c r="X1048486"/>
      <c r="Y1048486"/>
      <c r="Z1048486"/>
      <c r="AA1048486"/>
      <c r="AB1048486"/>
    </row>
    <row r="1048487" spans="1:28">
      <c r="A1048487"/>
      <c r="B1048487"/>
      <c r="C1048487"/>
      <c r="D1048487"/>
      <c r="E1048487"/>
      <c r="F1048487"/>
      <c r="G1048487"/>
      <c r="H1048487"/>
      <c r="I1048487"/>
      <c r="J1048487"/>
      <c r="K1048487"/>
      <c r="L1048487"/>
      <c r="M1048487"/>
      <c r="N1048487"/>
      <c r="O1048487"/>
      <c r="P1048487"/>
      <c r="Q1048487"/>
      <c r="R1048487"/>
      <c r="S1048487"/>
      <c r="T1048487"/>
      <c r="U1048487"/>
      <c r="V1048487"/>
      <c r="W1048487"/>
      <c r="X1048487"/>
      <c r="Y1048487"/>
      <c r="Z1048487"/>
      <c r="AA1048487"/>
      <c r="AB1048487"/>
    </row>
    <row r="1048488" spans="1:28">
      <c r="A1048488"/>
      <c r="B1048488"/>
      <c r="C1048488"/>
      <c r="D1048488"/>
      <c r="E1048488"/>
      <c r="F1048488"/>
      <c r="G1048488"/>
      <c r="H1048488"/>
      <c r="I1048488"/>
      <c r="J1048488"/>
      <c r="K1048488"/>
      <c r="L1048488"/>
      <c r="M1048488"/>
      <c r="N1048488"/>
      <c r="O1048488"/>
      <c r="P1048488"/>
      <c r="Q1048488"/>
      <c r="R1048488"/>
      <c r="S1048488"/>
      <c r="T1048488"/>
      <c r="U1048488"/>
      <c r="V1048488"/>
      <c r="W1048488"/>
      <c r="X1048488"/>
      <c r="Y1048488"/>
      <c r="Z1048488"/>
      <c r="AA1048488"/>
      <c r="AB1048488"/>
    </row>
    <row r="1048489" spans="1:28">
      <c r="A1048489"/>
      <c r="B1048489"/>
      <c r="C1048489"/>
      <c r="D1048489"/>
      <c r="E1048489"/>
      <c r="F1048489"/>
      <c r="G1048489"/>
      <c r="H1048489"/>
      <c r="I1048489"/>
      <c r="J1048489"/>
      <c r="K1048489"/>
      <c r="L1048489"/>
      <c r="M1048489"/>
      <c r="N1048489"/>
      <c r="O1048489"/>
      <c r="P1048489"/>
      <c r="Q1048489"/>
      <c r="R1048489"/>
      <c r="S1048489"/>
      <c r="T1048489"/>
      <c r="U1048489"/>
      <c r="V1048489"/>
      <c r="W1048489"/>
      <c r="X1048489"/>
      <c r="Y1048489"/>
      <c r="Z1048489"/>
      <c r="AA1048489"/>
      <c r="AB1048489"/>
    </row>
    <row r="1048490" spans="1:28">
      <c r="A1048490"/>
      <c r="B1048490"/>
      <c r="C1048490"/>
      <c r="D1048490"/>
      <c r="E1048490"/>
      <c r="F1048490"/>
      <c r="G1048490"/>
      <c r="H1048490"/>
      <c r="I1048490"/>
      <c r="J1048490"/>
      <c r="K1048490"/>
      <c r="L1048490"/>
      <c r="M1048490"/>
      <c r="N1048490"/>
      <c r="O1048490"/>
      <c r="P1048490"/>
      <c r="Q1048490"/>
      <c r="R1048490"/>
      <c r="S1048490"/>
      <c r="T1048490"/>
      <c r="U1048490"/>
      <c r="V1048490"/>
      <c r="W1048490"/>
      <c r="X1048490"/>
      <c r="Y1048490"/>
      <c r="Z1048490"/>
      <c r="AA1048490"/>
      <c r="AB1048490"/>
    </row>
    <row r="1048491" spans="1:28">
      <c r="A1048491"/>
      <c r="B1048491"/>
      <c r="C1048491"/>
      <c r="D1048491"/>
      <c r="E1048491"/>
      <c r="F1048491"/>
      <c r="G1048491"/>
      <c r="H1048491"/>
      <c r="I1048491"/>
      <c r="J1048491"/>
      <c r="K1048491"/>
      <c r="L1048491"/>
      <c r="M1048491"/>
      <c r="N1048491"/>
      <c r="O1048491"/>
      <c r="P1048491"/>
      <c r="Q1048491"/>
      <c r="R1048491"/>
      <c r="S1048491"/>
      <c r="T1048491"/>
      <c r="U1048491"/>
      <c r="V1048491"/>
      <c r="W1048491"/>
      <c r="X1048491"/>
      <c r="Y1048491"/>
      <c r="Z1048491"/>
      <c r="AA1048491"/>
      <c r="AB1048491"/>
    </row>
    <row r="1048492" spans="1:28">
      <c r="A1048492"/>
      <c r="B1048492"/>
      <c r="C1048492"/>
      <c r="D1048492"/>
      <c r="E1048492"/>
      <c r="F1048492"/>
      <c r="G1048492"/>
      <c r="H1048492"/>
      <c r="I1048492"/>
      <c r="J1048492"/>
      <c r="K1048492"/>
      <c r="L1048492"/>
      <c r="M1048492"/>
      <c r="N1048492"/>
      <c r="O1048492"/>
      <c r="P1048492"/>
      <c r="Q1048492"/>
      <c r="R1048492"/>
      <c r="S1048492"/>
      <c r="T1048492"/>
      <c r="U1048492"/>
      <c r="V1048492"/>
      <c r="W1048492"/>
      <c r="X1048492"/>
      <c r="Y1048492"/>
      <c r="Z1048492"/>
      <c r="AA1048492"/>
      <c r="AB1048492"/>
    </row>
    <row r="1048493" spans="1:28">
      <c r="A1048493"/>
      <c r="B1048493"/>
      <c r="C1048493"/>
      <c r="D1048493"/>
      <c r="E1048493"/>
      <c r="F1048493"/>
      <c r="G1048493"/>
      <c r="H1048493"/>
      <c r="I1048493"/>
      <c r="J1048493"/>
      <c r="K1048493"/>
      <c r="L1048493"/>
      <c r="M1048493"/>
      <c r="N1048493"/>
      <c r="O1048493"/>
      <c r="P1048493"/>
      <c r="Q1048493"/>
      <c r="R1048493"/>
      <c r="S1048493"/>
      <c r="T1048493"/>
      <c r="U1048493"/>
      <c r="V1048493"/>
      <c r="W1048493"/>
      <c r="X1048493"/>
      <c r="Y1048493"/>
      <c r="Z1048493"/>
      <c r="AA1048493"/>
      <c r="AB1048493"/>
    </row>
    <row r="1048494" spans="1:28">
      <c r="A1048494"/>
      <c r="B1048494"/>
      <c r="C1048494"/>
      <c r="D1048494"/>
      <c r="E1048494"/>
      <c r="F1048494"/>
      <c r="G1048494"/>
      <c r="H1048494"/>
      <c r="I1048494"/>
      <c r="J1048494"/>
      <c r="K1048494"/>
      <c r="L1048494"/>
      <c r="M1048494"/>
      <c r="N1048494"/>
      <c r="O1048494"/>
      <c r="P1048494"/>
      <c r="Q1048494"/>
      <c r="R1048494"/>
      <c r="S1048494"/>
      <c r="T1048494"/>
      <c r="U1048494"/>
      <c r="V1048494"/>
      <c r="W1048494"/>
      <c r="X1048494"/>
      <c r="Y1048494"/>
      <c r="Z1048494"/>
      <c r="AA1048494"/>
      <c r="AB1048494"/>
    </row>
    <row r="1048495" spans="1:28">
      <c r="A1048495"/>
      <c r="B1048495"/>
      <c r="C1048495"/>
      <c r="D1048495"/>
      <c r="E1048495"/>
      <c r="F1048495"/>
      <c r="G1048495"/>
      <c r="H1048495"/>
      <c r="I1048495"/>
      <c r="J1048495"/>
      <c r="K1048495"/>
      <c r="L1048495"/>
      <c r="M1048495"/>
      <c r="N1048495"/>
      <c r="O1048495"/>
      <c r="P1048495"/>
      <c r="Q1048495"/>
      <c r="R1048495"/>
      <c r="S1048495"/>
      <c r="T1048495"/>
      <c r="U1048495"/>
      <c r="V1048495"/>
      <c r="W1048495"/>
      <c r="X1048495"/>
      <c r="Y1048495"/>
      <c r="Z1048495"/>
      <c r="AA1048495"/>
      <c r="AB1048495"/>
    </row>
    <row r="1048496" spans="1:28">
      <c r="A1048496"/>
      <c r="B1048496"/>
      <c r="C1048496"/>
      <c r="D1048496"/>
      <c r="E1048496"/>
      <c r="F1048496"/>
      <c r="G1048496"/>
      <c r="H1048496"/>
      <c r="I1048496"/>
      <c r="J1048496"/>
      <c r="K1048496"/>
      <c r="L1048496"/>
      <c r="M1048496"/>
      <c r="N1048496"/>
      <c r="O1048496"/>
      <c r="P1048496"/>
      <c r="Q1048496"/>
      <c r="R1048496"/>
      <c r="S1048496"/>
      <c r="T1048496"/>
      <c r="U1048496"/>
      <c r="V1048496"/>
      <c r="W1048496"/>
      <c r="X1048496"/>
      <c r="Y1048496"/>
      <c r="Z1048496"/>
      <c r="AA1048496"/>
      <c r="AB1048496"/>
    </row>
    <row r="1048497" spans="1:28">
      <c r="A1048497"/>
      <c r="B1048497"/>
      <c r="C1048497"/>
      <c r="D1048497"/>
      <c r="E1048497"/>
      <c r="F1048497"/>
      <c r="G1048497"/>
      <c r="H1048497"/>
      <c r="I1048497"/>
      <c r="J1048497"/>
      <c r="K1048497"/>
      <c r="L1048497"/>
      <c r="M1048497"/>
      <c r="N1048497"/>
      <c r="O1048497"/>
      <c r="P1048497"/>
      <c r="Q1048497"/>
      <c r="R1048497"/>
      <c r="S1048497"/>
      <c r="T1048497"/>
      <c r="U1048497"/>
      <c r="V1048497"/>
      <c r="W1048497"/>
      <c r="X1048497"/>
      <c r="Y1048497"/>
      <c r="Z1048497"/>
      <c r="AA1048497"/>
      <c r="AB1048497"/>
    </row>
    <row r="1048498" spans="1:28">
      <c r="A1048498"/>
      <c r="B1048498"/>
      <c r="C1048498"/>
      <c r="D1048498"/>
      <c r="E1048498"/>
      <c r="F1048498"/>
      <c r="G1048498"/>
      <c r="H1048498"/>
      <c r="I1048498"/>
      <c r="J1048498"/>
      <c r="K1048498"/>
      <c r="L1048498"/>
      <c r="M1048498"/>
      <c r="N1048498"/>
      <c r="O1048498"/>
      <c r="P1048498"/>
      <c r="Q1048498"/>
      <c r="R1048498"/>
      <c r="S1048498"/>
      <c r="T1048498"/>
      <c r="U1048498"/>
      <c r="V1048498"/>
      <c r="W1048498"/>
      <c r="X1048498"/>
      <c r="Y1048498"/>
      <c r="Z1048498"/>
      <c r="AA1048498"/>
      <c r="AB1048498"/>
    </row>
    <row r="1048499" spans="1:28">
      <c r="A1048499"/>
      <c r="B1048499"/>
      <c r="C1048499"/>
      <c r="D1048499"/>
      <c r="E1048499"/>
      <c r="F1048499"/>
      <c r="G1048499"/>
      <c r="H1048499"/>
      <c r="I1048499"/>
      <c r="J1048499"/>
      <c r="K1048499"/>
      <c r="L1048499"/>
      <c r="M1048499"/>
      <c r="N1048499"/>
      <c r="O1048499"/>
      <c r="P1048499"/>
      <c r="Q1048499"/>
      <c r="R1048499"/>
      <c r="S1048499"/>
      <c r="T1048499"/>
      <c r="U1048499"/>
      <c r="V1048499"/>
      <c r="W1048499"/>
      <c r="X1048499"/>
      <c r="Y1048499"/>
      <c r="Z1048499"/>
      <c r="AA1048499"/>
      <c r="AB1048499"/>
    </row>
    <row r="1048500" spans="1:28">
      <c r="A1048500"/>
      <c r="B1048500"/>
      <c r="C1048500"/>
      <c r="D1048500"/>
      <c r="E1048500"/>
      <c r="F1048500"/>
      <c r="G1048500"/>
      <c r="H1048500"/>
      <c r="I1048500"/>
      <c r="J1048500"/>
      <c r="K1048500"/>
      <c r="L1048500"/>
      <c r="M1048500"/>
      <c r="N1048500"/>
      <c r="O1048500"/>
      <c r="P1048500"/>
      <c r="Q1048500"/>
      <c r="R1048500"/>
      <c r="S1048500"/>
      <c r="T1048500"/>
      <c r="U1048500"/>
      <c r="V1048500"/>
      <c r="W1048500"/>
      <c r="X1048500"/>
      <c r="Y1048500"/>
      <c r="Z1048500"/>
      <c r="AA1048500"/>
      <c r="AB1048500"/>
    </row>
    <row r="1048501" spans="1:28">
      <c r="A1048501"/>
      <c r="B1048501"/>
      <c r="C1048501"/>
      <c r="D1048501"/>
      <c r="E1048501"/>
      <c r="F1048501"/>
      <c r="G1048501"/>
      <c r="H1048501"/>
      <c r="I1048501"/>
      <c r="J1048501"/>
      <c r="K1048501"/>
      <c r="L1048501"/>
      <c r="M1048501"/>
      <c r="N1048501"/>
      <c r="O1048501"/>
      <c r="P1048501"/>
      <c r="Q1048501"/>
      <c r="R1048501"/>
      <c r="S1048501"/>
      <c r="T1048501"/>
      <c r="U1048501"/>
      <c r="V1048501"/>
      <c r="W1048501"/>
      <c r="X1048501"/>
      <c r="Y1048501"/>
      <c r="Z1048501"/>
      <c r="AA1048501"/>
      <c r="AB1048501"/>
    </row>
    <row r="1048502" spans="1:28">
      <c r="A1048502"/>
      <c r="B1048502"/>
      <c r="C1048502"/>
      <c r="D1048502"/>
      <c r="E1048502"/>
      <c r="F1048502"/>
      <c r="G1048502"/>
      <c r="H1048502"/>
      <c r="I1048502"/>
      <c r="J1048502"/>
      <c r="K1048502"/>
      <c r="L1048502"/>
      <c r="M1048502"/>
      <c r="N1048502"/>
      <c r="O1048502"/>
      <c r="P1048502"/>
      <c r="Q1048502"/>
      <c r="R1048502"/>
      <c r="S1048502"/>
      <c r="T1048502"/>
      <c r="U1048502"/>
      <c r="V1048502"/>
      <c r="W1048502"/>
      <c r="X1048502"/>
      <c r="Y1048502"/>
      <c r="Z1048502"/>
      <c r="AA1048502"/>
      <c r="AB1048502"/>
    </row>
    <row r="1048503" spans="1:28">
      <c r="A1048503"/>
      <c r="B1048503"/>
      <c r="C1048503"/>
      <c r="D1048503"/>
      <c r="E1048503"/>
      <c r="F1048503"/>
      <c r="G1048503"/>
      <c r="H1048503"/>
      <c r="I1048503"/>
      <c r="J1048503"/>
      <c r="K1048503"/>
      <c r="L1048503"/>
      <c r="M1048503"/>
      <c r="N1048503"/>
      <c r="O1048503"/>
      <c r="P1048503"/>
      <c r="Q1048503"/>
      <c r="R1048503"/>
      <c r="S1048503"/>
      <c r="T1048503"/>
      <c r="U1048503"/>
      <c r="V1048503"/>
      <c r="W1048503"/>
      <c r="X1048503"/>
      <c r="Y1048503"/>
      <c r="Z1048503"/>
      <c r="AA1048503"/>
      <c r="AB1048503"/>
    </row>
    <row r="1048504" spans="1:28">
      <c r="A1048504"/>
      <c r="B1048504"/>
      <c r="C1048504"/>
      <c r="D1048504"/>
      <c r="E1048504"/>
      <c r="F1048504"/>
      <c r="G1048504"/>
      <c r="H1048504"/>
      <c r="I1048504"/>
      <c r="J1048504"/>
      <c r="K1048504"/>
      <c r="L1048504"/>
      <c r="M1048504"/>
      <c r="N1048504"/>
      <c r="O1048504"/>
      <c r="P1048504"/>
      <c r="Q1048504"/>
      <c r="R1048504"/>
      <c r="S1048504"/>
      <c r="T1048504"/>
      <c r="U1048504"/>
      <c r="V1048504"/>
      <c r="W1048504"/>
      <c r="X1048504"/>
      <c r="Y1048504"/>
      <c r="Z1048504"/>
      <c r="AA1048504"/>
      <c r="AB1048504"/>
    </row>
    <row r="1048505" spans="1:28">
      <c r="A1048505"/>
      <c r="B1048505"/>
      <c r="C1048505"/>
      <c r="D1048505"/>
      <c r="E1048505"/>
      <c r="F1048505"/>
      <c r="G1048505"/>
      <c r="H1048505"/>
      <c r="I1048505"/>
      <c r="J1048505"/>
      <c r="K1048505"/>
      <c r="L1048505"/>
      <c r="M1048505"/>
      <c r="N1048505"/>
      <c r="O1048505"/>
      <c r="P1048505"/>
      <c r="Q1048505"/>
      <c r="R1048505"/>
      <c r="S1048505"/>
      <c r="T1048505"/>
      <c r="U1048505"/>
      <c r="V1048505"/>
      <c r="W1048505"/>
      <c r="X1048505"/>
      <c r="Y1048505"/>
      <c r="Z1048505"/>
      <c r="AA1048505"/>
      <c r="AB1048505"/>
    </row>
    <row r="1048506" spans="1:28">
      <c r="A1048506"/>
      <c r="B1048506"/>
      <c r="C1048506"/>
      <c r="D1048506"/>
      <c r="E1048506"/>
      <c r="F1048506"/>
      <c r="G1048506"/>
      <c r="H1048506"/>
      <c r="I1048506"/>
      <c r="J1048506"/>
      <c r="K1048506"/>
      <c r="L1048506"/>
      <c r="M1048506"/>
      <c r="N1048506"/>
      <c r="O1048506"/>
      <c r="P1048506"/>
      <c r="Q1048506"/>
      <c r="R1048506"/>
      <c r="S1048506"/>
      <c r="T1048506"/>
      <c r="U1048506"/>
      <c r="V1048506"/>
      <c r="W1048506"/>
      <c r="X1048506"/>
      <c r="Y1048506"/>
      <c r="Z1048506"/>
      <c r="AA1048506"/>
      <c r="AB1048506"/>
    </row>
    <row r="1048507" spans="1:28">
      <c r="A1048507"/>
      <c r="B1048507"/>
      <c r="C1048507"/>
      <c r="D1048507"/>
      <c r="E1048507"/>
      <c r="F1048507"/>
      <c r="G1048507"/>
      <c r="H1048507"/>
      <c r="I1048507"/>
      <c r="J1048507"/>
      <c r="K1048507"/>
      <c r="L1048507"/>
      <c r="M1048507"/>
      <c r="N1048507"/>
      <c r="O1048507"/>
      <c r="P1048507"/>
      <c r="Q1048507"/>
      <c r="R1048507"/>
      <c r="S1048507"/>
      <c r="T1048507"/>
      <c r="U1048507"/>
      <c r="V1048507"/>
      <c r="W1048507"/>
      <c r="X1048507"/>
      <c r="Y1048507"/>
      <c r="Z1048507"/>
      <c r="AA1048507"/>
      <c r="AB1048507"/>
    </row>
    <row r="1048508" spans="1:28">
      <c r="A1048508"/>
      <c r="B1048508"/>
      <c r="C1048508"/>
      <c r="D1048508"/>
      <c r="E1048508"/>
      <c r="F1048508"/>
      <c r="G1048508"/>
      <c r="H1048508"/>
      <c r="I1048508"/>
      <c r="J1048508"/>
      <c r="K1048508"/>
      <c r="L1048508"/>
      <c r="M1048508"/>
      <c r="N1048508"/>
      <c r="O1048508"/>
      <c r="P1048508"/>
      <c r="Q1048508"/>
      <c r="R1048508"/>
      <c r="S1048508"/>
      <c r="T1048508"/>
      <c r="U1048508"/>
      <c r="V1048508"/>
      <c r="W1048508"/>
      <c r="X1048508"/>
      <c r="Y1048508"/>
      <c r="Z1048508"/>
      <c r="AA1048508"/>
      <c r="AB1048508"/>
    </row>
    <row r="1048509" spans="1:28">
      <c r="A1048509"/>
      <c r="B1048509"/>
      <c r="C1048509"/>
      <c r="D1048509"/>
      <c r="E1048509"/>
      <c r="F1048509"/>
      <c r="G1048509"/>
      <c r="H1048509"/>
      <c r="I1048509"/>
      <c r="J1048509"/>
      <c r="K1048509"/>
      <c r="L1048509"/>
      <c r="M1048509"/>
      <c r="N1048509"/>
      <c r="O1048509"/>
      <c r="P1048509"/>
      <c r="Q1048509"/>
      <c r="R1048509"/>
      <c r="S1048509"/>
      <c r="T1048509"/>
      <c r="U1048509"/>
      <c r="V1048509"/>
      <c r="W1048509"/>
      <c r="X1048509"/>
      <c r="Y1048509"/>
      <c r="Z1048509"/>
      <c r="AA1048509"/>
      <c r="AB1048509"/>
    </row>
    <row r="1048510" spans="1:28">
      <c r="A1048510"/>
      <c r="B1048510"/>
      <c r="C1048510"/>
      <c r="D1048510"/>
      <c r="E1048510"/>
      <c r="F1048510"/>
      <c r="G1048510"/>
      <c r="H1048510"/>
      <c r="I1048510"/>
      <c r="J1048510"/>
      <c r="K1048510"/>
      <c r="L1048510"/>
      <c r="M1048510"/>
      <c r="N1048510"/>
      <c r="O1048510"/>
      <c r="P1048510"/>
      <c r="Q1048510"/>
      <c r="R1048510"/>
      <c r="S1048510"/>
      <c r="T1048510"/>
      <c r="U1048510"/>
      <c r="V1048510"/>
      <c r="W1048510"/>
      <c r="X1048510"/>
      <c r="Y1048510"/>
      <c r="Z1048510"/>
      <c r="AA1048510"/>
      <c r="AB1048510"/>
    </row>
    <row r="1048511" spans="1:28">
      <c r="A1048511"/>
      <c r="B1048511"/>
      <c r="C1048511"/>
      <c r="D1048511"/>
      <c r="E1048511"/>
      <c r="F1048511"/>
      <c r="G1048511"/>
      <c r="H1048511"/>
      <c r="I1048511"/>
      <c r="J1048511"/>
      <c r="K1048511"/>
      <c r="L1048511"/>
      <c r="M1048511"/>
      <c r="N1048511"/>
      <c r="O1048511"/>
      <c r="P1048511"/>
      <c r="Q1048511"/>
      <c r="R1048511"/>
      <c r="S1048511"/>
      <c r="T1048511"/>
      <c r="U1048511"/>
      <c r="V1048511"/>
      <c r="W1048511"/>
      <c r="X1048511"/>
      <c r="Y1048511"/>
      <c r="Z1048511"/>
      <c r="AA1048511"/>
      <c r="AB1048511"/>
    </row>
    <row r="1048512" spans="1:28">
      <c r="A1048512"/>
      <c r="B1048512"/>
      <c r="C1048512"/>
      <c r="D1048512"/>
      <c r="E1048512"/>
      <c r="F1048512"/>
      <c r="G1048512"/>
      <c r="H1048512"/>
      <c r="I1048512"/>
      <c r="J1048512"/>
      <c r="K1048512"/>
      <c r="L1048512"/>
      <c r="M1048512"/>
      <c r="N1048512"/>
      <c r="O1048512"/>
      <c r="P1048512"/>
      <c r="Q1048512"/>
      <c r="R1048512"/>
      <c r="S1048512"/>
      <c r="T1048512"/>
      <c r="U1048512"/>
      <c r="V1048512"/>
      <c r="W1048512"/>
      <c r="X1048512"/>
      <c r="Y1048512"/>
      <c r="Z1048512"/>
      <c r="AA1048512"/>
      <c r="AB1048512"/>
    </row>
    <row r="1048513" spans="1:28">
      <c r="A1048513"/>
      <c r="B1048513"/>
      <c r="C1048513"/>
      <c r="D1048513"/>
      <c r="E1048513"/>
      <c r="F1048513"/>
      <c r="G1048513"/>
      <c r="H1048513"/>
      <c r="I1048513"/>
      <c r="J1048513"/>
      <c r="K1048513"/>
      <c r="L1048513"/>
      <c r="M1048513"/>
      <c r="N1048513"/>
      <c r="O1048513"/>
      <c r="P1048513"/>
      <c r="Q1048513"/>
      <c r="R1048513"/>
      <c r="S1048513"/>
      <c r="T1048513"/>
      <c r="U1048513"/>
      <c r="V1048513"/>
      <c r="W1048513"/>
      <c r="X1048513"/>
      <c r="Y1048513"/>
      <c r="Z1048513"/>
      <c r="AA1048513"/>
      <c r="AB1048513"/>
    </row>
    <row r="1048514" spans="1:28">
      <c r="A1048514"/>
      <c r="B1048514"/>
      <c r="C1048514"/>
      <c r="D1048514"/>
      <c r="E1048514"/>
      <c r="F1048514"/>
      <c r="G1048514"/>
      <c r="H1048514"/>
      <c r="I1048514"/>
      <c r="J1048514"/>
      <c r="K1048514"/>
      <c r="L1048514"/>
      <c r="M1048514"/>
      <c r="N1048514"/>
      <c r="O1048514"/>
      <c r="P1048514"/>
      <c r="Q1048514"/>
      <c r="R1048514"/>
      <c r="S1048514"/>
      <c r="T1048514"/>
      <c r="U1048514"/>
      <c r="V1048514"/>
      <c r="W1048514"/>
      <c r="X1048514"/>
      <c r="Y1048514"/>
      <c r="Z1048514"/>
      <c r="AA1048514"/>
      <c r="AB1048514"/>
    </row>
    <row r="1048515" spans="1:28">
      <c r="A1048515"/>
      <c r="B1048515"/>
      <c r="C1048515"/>
      <c r="D1048515"/>
      <c r="E1048515"/>
      <c r="F1048515"/>
      <c r="G1048515"/>
      <c r="H1048515"/>
      <c r="I1048515"/>
      <c r="J1048515"/>
      <c r="K1048515"/>
      <c r="L1048515"/>
      <c r="M1048515"/>
      <c r="N1048515"/>
      <c r="O1048515"/>
      <c r="P1048515"/>
      <c r="Q1048515"/>
      <c r="R1048515"/>
      <c r="S1048515"/>
      <c r="T1048515"/>
      <c r="U1048515"/>
      <c r="V1048515"/>
      <c r="W1048515"/>
      <c r="X1048515"/>
      <c r="Y1048515"/>
      <c r="Z1048515"/>
      <c r="AA1048515"/>
      <c r="AB1048515"/>
    </row>
    <row r="1048516" spans="1:28">
      <c r="A1048516"/>
      <c r="B1048516"/>
      <c r="C1048516"/>
      <c r="D1048516"/>
      <c r="E1048516"/>
      <c r="F1048516"/>
      <c r="G1048516"/>
      <c r="H1048516"/>
      <c r="I1048516"/>
      <c r="J1048516"/>
      <c r="K1048516"/>
      <c r="L1048516"/>
      <c r="M1048516"/>
      <c r="N1048516"/>
      <c r="O1048516"/>
      <c r="P1048516"/>
      <c r="Q1048516"/>
      <c r="R1048516"/>
      <c r="S1048516"/>
      <c r="T1048516"/>
      <c r="U1048516"/>
      <c r="V1048516"/>
      <c r="W1048516"/>
      <c r="X1048516"/>
      <c r="Y1048516"/>
      <c r="Z1048516"/>
      <c r="AA1048516"/>
      <c r="AB1048516"/>
    </row>
    <row r="1048517" spans="1:28">
      <c r="A1048517"/>
      <c r="B1048517"/>
      <c r="C1048517"/>
      <c r="D1048517"/>
      <c r="E1048517"/>
      <c r="F1048517"/>
      <c r="G1048517"/>
      <c r="H1048517"/>
      <c r="I1048517"/>
      <c r="J1048517"/>
      <c r="K1048517"/>
      <c r="L1048517"/>
      <c r="M1048517"/>
      <c r="N1048517"/>
      <c r="O1048517"/>
      <c r="P1048517"/>
      <c r="Q1048517"/>
      <c r="R1048517"/>
      <c r="S1048517"/>
      <c r="T1048517"/>
      <c r="U1048517"/>
      <c r="V1048517"/>
      <c r="W1048517"/>
      <c r="X1048517"/>
      <c r="Y1048517"/>
      <c r="Z1048517"/>
      <c r="AA1048517"/>
      <c r="AB1048517"/>
    </row>
    <row r="1048518" spans="1:28">
      <c r="A1048518"/>
      <c r="B1048518"/>
      <c r="C1048518"/>
      <c r="D1048518"/>
      <c r="E1048518"/>
      <c r="F1048518"/>
      <c r="G1048518"/>
      <c r="H1048518"/>
      <c r="I1048518"/>
      <c r="J1048518"/>
      <c r="K1048518"/>
      <c r="L1048518"/>
      <c r="M1048518"/>
      <c r="N1048518"/>
      <c r="O1048518"/>
      <c r="P1048518"/>
      <c r="Q1048518"/>
      <c r="R1048518"/>
      <c r="S1048518"/>
      <c r="T1048518"/>
      <c r="U1048518"/>
      <c r="V1048518"/>
      <c r="W1048518"/>
      <c r="X1048518"/>
      <c r="Y1048518"/>
      <c r="Z1048518"/>
      <c r="AA1048518"/>
      <c r="AB1048518"/>
    </row>
    <row r="1048519" spans="1:28">
      <c r="A1048519"/>
      <c r="B1048519"/>
      <c r="C1048519"/>
      <c r="D1048519"/>
      <c r="E1048519"/>
      <c r="F1048519"/>
      <c r="G1048519"/>
      <c r="H1048519"/>
      <c r="I1048519"/>
      <c r="J1048519"/>
      <c r="K1048519"/>
      <c r="L1048519"/>
      <c r="M1048519"/>
      <c r="N1048519"/>
      <c r="O1048519"/>
      <c r="P1048519"/>
      <c r="Q1048519"/>
      <c r="R1048519"/>
      <c r="S1048519"/>
      <c r="T1048519"/>
      <c r="U1048519"/>
      <c r="V1048519"/>
      <c r="W1048519"/>
      <c r="X1048519"/>
      <c r="Y1048519"/>
      <c r="Z1048519"/>
      <c r="AA1048519"/>
      <c r="AB1048519"/>
    </row>
    <row r="1048520" spans="1:28">
      <c r="A1048520"/>
      <c r="B1048520"/>
      <c r="C1048520"/>
      <c r="D1048520"/>
      <c r="E1048520"/>
      <c r="F1048520"/>
      <c r="G1048520"/>
      <c r="H1048520"/>
      <c r="I1048520"/>
      <c r="J1048520"/>
      <c r="K1048520"/>
      <c r="L1048520"/>
      <c r="M1048520"/>
      <c r="N1048520"/>
      <c r="O1048520"/>
      <c r="P1048520"/>
      <c r="Q1048520"/>
      <c r="R1048520"/>
      <c r="S1048520"/>
      <c r="T1048520"/>
      <c r="U1048520"/>
      <c r="V1048520"/>
      <c r="W1048520"/>
      <c r="X1048520"/>
      <c r="Y1048520"/>
      <c r="Z1048520"/>
      <c r="AA1048520"/>
      <c r="AB1048520"/>
    </row>
    <row r="1048521" spans="1:28">
      <c r="A1048521"/>
      <c r="B1048521"/>
      <c r="C1048521"/>
      <c r="D1048521"/>
      <c r="E1048521"/>
      <c r="F1048521"/>
      <c r="G1048521"/>
      <c r="H1048521"/>
      <c r="I1048521"/>
      <c r="J1048521"/>
      <c r="K1048521"/>
      <c r="L1048521"/>
      <c r="M1048521"/>
      <c r="N1048521"/>
      <c r="O1048521"/>
      <c r="P1048521"/>
      <c r="Q1048521"/>
      <c r="R1048521"/>
      <c r="S1048521"/>
      <c r="T1048521"/>
      <c r="U1048521"/>
      <c r="V1048521"/>
      <c r="W1048521"/>
      <c r="X1048521"/>
      <c r="Y1048521"/>
      <c r="Z1048521"/>
      <c r="AA1048521"/>
      <c r="AB1048521"/>
    </row>
    <row r="1048522" spans="1:28">
      <c r="A1048522"/>
      <c r="B1048522"/>
      <c r="C1048522"/>
      <c r="D1048522"/>
      <c r="E1048522"/>
      <c r="F1048522"/>
      <c r="G1048522"/>
      <c r="H1048522"/>
      <c r="I1048522"/>
      <c r="J1048522"/>
      <c r="K1048522"/>
      <c r="L1048522"/>
      <c r="M1048522"/>
      <c r="N1048522"/>
      <c r="O1048522"/>
      <c r="P1048522"/>
      <c r="Q1048522"/>
      <c r="R1048522"/>
      <c r="S1048522"/>
      <c r="T1048522"/>
      <c r="U1048522"/>
      <c r="V1048522"/>
      <c r="W1048522"/>
      <c r="X1048522"/>
      <c r="Y1048522"/>
      <c r="Z1048522"/>
      <c r="AA1048522"/>
      <c r="AB1048522"/>
    </row>
    <row r="1048523" spans="1:28">
      <c r="A1048523"/>
      <c r="B1048523"/>
      <c r="C1048523"/>
      <c r="D1048523"/>
      <c r="E1048523"/>
      <c r="F1048523"/>
      <c r="G1048523"/>
      <c r="H1048523"/>
      <c r="I1048523"/>
      <c r="J1048523"/>
      <c r="K1048523"/>
      <c r="L1048523"/>
      <c r="M1048523"/>
      <c r="N1048523"/>
      <c r="O1048523"/>
      <c r="P1048523"/>
      <c r="Q1048523"/>
      <c r="R1048523"/>
      <c r="S1048523"/>
      <c r="T1048523"/>
      <c r="U1048523"/>
      <c r="V1048523"/>
      <c r="W1048523"/>
      <c r="X1048523"/>
      <c r="Y1048523"/>
      <c r="Z1048523"/>
      <c r="AA1048523"/>
      <c r="AB1048523"/>
    </row>
    <row r="1048524" spans="1:28">
      <c r="A1048524"/>
      <c r="B1048524"/>
      <c r="C1048524"/>
      <c r="D1048524"/>
      <c r="E1048524"/>
      <c r="F1048524"/>
      <c r="G1048524"/>
      <c r="H1048524"/>
      <c r="I1048524"/>
      <c r="J1048524"/>
      <c r="K1048524"/>
      <c r="L1048524"/>
      <c r="M1048524"/>
      <c r="N1048524"/>
      <c r="O1048524"/>
      <c r="P1048524"/>
      <c r="Q1048524"/>
      <c r="R1048524"/>
      <c r="S1048524"/>
      <c r="T1048524"/>
      <c r="U1048524"/>
      <c r="V1048524"/>
      <c r="W1048524"/>
      <c r="X1048524"/>
      <c r="Y1048524"/>
      <c r="Z1048524"/>
      <c r="AA1048524"/>
      <c r="AB1048524"/>
    </row>
    <row r="1048525" spans="1:28">
      <c r="A1048525"/>
      <c r="B1048525"/>
      <c r="C1048525"/>
      <c r="D1048525"/>
      <c r="E1048525"/>
      <c r="F1048525"/>
      <c r="G1048525"/>
      <c r="H1048525"/>
      <c r="I1048525"/>
      <c r="J1048525"/>
      <c r="K1048525"/>
      <c r="L1048525"/>
      <c r="M1048525"/>
      <c r="N1048525"/>
      <c r="O1048525"/>
      <c r="P1048525"/>
      <c r="Q1048525"/>
      <c r="R1048525"/>
      <c r="S1048525"/>
      <c r="T1048525"/>
      <c r="U1048525"/>
      <c r="V1048525"/>
      <c r="W1048525"/>
      <c r="X1048525"/>
      <c r="Y1048525"/>
      <c r="Z1048525"/>
      <c r="AA1048525"/>
      <c r="AB1048525"/>
    </row>
    <row r="1048526" spans="1:28">
      <c r="A1048526"/>
      <c r="B1048526"/>
      <c r="C1048526"/>
      <c r="D1048526"/>
      <c r="E1048526"/>
      <c r="F1048526"/>
      <c r="G1048526"/>
      <c r="H1048526"/>
      <c r="I1048526"/>
      <c r="J1048526"/>
      <c r="K1048526"/>
      <c r="L1048526"/>
      <c r="M1048526"/>
      <c r="N1048526"/>
      <c r="O1048526"/>
      <c r="P1048526"/>
      <c r="Q1048526"/>
      <c r="R1048526"/>
      <c r="S1048526"/>
      <c r="T1048526"/>
      <c r="U1048526"/>
      <c r="V1048526"/>
      <c r="W1048526"/>
      <c r="X1048526"/>
      <c r="Y1048526"/>
      <c r="Z1048526"/>
      <c r="AA1048526"/>
      <c r="AB1048526"/>
    </row>
    <row r="1048527" spans="1:28">
      <c r="A1048527"/>
      <c r="B1048527"/>
      <c r="C1048527"/>
      <c r="D1048527"/>
      <c r="E1048527"/>
      <c r="F1048527"/>
      <c r="G1048527"/>
      <c r="H1048527"/>
      <c r="I1048527"/>
      <c r="J1048527"/>
      <c r="K1048527"/>
      <c r="L1048527"/>
      <c r="M1048527"/>
      <c r="N1048527"/>
      <c r="O1048527"/>
      <c r="P1048527"/>
      <c r="Q1048527"/>
      <c r="R1048527"/>
      <c r="S1048527"/>
      <c r="T1048527"/>
      <c r="U1048527"/>
      <c r="V1048527"/>
      <c r="W1048527"/>
      <c r="X1048527"/>
      <c r="Y1048527"/>
      <c r="Z1048527"/>
      <c r="AA1048527"/>
      <c r="AB1048527"/>
    </row>
    <row r="1048528" spans="1:28">
      <c r="A1048528"/>
      <c r="B1048528"/>
      <c r="C1048528"/>
      <c r="D1048528"/>
      <c r="E1048528"/>
      <c r="F1048528"/>
      <c r="G1048528"/>
      <c r="H1048528"/>
      <c r="I1048528"/>
      <c r="J1048528"/>
      <c r="K1048528"/>
      <c r="L1048528"/>
      <c r="M1048528"/>
      <c r="N1048528"/>
      <c r="O1048528"/>
      <c r="P1048528"/>
      <c r="Q1048528"/>
      <c r="R1048528"/>
      <c r="S1048528"/>
      <c r="T1048528"/>
      <c r="U1048528"/>
      <c r="V1048528"/>
      <c r="W1048528"/>
      <c r="X1048528"/>
      <c r="Y1048528"/>
      <c r="Z1048528"/>
      <c r="AA1048528"/>
      <c r="AB1048528"/>
    </row>
    <row r="1048529" spans="1:28">
      <c r="A1048529"/>
      <c r="B1048529"/>
      <c r="C1048529"/>
      <c r="D1048529"/>
      <c r="E1048529"/>
      <c r="F1048529"/>
      <c r="G1048529"/>
      <c r="H1048529"/>
      <c r="I1048529"/>
      <c r="J1048529"/>
      <c r="K1048529"/>
      <c r="L1048529"/>
      <c r="M1048529"/>
      <c r="N1048529"/>
      <c r="O1048529"/>
      <c r="P1048529"/>
      <c r="Q1048529"/>
      <c r="R1048529"/>
      <c r="S1048529"/>
      <c r="T1048529"/>
      <c r="U1048529"/>
      <c r="V1048529"/>
      <c r="W1048529"/>
      <c r="X1048529"/>
      <c r="Y1048529"/>
      <c r="Z1048529"/>
      <c r="AA1048529"/>
      <c r="AB1048529"/>
    </row>
    <row r="1048530" spans="1:28">
      <c r="A1048530"/>
      <c r="B1048530"/>
      <c r="C1048530"/>
      <c r="D1048530"/>
      <c r="E1048530"/>
      <c r="F1048530"/>
      <c r="G1048530"/>
      <c r="H1048530"/>
      <c r="I1048530"/>
      <c r="J1048530"/>
      <c r="K1048530"/>
      <c r="L1048530"/>
      <c r="M1048530"/>
      <c r="N1048530"/>
      <c r="O1048530"/>
      <c r="P1048530"/>
      <c r="Q1048530"/>
      <c r="R1048530"/>
      <c r="S1048530"/>
      <c r="T1048530"/>
      <c r="U1048530"/>
      <c r="V1048530"/>
      <c r="W1048530"/>
      <c r="X1048530"/>
      <c r="Y1048530"/>
      <c r="Z1048530"/>
      <c r="AA1048530"/>
      <c r="AB1048530"/>
    </row>
    <row r="1048531" spans="1:28">
      <c r="A1048531"/>
      <c r="B1048531"/>
      <c r="C1048531"/>
      <c r="D1048531"/>
      <c r="E1048531"/>
      <c r="F1048531"/>
      <c r="G1048531"/>
      <c r="H1048531"/>
      <c r="I1048531"/>
      <c r="J1048531"/>
      <c r="K1048531"/>
      <c r="L1048531"/>
      <c r="M1048531"/>
      <c r="N1048531"/>
      <c r="O1048531"/>
      <c r="P1048531"/>
      <c r="Q1048531"/>
      <c r="R1048531"/>
      <c r="S1048531"/>
      <c r="T1048531"/>
      <c r="U1048531"/>
      <c r="V1048531"/>
      <c r="W1048531"/>
      <c r="X1048531"/>
      <c r="Y1048531"/>
      <c r="Z1048531"/>
      <c r="AA1048531"/>
      <c r="AB1048531"/>
    </row>
    <row r="1048532" spans="1:28">
      <c r="A1048532"/>
      <c r="B1048532"/>
      <c r="C1048532"/>
      <c r="D1048532"/>
      <c r="E1048532"/>
      <c r="F1048532"/>
      <c r="G1048532"/>
      <c r="H1048532"/>
      <c r="I1048532"/>
      <c r="J1048532"/>
      <c r="K1048532"/>
      <c r="L1048532"/>
      <c r="M1048532"/>
      <c r="N1048532"/>
      <c r="O1048532"/>
      <c r="P1048532"/>
      <c r="Q1048532"/>
      <c r="R1048532"/>
      <c r="S1048532"/>
      <c r="T1048532"/>
      <c r="U1048532"/>
      <c r="V1048532"/>
      <c r="W1048532"/>
      <c r="X1048532"/>
      <c r="Y1048532"/>
      <c r="Z1048532"/>
      <c r="AA1048532"/>
      <c r="AB1048532"/>
    </row>
    <row r="1048533" spans="1:28">
      <c r="A1048533"/>
      <c r="B1048533"/>
      <c r="C1048533"/>
      <c r="D1048533"/>
      <c r="E1048533"/>
      <c r="F1048533"/>
      <c r="G1048533"/>
      <c r="H1048533"/>
      <c r="I1048533"/>
      <c r="J1048533"/>
      <c r="K1048533"/>
      <c r="L1048533"/>
      <c r="M1048533"/>
      <c r="N1048533"/>
      <c r="O1048533"/>
      <c r="P1048533"/>
      <c r="Q1048533"/>
      <c r="R1048533"/>
      <c r="S1048533"/>
      <c r="T1048533"/>
      <c r="U1048533"/>
      <c r="V1048533"/>
      <c r="W1048533"/>
      <c r="X1048533"/>
      <c r="Y1048533"/>
      <c r="Z1048533"/>
      <c r="AA1048533"/>
      <c r="AB1048533"/>
    </row>
    <row r="1048534" spans="1:28">
      <c r="A1048534"/>
      <c r="B1048534"/>
      <c r="C1048534"/>
      <c r="D1048534"/>
      <c r="E1048534"/>
      <c r="F1048534"/>
      <c r="G1048534"/>
      <c r="H1048534"/>
      <c r="I1048534"/>
      <c r="J1048534"/>
      <c r="K1048534"/>
      <c r="L1048534"/>
      <c r="M1048534"/>
      <c r="N1048534"/>
      <c r="O1048534"/>
      <c r="P1048534"/>
      <c r="Q1048534"/>
      <c r="R1048534"/>
      <c r="S1048534"/>
      <c r="T1048534"/>
      <c r="U1048534"/>
      <c r="V1048534"/>
      <c r="W1048534"/>
      <c r="X1048534"/>
      <c r="Y1048534"/>
      <c r="Z1048534"/>
      <c r="AA1048534"/>
      <c r="AB1048534"/>
    </row>
    <row r="1048535" spans="1:28">
      <c r="A1048535"/>
      <c r="B1048535"/>
      <c r="C1048535"/>
      <c r="D1048535"/>
      <c r="E1048535"/>
      <c r="F1048535"/>
      <c r="G1048535"/>
      <c r="H1048535"/>
      <c r="I1048535"/>
      <c r="J1048535"/>
      <c r="K1048535"/>
      <c r="L1048535"/>
      <c r="M1048535"/>
      <c r="N1048535"/>
      <c r="O1048535"/>
      <c r="P1048535"/>
      <c r="Q1048535"/>
      <c r="R1048535"/>
      <c r="S1048535"/>
      <c r="T1048535"/>
      <c r="U1048535"/>
      <c r="V1048535"/>
      <c r="W1048535"/>
      <c r="X1048535"/>
      <c r="Y1048535"/>
      <c r="Z1048535"/>
      <c r="AA1048535"/>
      <c r="AB1048535"/>
    </row>
    <row r="1048536" spans="1:28">
      <c r="A1048536"/>
      <c r="B1048536"/>
      <c r="C1048536"/>
      <c r="D1048536"/>
      <c r="E1048536"/>
      <c r="F1048536"/>
      <c r="G1048536"/>
      <c r="H1048536"/>
      <c r="I1048536"/>
      <c r="J1048536"/>
      <c r="K1048536"/>
      <c r="L1048536"/>
      <c r="M1048536"/>
      <c r="N1048536"/>
      <c r="O1048536"/>
      <c r="P1048536"/>
      <c r="Q1048536"/>
      <c r="R1048536"/>
      <c r="S1048536"/>
      <c r="T1048536"/>
      <c r="U1048536"/>
      <c r="V1048536"/>
      <c r="W1048536"/>
      <c r="X1048536"/>
      <c r="Y1048536"/>
      <c r="Z1048536"/>
      <c r="AA1048536"/>
      <c r="AB1048536"/>
    </row>
    <row r="1048537" spans="1:28">
      <c r="A1048537"/>
      <c r="B1048537"/>
      <c r="C1048537"/>
      <c r="D1048537"/>
      <c r="E1048537"/>
      <c r="F1048537"/>
      <c r="G1048537"/>
      <c r="H1048537"/>
      <c r="I1048537"/>
      <c r="J1048537"/>
      <c r="K1048537"/>
      <c r="L1048537"/>
      <c r="M1048537"/>
      <c r="N1048537"/>
      <c r="O1048537"/>
      <c r="P1048537"/>
      <c r="Q1048537"/>
      <c r="R1048537"/>
      <c r="S1048537"/>
      <c r="T1048537"/>
      <c r="U1048537"/>
      <c r="V1048537"/>
      <c r="W1048537"/>
      <c r="X1048537"/>
      <c r="Y1048537"/>
      <c r="Z1048537"/>
      <c r="AA1048537"/>
      <c r="AB1048537"/>
    </row>
    <row r="1048538" spans="1:28">
      <c r="A1048538"/>
      <c r="B1048538"/>
      <c r="C1048538"/>
      <c r="D1048538"/>
      <c r="E1048538"/>
      <c r="F1048538"/>
      <c r="G1048538"/>
      <c r="H1048538"/>
      <c r="I1048538"/>
      <c r="J1048538"/>
      <c r="K1048538"/>
      <c r="L1048538"/>
      <c r="M1048538"/>
      <c r="N1048538"/>
      <c r="O1048538"/>
      <c r="P1048538"/>
      <c r="Q1048538"/>
      <c r="R1048538"/>
      <c r="S1048538"/>
      <c r="T1048538"/>
      <c r="U1048538"/>
      <c r="V1048538"/>
      <c r="W1048538"/>
      <c r="X1048538"/>
      <c r="Y1048538"/>
      <c r="Z1048538"/>
      <c r="AA1048538"/>
      <c r="AB1048538"/>
    </row>
    <row r="1048539" spans="1:28">
      <c r="A1048539"/>
      <c r="B1048539"/>
      <c r="C1048539"/>
      <c r="D1048539"/>
      <c r="E1048539"/>
      <c r="F1048539"/>
      <c r="G1048539"/>
      <c r="H1048539"/>
      <c r="I1048539"/>
      <c r="J1048539"/>
      <c r="K1048539"/>
      <c r="L1048539"/>
      <c r="M1048539"/>
      <c r="N1048539"/>
      <c r="O1048539"/>
      <c r="P1048539"/>
      <c r="Q1048539"/>
      <c r="R1048539"/>
      <c r="S1048539"/>
      <c r="T1048539"/>
      <c r="U1048539"/>
      <c r="V1048539"/>
      <c r="W1048539"/>
      <c r="X1048539"/>
      <c r="Y1048539"/>
      <c r="Z1048539"/>
      <c r="AA1048539"/>
      <c r="AB1048539"/>
    </row>
    <row r="1048540" spans="1:28">
      <c r="A1048540"/>
      <c r="B1048540"/>
      <c r="C1048540"/>
      <c r="D1048540"/>
      <c r="E1048540"/>
      <c r="F1048540"/>
      <c r="G1048540"/>
      <c r="H1048540"/>
      <c r="I1048540"/>
      <c r="J1048540"/>
      <c r="K1048540"/>
      <c r="L1048540"/>
      <c r="M1048540"/>
      <c r="N1048540"/>
      <c r="O1048540"/>
      <c r="P1048540"/>
      <c r="Q1048540"/>
      <c r="R1048540"/>
      <c r="S1048540"/>
      <c r="T1048540"/>
      <c r="U1048540"/>
      <c r="V1048540"/>
      <c r="W1048540"/>
      <c r="X1048540"/>
      <c r="Y1048540"/>
      <c r="Z1048540"/>
      <c r="AA1048540"/>
      <c r="AB1048540"/>
    </row>
    <row r="1048541" spans="1:28">
      <c r="A1048541"/>
      <c r="B1048541"/>
      <c r="C1048541"/>
      <c r="D1048541"/>
      <c r="E1048541"/>
      <c r="F1048541"/>
      <c r="G1048541"/>
      <c r="H1048541"/>
      <c r="I1048541"/>
      <c r="J1048541"/>
      <c r="K1048541"/>
      <c r="L1048541"/>
      <c r="M1048541"/>
      <c r="N1048541"/>
      <c r="O1048541"/>
      <c r="P1048541"/>
      <c r="Q1048541"/>
      <c r="R1048541"/>
      <c r="S1048541"/>
      <c r="T1048541"/>
      <c r="U1048541"/>
      <c r="V1048541"/>
      <c r="W1048541"/>
      <c r="X1048541"/>
      <c r="Y1048541"/>
      <c r="Z1048541"/>
      <c r="AA1048541"/>
      <c r="AB1048541"/>
    </row>
    <row r="1048542" spans="1:28">
      <c r="A1048542"/>
      <c r="B1048542"/>
      <c r="C1048542"/>
      <c r="D1048542"/>
      <c r="E1048542"/>
      <c r="F1048542"/>
      <c r="G1048542"/>
      <c r="H1048542"/>
      <c r="I1048542"/>
      <c r="J1048542"/>
      <c r="K1048542"/>
      <c r="L1048542"/>
      <c r="M1048542"/>
      <c r="N1048542"/>
      <c r="O1048542"/>
      <c r="P1048542"/>
      <c r="Q1048542"/>
      <c r="R1048542"/>
      <c r="S1048542"/>
      <c r="T1048542"/>
      <c r="U1048542"/>
      <c r="V1048542"/>
      <c r="W1048542"/>
      <c r="X1048542"/>
      <c r="Y1048542"/>
      <c r="Z1048542"/>
      <c r="AA1048542"/>
      <c r="AB1048542"/>
    </row>
    <row r="1048543" spans="1:28">
      <c r="A1048543"/>
      <c r="B1048543"/>
      <c r="C1048543"/>
      <c r="D1048543"/>
      <c r="E1048543"/>
      <c r="F1048543"/>
      <c r="G1048543"/>
      <c r="H1048543"/>
      <c r="I1048543"/>
      <c r="J1048543"/>
      <c r="K1048543"/>
      <c r="L1048543"/>
      <c r="M1048543"/>
      <c r="N1048543"/>
      <c r="O1048543"/>
      <c r="P1048543"/>
      <c r="Q1048543"/>
      <c r="R1048543"/>
      <c r="S1048543"/>
      <c r="T1048543"/>
      <c r="U1048543"/>
      <c r="V1048543"/>
      <c r="W1048543"/>
      <c r="X1048543"/>
      <c r="Y1048543"/>
      <c r="Z1048543"/>
      <c r="AA1048543"/>
      <c r="AB1048543"/>
    </row>
    <row r="1048544" spans="1:28">
      <c r="A1048544"/>
      <c r="B1048544"/>
      <c r="C1048544"/>
      <c r="D1048544"/>
      <c r="E1048544"/>
      <c r="F1048544"/>
      <c r="G1048544"/>
      <c r="H1048544"/>
      <c r="I1048544"/>
      <c r="J1048544"/>
      <c r="K1048544"/>
      <c r="L1048544"/>
      <c r="M1048544"/>
      <c r="N1048544"/>
      <c r="O1048544"/>
      <c r="P1048544"/>
      <c r="Q1048544"/>
      <c r="R1048544"/>
      <c r="S1048544"/>
      <c r="T1048544"/>
      <c r="U1048544"/>
      <c r="V1048544"/>
      <c r="W1048544"/>
      <c r="X1048544"/>
      <c r="Y1048544"/>
      <c r="Z1048544"/>
      <c r="AA1048544"/>
      <c r="AB1048544"/>
    </row>
    <row r="1048545" spans="1:28">
      <c r="A1048545"/>
      <c r="B1048545"/>
      <c r="C1048545"/>
      <c r="D1048545"/>
      <c r="E1048545"/>
      <c r="F1048545"/>
      <c r="G1048545"/>
      <c r="H1048545"/>
      <c r="I1048545"/>
      <c r="J1048545"/>
      <c r="K1048545"/>
      <c r="L1048545"/>
      <c r="M1048545"/>
      <c r="N1048545"/>
      <c r="O1048545"/>
      <c r="P1048545"/>
      <c r="Q1048545"/>
      <c r="R1048545"/>
      <c r="S1048545"/>
      <c r="T1048545"/>
      <c r="U1048545"/>
      <c r="V1048545"/>
      <c r="W1048545"/>
      <c r="X1048545"/>
      <c r="Y1048545"/>
      <c r="Z1048545"/>
      <c r="AA1048545"/>
      <c r="AB1048545"/>
    </row>
    <row r="1048546" spans="1:28">
      <c r="A1048546"/>
      <c r="B1048546"/>
      <c r="C1048546"/>
      <c r="D1048546"/>
      <c r="E1048546"/>
      <c r="F1048546"/>
      <c r="G1048546"/>
      <c r="H1048546"/>
      <c r="I1048546"/>
      <c r="J1048546"/>
      <c r="K1048546"/>
      <c r="L1048546"/>
      <c r="M1048546"/>
      <c r="N1048546"/>
      <c r="O1048546"/>
      <c r="P1048546"/>
      <c r="Q1048546"/>
      <c r="R1048546"/>
      <c r="S1048546"/>
      <c r="T1048546"/>
      <c r="U1048546"/>
      <c r="V1048546"/>
      <c r="W1048546"/>
      <c r="X1048546"/>
      <c r="Y1048546"/>
      <c r="Z1048546"/>
      <c r="AA1048546"/>
      <c r="AB1048546"/>
    </row>
    <row r="1048547" spans="1:28">
      <c r="A1048547"/>
      <c r="B1048547"/>
      <c r="C1048547"/>
      <c r="D1048547"/>
      <c r="E1048547"/>
      <c r="F1048547"/>
      <c r="G1048547"/>
      <c r="H1048547"/>
      <c r="I1048547"/>
      <c r="J1048547"/>
      <c r="K1048547"/>
      <c r="L1048547"/>
      <c r="M1048547"/>
      <c r="N1048547"/>
      <c r="O1048547"/>
      <c r="P1048547"/>
      <c r="Q1048547"/>
      <c r="R1048547"/>
      <c r="S1048547"/>
      <c r="T1048547"/>
      <c r="U1048547"/>
      <c r="V1048547"/>
      <c r="W1048547"/>
      <c r="X1048547"/>
      <c r="Y1048547"/>
      <c r="Z1048547"/>
      <c r="AA1048547"/>
      <c r="AB1048547"/>
    </row>
    <row r="1048548" spans="1:28">
      <c r="A1048548"/>
      <c r="B1048548"/>
      <c r="C1048548"/>
      <c r="D1048548"/>
      <c r="E1048548"/>
      <c r="F1048548"/>
      <c r="G1048548"/>
      <c r="H1048548"/>
      <c r="I1048548"/>
      <c r="J1048548"/>
      <c r="K1048548"/>
      <c r="L1048548"/>
      <c r="M1048548"/>
      <c r="N1048548"/>
      <c r="O1048548"/>
      <c r="P1048548"/>
      <c r="Q1048548"/>
      <c r="R1048548"/>
      <c r="S1048548"/>
      <c r="T1048548"/>
      <c r="U1048548"/>
      <c r="V1048548"/>
      <c r="W1048548"/>
      <c r="X1048548"/>
      <c r="Y1048548"/>
      <c r="Z1048548"/>
      <c r="AA1048548"/>
      <c r="AB1048548"/>
    </row>
    <row r="1048549" spans="1:28">
      <c r="A1048549"/>
      <c r="B1048549"/>
      <c r="C1048549"/>
      <c r="D1048549"/>
      <c r="E1048549"/>
      <c r="F1048549"/>
      <c r="G1048549"/>
      <c r="H1048549"/>
      <c r="I1048549"/>
      <c r="J1048549"/>
      <c r="K1048549"/>
      <c r="L1048549"/>
      <c r="M1048549"/>
      <c r="N1048549"/>
      <c r="O1048549"/>
      <c r="P1048549"/>
      <c r="Q1048549"/>
      <c r="R1048549"/>
      <c r="S1048549"/>
      <c r="T1048549"/>
      <c r="U1048549"/>
      <c r="V1048549"/>
      <c r="W1048549"/>
      <c r="X1048549"/>
      <c r="Y1048549"/>
      <c r="Z1048549"/>
      <c r="AA1048549"/>
      <c r="AB1048549"/>
    </row>
    <row r="1048550" spans="1:28">
      <c r="A1048550"/>
      <c r="B1048550"/>
      <c r="C1048550"/>
      <c r="D1048550"/>
      <c r="E1048550"/>
      <c r="F1048550"/>
      <c r="G1048550"/>
      <c r="H1048550"/>
      <c r="I1048550"/>
      <c r="J1048550"/>
      <c r="K1048550"/>
      <c r="L1048550"/>
      <c r="M1048550"/>
      <c r="N1048550"/>
      <c r="O1048550"/>
      <c r="P1048550"/>
      <c r="Q1048550"/>
      <c r="R1048550"/>
      <c r="S1048550"/>
      <c r="T1048550"/>
      <c r="U1048550"/>
      <c r="V1048550"/>
      <c r="W1048550"/>
      <c r="X1048550"/>
      <c r="Y1048550"/>
      <c r="Z1048550"/>
      <c r="AA1048550"/>
      <c r="AB1048550"/>
    </row>
    <row r="1048551" spans="1:28">
      <c r="A1048551"/>
      <c r="B1048551"/>
      <c r="C1048551"/>
      <c r="D1048551"/>
      <c r="E1048551"/>
      <c r="F1048551"/>
      <c r="G1048551"/>
      <c r="H1048551"/>
      <c r="I1048551"/>
      <c r="J1048551"/>
      <c r="K1048551"/>
      <c r="L1048551"/>
      <c r="M1048551"/>
      <c r="N1048551"/>
      <c r="O1048551"/>
      <c r="P1048551"/>
      <c r="Q1048551"/>
      <c r="R1048551"/>
      <c r="S1048551"/>
      <c r="T1048551"/>
      <c r="U1048551"/>
      <c r="V1048551"/>
      <c r="W1048551"/>
      <c r="X1048551"/>
      <c r="Y1048551"/>
      <c r="Z1048551"/>
      <c r="AA1048551"/>
      <c r="AB1048551"/>
    </row>
    <row r="1048552" spans="1:28">
      <c r="A1048552"/>
      <c r="B1048552"/>
      <c r="C1048552"/>
      <c r="D1048552"/>
      <c r="E1048552"/>
      <c r="F1048552"/>
      <c r="G1048552"/>
      <c r="H1048552"/>
      <c r="I1048552"/>
      <c r="J1048552"/>
      <c r="K1048552"/>
      <c r="L1048552"/>
      <c r="M1048552"/>
      <c r="N1048552"/>
      <c r="O1048552"/>
      <c r="P1048552"/>
      <c r="Q1048552"/>
      <c r="R1048552"/>
      <c r="S1048552"/>
      <c r="T1048552"/>
      <c r="U1048552"/>
      <c r="V1048552"/>
      <c r="W1048552"/>
      <c r="X1048552"/>
      <c r="Y1048552"/>
      <c r="Z1048552"/>
      <c r="AA1048552"/>
      <c r="AB1048552"/>
    </row>
    <row r="1048553" spans="1:28">
      <c r="A1048553"/>
      <c r="B1048553"/>
      <c r="C1048553"/>
      <c r="D1048553"/>
      <c r="E1048553"/>
      <c r="F1048553"/>
      <c r="G1048553"/>
      <c r="H1048553"/>
      <c r="I1048553"/>
      <c r="J1048553"/>
      <c r="K1048553"/>
      <c r="L1048553"/>
      <c r="M1048553"/>
      <c r="N1048553"/>
      <c r="O1048553"/>
      <c r="P1048553"/>
      <c r="Q1048553"/>
      <c r="R1048553"/>
      <c r="S1048553"/>
      <c r="T1048553"/>
      <c r="U1048553"/>
      <c r="V1048553"/>
      <c r="W1048553"/>
      <c r="X1048553"/>
      <c r="Y1048553"/>
      <c r="Z1048553"/>
      <c r="AA1048553"/>
      <c r="AB1048553"/>
    </row>
    <row r="1048554" spans="1:28">
      <c r="A1048554"/>
      <c r="B1048554"/>
      <c r="C1048554"/>
      <c r="D1048554"/>
      <c r="E1048554"/>
      <c r="F1048554"/>
      <c r="G1048554"/>
      <c r="H1048554"/>
      <c r="I1048554"/>
      <c r="J1048554"/>
      <c r="K1048554"/>
      <c r="L1048554"/>
      <c r="M1048554"/>
      <c r="N1048554"/>
      <c r="O1048554"/>
      <c r="P1048554"/>
      <c r="Q1048554"/>
      <c r="R1048554"/>
      <c r="S1048554"/>
      <c r="T1048554"/>
      <c r="U1048554"/>
      <c r="V1048554"/>
      <c r="W1048554"/>
      <c r="X1048554"/>
      <c r="Y1048554"/>
      <c r="Z1048554"/>
      <c r="AA1048554"/>
      <c r="AB1048554"/>
    </row>
    <row r="1048555" spans="1:28">
      <c r="A1048555"/>
      <c r="B1048555"/>
      <c r="C1048555"/>
      <c r="D1048555"/>
      <c r="E1048555"/>
      <c r="F1048555"/>
      <c r="G1048555"/>
      <c r="H1048555"/>
      <c r="I1048555"/>
      <c r="J1048555"/>
      <c r="K1048555"/>
      <c r="L1048555"/>
      <c r="M1048555"/>
      <c r="N1048555"/>
      <c r="O1048555"/>
      <c r="P1048555"/>
      <c r="Q1048555"/>
      <c r="R1048555"/>
      <c r="S1048555"/>
      <c r="T1048555"/>
      <c r="U1048555"/>
      <c r="V1048555"/>
      <c r="W1048555"/>
      <c r="X1048555"/>
      <c r="Y1048555"/>
      <c r="Z1048555"/>
      <c r="AA1048555"/>
      <c r="AB1048555"/>
    </row>
    <row r="1048556" spans="1:28">
      <c r="A1048556"/>
      <c r="B1048556"/>
      <c r="C1048556"/>
      <c r="D1048556"/>
      <c r="E1048556"/>
      <c r="F1048556"/>
      <c r="G1048556"/>
      <c r="H1048556"/>
      <c r="I1048556"/>
      <c r="J1048556"/>
      <c r="K1048556"/>
      <c r="L1048556"/>
      <c r="M1048556"/>
      <c r="N1048556"/>
      <c r="O1048556"/>
      <c r="P1048556"/>
      <c r="Q1048556"/>
      <c r="R1048556"/>
      <c r="S1048556"/>
      <c r="T1048556"/>
      <c r="U1048556"/>
      <c r="V1048556"/>
      <c r="W1048556"/>
      <c r="X1048556"/>
      <c r="Y1048556"/>
      <c r="Z1048556"/>
      <c r="AA1048556"/>
      <c r="AB1048556"/>
    </row>
    <row r="1048557" spans="1:28">
      <c r="A1048557"/>
      <c r="B1048557"/>
      <c r="C1048557"/>
      <c r="D1048557"/>
      <c r="E1048557"/>
      <c r="F1048557"/>
      <c r="G1048557"/>
      <c r="H1048557"/>
      <c r="I1048557"/>
      <c r="J1048557"/>
      <c r="K1048557"/>
      <c r="L1048557"/>
      <c r="M1048557"/>
      <c r="N1048557"/>
      <c r="O1048557"/>
      <c r="P1048557"/>
      <c r="Q1048557"/>
      <c r="R1048557"/>
      <c r="S1048557"/>
      <c r="T1048557"/>
      <c r="U1048557"/>
      <c r="V1048557"/>
      <c r="W1048557"/>
      <c r="X1048557"/>
      <c r="Y1048557"/>
      <c r="Z1048557"/>
      <c r="AA1048557"/>
      <c r="AB1048557"/>
    </row>
    <row r="1048558" spans="1:28">
      <c r="A1048558"/>
      <c r="B1048558"/>
      <c r="C1048558"/>
      <c r="D1048558"/>
      <c r="E1048558"/>
      <c r="F1048558"/>
      <c r="G1048558"/>
      <c r="H1048558"/>
      <c r="I1048558"/>
      <c r="J1048558"/>
      <c r="K1048558"/>
      <c r="L1048558"/>
      <c r="M1048558"/>
      <c r="N1048558"/>
      <c r="O1048558"/>
      <c r="P1048558"/>
      <c r="Q1048558"/>
      <c r="R1048558"/>
      <c r="S1048558"/>
      <c r="T1048558"/>
      <c r="U1048558"/>
      <c r="V1048558"/>
      <c r="W1048558"/>
      <c r="X1048558"/>
      <c r="Y1048558"/>
      <c r="Z1048558"/>
      <c r="AA1048558"/>
      <c r="AB1048558"/>
    </row>
    <row r="1048559" spans="1:28">
      <c r="A1048559"/>
      <c r="B1048559"/>
      <c r="C1048559"/>
      <c r="D1048559"/>
      <c r="E1048559"/>
      <c r="F1048559"/>
      <c r="G1048559"/>
      <c r="H1048559"/>
      <c r="I1048559"/>
      <c r="J1048559"/>
      <c r="K1048559"/>
      <c r="L1048559"/>
      <c r="M1048559"/>
      <c r="N1048559"/>
      <c r="O1048559"/>
      <c r="P1048559"/>
      <c r="Q1048559"/>
      <c r="R1048559"/>
      <c r="S1048559"/>
      <c r="T1048559"/>
      <c r="U1048559"/>
      <c r="V1048559"/>
      <c r="W1048559"/>
      <c r="X1048559"/>
      <c r="Y1048559"/>
      <c r="Z1048559"/>
      <c r="AA1048559"/>
      <c r="AB1048559"/>
    </row>
    <row r="1048560" spans="1:28">
      <c r="A1048560"/>
      <c r="B1048560"/>
      <c r="C1048560"/>
      <c r="D1048560"/>
      <c r="E1048560"/>
      <c r="F1048560"/>
      <c r="G1048560"/>
      <c r="H1048560"/>
      <c r="I1048560"/>
      <c r="J1048560"/>
      <c r="K1048560"/>
      <c r="L1048560"/>
      <c r="M1048560"/>
      <c r="N1048560"/>
      <c r="O1048560"/>
      <c r="P1048560"/>
      <c r="Q1048560"/>
      <c r="R1048560"/>
      <c r="S1048560"/>
      <c r="T1048560"/>
      <c r="U1048560"/>
      <c r="V1048560"/>
      <c r="W1048560"/>
      <c r="X1048560"/>
      <c r="Y1048560"/>
      <c r="Z1048560"/>
      <c r="AA1048560"/>
      <c r="AB1048560"/>
    </row>
    <row r="1048561" spans="1:28">
      <c r="A1048561"/>
      <c r="B1048561"/>
      <c r="C1048561"/>
      <c r="D1048561"/>
      <c r="E1048561"/>
      <c r="F1048561"/>
      <c r="G1048561"/>
      <c r="H1048561"/>
      <c r="I1048561"/>
      <c r="J1048561"/>
      <c r="K1048561"/>
      <c r="L1048561"/>
      <c r="M1048561"/>
      <c r="N1048561"/>
      <c r="O1048561"/>
      <c r="P1048561"/>
      <c r="Q1048561"/>
      <c r="R1048561"/>
      <c r="S1048561"/>
      <c r="T1048561"/>
      <c r="U1048561"/>
      <c r="V1048561"/>
      <c r="W1048561"/>
      <c r="X1048561"/>
      <c r="Y1048561"/>
      <c r="Z1048561"/>
      <c r="AA1048561"/>
      <c r="AB1048561"/>
    </row>
    <row r="1048562" spans="1:28">
      <c r="A1048562"/>
      <c r="B1048562"/>
      <c r="C1048562"/>
      <c r="D1048562"/>
      <c r="E1048562"/>
      <c r="F1048562"/>
      <c r="G1048562"/>
      <c r="H1048562"/>
      <c r="I1048562"/>
      <c r="J1048562"/>
      <c r="K1048562"/>
      <c r="L1048562"/>
      <c r="M1048562"/>
      <c r="N1048562"/>
      <c r="O1048562"/>
      <c r="P1048562"/>
      <c r="Q1048562"/>
      <c r="R1048562"/>
      <c r="S1048562"/>
      <c r="T1048562"/>
      <c r="U1048562"/>
      <c r="V1048562"/>
      <c r="W1048562"/>
      <c r="X1048562"/>
      <c r="Y1048562"/>
      <c r="Z1048562"/>
      <c r="AA1048562"/>
      <c r="AB1048562"/>
    </row>
    <row r="1048563" spans="1:28">
      <c r="A1048563"/>
      <c r="B1048563"/>
      <c r="C1048563"/>
      <c r="D1048563"/>
      <c r="E1048563"/>
      <c r="F1048563"/>
      <c r="G1048563"/>
      <c r="H1048563"/>
      <c r="I1048563"/>
      <c r="J1048563"/>
      <c r="K1048563"/>
      <c r="L1048563"/>
      <c r="M1048563"/>
      <c r="N1048563"/>
      <c r="O1048563"/>
      <c r="P1048563"/>
      <c r="Q1048563"/>
      <c r="R1048563"/>
      <c r="S1048563"/>
      <c r="T1048563"/>
      <c r="U1048563"/>
      <c r="V1048563"/>
      <c r="W1048563"/>
      <c r="X1048563"/>
      <c r="Y1048563"/>
      <c r="Z1048563"/>
      <c r="AA1048563"/>
      <c r="AB1048563"/>
    </row>
    <row r="1048564" spans="1:28">
      <c r="A1048564"/>
      <c r="B1048564"/>
      <c r="C1048564"/>
      <c r="D1048564"/>
      <c r="E1048564"/>
      <c r="F1048564"/>
      <c r="G1048564"/>
      <c r="H1048564"/>
      <c r="I1048564"/>
      <c r="J1048564"/>
      <c r="K1048564"/>
      <c r="L1048564"/>
      <c r="M1048564"/>
      <c r="N1048564"/>
      <c r="O1048564"/>
      <c r="P1048564"/>
      <c r="Q1048564"/>
      <c r="R1048564"/>
      <c r="S1048564"/>
      <c r="T1048564"/>
      <c r="U1048564"/>
      <c r="V1048564"/>
      <c r="W1048564"/>
      <c r="X1048564"/>
      <c r="Y1048564"/>
      <c r="Z1048564"/>
      <c r="AA1048564"/>
      <c r="AB1048564"/>
    </row>
    <row r="1048565" spans="1:28">
      <c r="A1048565"/>
      <c r="B1048565"/>
      <c r="C1048565"/>
      <c r="D1048565"/>
      <c r="E1048565"/>
      <c r="F1048565"/>
      <c r="G1048565"/>
      <c r="H1048565"/>
      <c r="I1048565"/>
      <c r="J1048565"/>
      <c r="K1048565"/>
      <c r="L1048565"/>
      <c r="M1048565"/>
      <c r="N1048565"/>
      <c r="O1048565"/>
      <c r="P1048565"/>
      <c r="Q1048565"/>
      <c r="R1048565"/>
      <c r="S1048565"/>
      <c r="T1048565"/>
      <c r="U1048565"/>
      <c r="V1048565"/>
      <c r="W1048565"/>
      <c r="X1048565"/>
      <c r="Y1048565"/>
      <c r="Z1048565"/>
      <c r="AA1048565"/>
      <c r="AB1048565"/>
    </row>
    <row r="1048566" spans="1:28">
      <c r="A1048566"/>
      <c r="B1048566"/>
      <c r="C1048566"/>
      <c r="D1048566"/>
      <c r="E1048566"/>
      <c r="F1048566"/>
      <c r="G1048566"/>
      <c r="H1048566"/>
      <c r="I1048566"/>
      <c r="J1048566"/>
      <c r="K1048566"/>
      <c r="L1048566"/>
      <c r="M1048566"/>
      <c r="N1048566"/>
      <c r="O1048566"/>
      <c r="P1048566"/>
      <c r="Q1048566"/>
      <c r="R1048566"/>
      <c r="S1048566"/>
      <c r="T1048566"/>
      <c r="U1048566"/>
      <c r="V1048566"/>
      <c r="W1048566"/>
      <c r="X1048566"/>
      <c r="Y1048566"/>
      <c r="Z1048566"/>
      <c r="AA1048566"/>
      <c r="AB1048566"/>
    </row>
    <row r="1048567" spans="1:28">
      <c r="A1048567"/>
      <c r="B1048567"/>
      <c r="C1048567"/>
      <c r="D1048567"/>
      <c r="E1048567"/>
      <c r="F1048567"/>
      <c r="G1048567"/>
      <c r="H1048567"/>
      <c r="I1048567"/>
      <c r="J1048567"/>
      <c r="K1048567"/>
      <c r="L1048567"/>
      <c r="M1048567"/>
      <c r="N1048567"/>
      <c r="O1048567"/>
      <c r="P1048567"/>
      <c r="Q1048567"/>
      <c r="R1048567"/>
      <c r="S1048567"/>
      <c r="T1048567"/>
      <c r="U1048567"/>
      <c r="V1048567"/>
      <c r="W1048567"/>
      <c r="X1048567"/>
      <c r="Y1048567"/>
      <c r="Z1048567"/>
      <c r="AA1048567"/>
      <c r="AB1048567"/>
    </row>
    <row r="1048568" spans="1:28">
      <c r="A1048568"/>
      <c r="B1048568"/>
      <c r="C1048568"/>
      <c r="D1048568"/>
      <c r="E1048568"/>
      <c r="F1048568"/>
      <c r="G1048568"/>
      <c r="H1048568"/>
      <c r="I1048568"/>
      <c r="J1048568"/>
      <c r="K1048568"/>
      <c r="L1048568"/>
      <c r="M1048568"/>
      <c r="N1048568"/>
      <c r="O1048568"/>
      <c r="P1048568"/>
      <c r="Q1048568"/>
      <c r="R1048568"/>
      <c r="S1048568"/>
      <c r="T1048568"/>
      <c r="U1048568"/>
      <c r="V1048568"/>
      <c r="W1048568"/>
      <c r="X1048568"/>
      <c r="Y1048568"/>
      <c r="Z1048568"/>
      <c r="AA1048568"/>
      <c r="AB1048568"/>
    </row>
    <row r="1048569" spans="1:28">
      <c r="A1048569"/>
      <c r="B1048569"/>
      <c r="C1048569"/>
      <c r="D1048569"/>
      <c r="E1048569"/>
      <c r="F1048569"/>
      <c r="G1048569"/>
      <c r="H1048569"/>
      <c r="I1048569"/>
      <c r="J1048569"/>
      <c r="K1048569"/>
      <c r="L1048569"/>
      <c r="M1048569"/>
      <c r="N1048569"/>
      <c r="O1048569"/>
      <c r="P1048569"/>
      <c r="Q1048569"/>
      <c r="R1048569"/>
      <c r="S1048569"/>
      <c r="T1048569"/>
      <c r="U1048569"/>
      <c r="V1048569"/>
      <c r="W1048569"/>
      <c r="X1048569"/>
      <c r="Y1048569"/>
      <c r="Z1048569"/>
      <c r="AA1048569"/>
      <c r="AB1048569"/>
    </row>
    <row r="1048570" spans="1:28">
      <c r="A1048570"/>
      <c r="B1048570"/>
      <c r="C1048570"/>
      <c r="D1048570"/>
      <c r="E1048570"/>
      <c r="F1048570"/>
      <c r="G1048570"/>
      <c r="H1048570"/>
      <c r="I1048570"/>
      <c r="J1048570"/>
      <c r="K1048570"/>
      <c r="L1048570"/>
      <c r="M1048570"/>
      <c r="N1048570"/>
      <c r="O1048570"/>
      <c r="P1048570"/>
      <c r="Q1048570"/>
      <c r="R1048570"/>
      <c r="S1048570"/>
      <c r="T1048570"/>
      <c r="U1048570"/>
      <c r="V1048570"/>
      <c r="W1048570"/>
      <c r="X1048570"/>
      <c r="Y1048570"/>
      <c r="Z1048570"/>
      <c r="AA1048570"/>
      <c r="AB1048570"/>
    </row>
    <row r="1048571" spans="1:28">
      <c r="A1048571"/>
      <c r="B1048571"/>
      <c r="C1048571"/>
      <c r="D1048571"/>
      <c r="E1048571"/>
      <c r="F1048571"/>
      <c r="G1048571"/>
      <c r="H1048571"/>
      <c r="I1048571"/>
      <c r="J1048571"/>
      <c r="K1048571"/>
      <c r="L1048571"/>
      <c r="M1048571"/>
      <c r="N1048571"/>
      <c r="O1048571"/>
      <c r="P1048571"/>
      <c r="Q1048571"/>
      <c r="R1048571"/>
      <c r="S1048571"/>
      <c r="T1048571"/>
      <c r="U1048571"/>
      <c r="V1048571"/>
      <c r="W1048571"/>
      <c r="X1048571"/>
      <c r="Y1048571"/>
      <c r="Z1048571"/>
      <c r="AA1048571"/>
      <c r="AB1048571"/>
    </row>
    <row r="1048572" spans="1:28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  <c r="N1048572"/>
      <c r="O1048572"/>
      <c r="P1048572"/>
      <c r="Q1048572"/>
      <c r="R1048572"/>
      <c r="S1048572"/>
      <c r="T1048572"/>
      <c r="U1048572"/>
      <c r="V1048572"/>
      <c r="W1048572"/>
      <c r="X1048572"/>
      <c r="Y1048572"/>
      <c r="Z1048572"/>
      <c r="AA1048572"/>
      <c r="AB1048572"/>
    </row>
    <row r="1048573" spans="1:28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  <c r="N1048573"/>
      <c r="O1048573"/>
      <c r="P1048573"/>
      <c r="Q1048573"/>
      <c r="R1048573"/>
      <c r="S1048573"/>
      <c r="T1048573"/>
      <c r="U1048573"/>
      <c r="V1048573"/>
      <c r="W1048573"/>
      <c r="X1048573"/>
      <c r="Y1048573"/>
      <c r="Z1048573"/>
      <c r="AA1048573"/>
      <c r="AB1048573"/>
    </row>
    <row r="1048574" spans="1:28">
      <c r="A1048574"/>
      <c r="B1048574"/>
      <c r="C1048574"/>
      <c r="D1048574"/>
      <c r="E1048574"/>
      <c r="F1048574"/>
      <c r="G1048574"/>
      <c r="H1048574"/>
      <c r="I1048574"/>
      <c r="J1048574"/>
      <c r="K1048574"/>
      <c r="L1048574"/>
      <c r="M1048574"/>
      <c r="N1048574"/>
      <c r="O1048574"/>
      <c r="P1048574"/>
      <c r="Q1048574"/>
      <c r="R1048574"/>
      <c r="S1048574"/>
      <c r="T1048574"/>
      <c r="U1048574"/>
      <c r="V1048574"/>
      <c r="W1048574"/>
      <c r="X1048574"/>
      <c r="Y1048574"/>
      <c r="Z1048574"/>
      <c r="AA1048574"/>
      <c r="AB1048574"/>
    </row>
    <row r="1048575" spans="1:28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  <c r="N1048575"/>
      <c r="O1048575"/>
      <c r="P1048575"/>
      <c r="Q1048575"/>
      <c r="R1048575"/>
      <c r="S1048575"/>
      <c r="T1048575"/>
      <c r="U1048575"/>
      <c r="V1048575"/>
      <c r="W1048575"/>
      <c r="X1048575"/>
      <c r="Y1048575"/>
      <c r="Z1048575"/>
      <c r="AA1048575"/>
      <c r="AB1048575"/>
    </row>
    <row r="1048576" spans="1:28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  <c r="M1048576"/>
      <c r="N1048576"/>
      <c r="O1048576"/>
      <c r="P1048576"/>
      <c r="Q1048576"/>
      <c r="R1048576"/>
      <c r="S1048576"/>
      <c r="T1048576"/>
      <c r="U1048576"/>
      <c r="V1048576"/>
      <c r="W1048576"/>
      <c r="X1048576"/>
      <c r="Y1048576"/>
      <c r="Z1048576"/>
      <c r="AA1048576"/>
      <c r="AB1048576"/>
    </row>
  </sheetData>
  <mergeCells count="24">
    <mergeCell ref="A77:A79"/>
    <mergeCell ref="A80:A82"/>
    <mergeCell ref="A83:A85"/>
    <mergeCell ref="A86:A87"/>
    <mergeCell ref="E77:E79"/>
    <mergeCell ref="E80:E82"/>
    <mergeCell ref="E83:E85"/>
    <mergeCell ref="E86:E87"/>
    <mergeCell ref="F77:F79"/>
    <mergeCell ref="F80:F82"/>
    <mergeCell ref="F83:F85"/>
    <mergeCell ref="F86:F87"/>
    <mergeCell ref="G77:G79"/>
    <mergeCell ref="G80:G82"/>
    <mergeCell ref="G83:G85"/>
    <mergeCell ref="G86:G87"/>
    <mergeCell ref="H77:H79"/>
    <mergeCell ref="H80:H82"/>
    <mergeCell ref="H83:H85"/>
    <mergeCell ref="H86:H87"/>
    <mergeCell ref="I77:I79"/>
    <mergeCell ref="I80:I82"/>
    <mergeCell ref="I83:I85"/>
    <mergeCell ref="I86:I8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opLeftCell="A123" workbookViewId="0">
      <selection activeCell="C129" sqref="C129"/>
    </sheetView>
  </sheetViews>
  <sheetFormatPr defaultColWidth="9" defaultRowHeight="15"/>
  <cols>
    <col min="1" max="1" width="19.42578125" customWidth="1"/>
    <col min="2" max="2" width="24.140625" customWidth="1"/>
    <col min="3" max="3" width="26.5703125" customWidth="1"/>
    <col min="4" max="5" width="44.85546875" customWidth="1"/>
    <col min="8" max="8" width="14.85546875" customWidth="1"/>
    <col min="9" max="9" width="34.140625" customWidth="1"/>
  </cols>
  <sheetData>
    <row r="1" spans="1:9">
      <c r="A1" t="s">
        <v>269</v>
      </c>
    </row>
    <row r="2" spans="1:9">
      <c r="A2" s="1" t="s">
        <v>270</v>
      </c>
      <c r="B2" s="18">
        <v>2</v>
      </c>
    </row>
    <row r="3" spans="1:9">
      <c r="A3" s="1" t="s">
        <v>271</v>
      </c>
      <c r="B3" s="18" t="s">
        <v>272</v>
      </c>
    </row>
    <row r="4" spans="1:9">
      <c r="A4" s="1" t="s">
        <v>273</v>
      </c>
      <c r="B4" s="18" t="s">
        <v>274</v>
      </c>
    </row>
    <row r="5" spans="1:9">
      <c r="A5" s="8" t="s">
        <v>275</v>
      </c>
      <c r="B5" s="184"/>
      <c r="C5" s="8" t="s">
        <v>276</v>
      </c>
      <c r="D5" s="8" t="s">
        <v>277</v>
      </c>
      <c r="E5" s="8" t="s">
        <v>278</v>
      </c>
      <c r="F5" s="8" t="s">
        <v>279</v>
      </c>
      <c r="G5" s="8" t="s">
        <v>280</v>
      </c>
      <c r="H5" s="8" t="s">
        <v>281</v>
      </c>
      <c r="I5" s="8" t="s">
        <v>23</v>
      </c>
    </row>
    <row r="6" spans="1:9">
      <c r="A6" s="2" t="s">
        <v>282</v>
      </c>
      <c r="B6" s="2" t="s">
        <v>283</v>
      </c>
      <c r="C6" s="2" t="s">
        <v>284</v>
      </c>
      <c r="D6" s="2" t="s">
        <v>285</v>
      </c>
      <c r="E6" s="2" t="s">
        <v>286</v>
      </c>
      <c r="F6" s="2">
        <v>8</v>
      </c>
      <c r="G6" s="2">
        <v>16</v>
      </c>
      <c r="H6" s="2">
        <v>8</v>
      </c>
      <c r="I6" s="2" t="s">
        <v>287</v>
      </c>
    </row>
    <row r="7" spans="1:9">
      <c r="A7" s="2" t="s">
        <v>288</v>
      </c>
      <c r="B7" s="2" t="s">
        <v>289</v>
      </c>
      <c r="C7" s="2" t="s">
        <v>290</v>
      </c>
      <c r="D7" s="2" t="s">
        <v>285</v>
      </c>
      <c r="E7" s="2" t="s">
        <v>286</v>
      </c>
      <c r="F7" s="2">
        <v>8</v>
      </c>
      <c r="G7" s="2">
        <v>16</v>
      </c>
      <c r="H7" s="2">
        <v>128</v>
      </c>
      <c r="I7" s="2" t="s">
        <v>291</v>
      </c>
    </row>
    <row r="8" spans="1:9">
      <c r="A8" s="2" t="s">
        <v>292</v>
      </c>
      <c r="B8" s="2" t="s">
        <v>293</v>
      </c>
      <c r="C8" s="2" t="s">
        <v>294</v>
      </c>
      <c r="D8" s="2" t="s">
        <v>285</v>
      </c>
      <c r="E8" s="2" t="s">
        <v>286</v>
      </c>
      <c r="F8" s="2">
        <v>8</v>
      </c>
      <c r="G8" s="2">
        <v>16</v>
      </c>
      <c r="H8" s="2">
        <v>128</v>
      </c>
      <c r="I8" s="2" t="s">
        <v>295</v>
      </c>
    </row>
    <row r="9" spans="1:9">
      <c r="A9" s="2" t="s">
        <v>296</v>
      </c>
      <c r="B9" s="2" t="s">
        <v>293</v>
      </c>
      <c r="C9" s="2" t="s">
        <v>297</v>
      </c>
      <c r="D9" s="2" t="s">
        <v>285</v>
      </c>
      <c r="E9" s="2" t="s">
        <v>298</v>
      </c>
      <c r="F9" s="2">
        <v>12</v>
      </c>
      <c r="G9" s="2">
        <v>24</v>
      </c>
      <c r="H9" s="2">
        <v>256</v>
      </c>
      <c r="I9" s="2" t="s">
        <v>295</v>
      </c>
    </row>
    <row r="10" spans="1:9">
      <c r="A10" s="2" t="s">
        <v>299</v>
      </c>
      <c r="B10" s="2" t="s">
        <v>293</v>
      </c>
      <c r="C10" s="2" t="s">
        <v>300</v>
      </c>
      <c r="D10" s="2" t="s">
        <v>285</v>
      </c>
      <c r="E10" s="2" t="s">
        <v>298</v>
      </c>
      <c r="F10" s="2">
        <v>12</v>
      </c>
      <c r="G10" s="2">
        <v>24</v>
      </c>
      <c r="H10" s="2">
        <v>256</v>
      </c>
      <c r="I10" s="2" t="s">
        <v>295</v>
      </c>
    </row>
    <row r="11" spans="1:9">
      <c r="A11" s="2" t="s">
        <v>301</v>
      </c>
      <c r="B11" s="2" t="s">
        <v>293</v>
      </c>
      <c r="C11" s="2" t="s">
        <v>302</v>
      </c>
      <c r="D11" s="2" t="s">
        <v>285</v>
      </c>
      <c r="E11" s="2" t="s">
        <v>298</v>
      </c>
      <c r="F11" s="2">
        <v>12</v>
      </c>
      <c r="G11" s="2">
        <v>24</v>
      </c>
      <c r="H11" s="2">
        <v>256</v>
      </c>
      <c r="I11" s="2" t="s">
        <v>295</v>
      </c>
    </row>
    <row r="12" spans="1:9">
      <c r="A12" s="2" t="s">
        <v>303</v>
      </c>
      <c r="B12" s="2" t="s">
        <v>293</v>
      </c>
      <c r="C12" s="2" t="s">
        <v>304</v>
      </c>
      <c r="D12" s="2" t="s">
        <v>285</v>
      </c>
      <c r="E12" s="2" t="s">
        <v>298</v>
      </c>
      <c r="F12" s="2">
        <v>12</v>
      </c>
      <c r="G12" s="2">
        <v>24</v>
      </c>
      <c r="H12" s="2">
        <v>256</v>
      </c>
      <c r="I12" s="2" t="s">
        <v>295</v>
      </c>
    </row>
    <row r="13" spans="1:9">
      <c r="A13" s="2" t="s">
        <v>305</v>
      </c>
      <c r="B13" s="2" t="s">
        <v>293</v>
      </c>
      <c r="C13" s="2" t="s">
        <v>306</v>
      </c>
      <c r="D13" s="2" t="s">
        <v>285</v>
      </c>
      <c r="E13" s="2" t="s">
        <v>298</v>
      </c>
      <c r="F13" s="2">
        <v>12</v>
      </c>
      <c r="G13" s="2">
        <v>24</v>
      </c>
      <c r="H13" s="2">
        <v>256</v>
      </c>
      <c r="I13" s="2" t="s">
        <v>295</v>
      </c>
    </row>
    <row r="14" spans="1:9">
      <c r="A14" s="2" t="s">
        <v>307</v>
      </c>
      <c r="B14" s="2" t="s">
        <v>293</v>
      </c>
      <c r="C14" s="2" t="s">
        <v>308</v>
      </c>
      <c r="D14" s="2" t="s">
        <v>285</v>
      </c>
      <c r="E14" s="2" t="s">
        <v>298</v>
      </c>
      <c r="F14" s="2">
        <v>12</v>
      </c>
      <c r="G14" s="2">
        <v>24</v>
      </c>
      <c r="H14" s="2">
        <v>256</v>
      </c>
      <c r="I14" s="2" t="s">
        <v>295</v>
      </c>
    </row>
    <row r="15" spans="1:9">
      <c r="A15" s="2" t="s">
        <v>309</v>
      </c>
      <c r="B15" s="2" t="s">
        <v>293</v>
      </c>
      <c r="C15" s="2" t="s">
        <v>310</v>
      </c>
      <c r="D15" s="2" t="s">
        <v>285</v>
      </c>
      <c r="E15" s="2" t="s">
        <v>298</v>
      </c>
      <c r="F15" s="2">
        <v>12</v>
      </c>
      <c r="G15" s="2">
        <v>24</v>
      </c>
      <c r="H15" s="2">
        <v>256</v>
      </c>
      <c r="I15" s="2" t="s">
        <v>295</v>
      </c>
    </row>
    <row r="16" spans="1:9">
      <c r="A16" s="2" t="s">
        <v>311</v>
      </c>
      <c r="B16" s="2" t="s">
        <v>293</v>
      </c>
      <c r="C16" s="2" t="s">
        <v>312</v>
      </c>
      <c r="D16" s="2" t="s">
        <v>285</v>
      </c>
      <c r="E16" s="2" t="s">
        <v>298</v>
      </c>
      <c r="F16" s="2">
        <v>12</v>
      </c>
      <c r="G16" s="2">
        <v>24</v>
      </c>
      <c r="H16" s="2">
        <v>256</v>
      </c>
      <c r="I16" s="2" t="s">
        <v>295</v>
      </c>
    </row>
    <row r="17" spans="1:9">
      <c r="A17" s="185" t="s">
        <v>313</v>
      </c>
      <c r="B17" s="185" t="s">
        <v>293</v>
      </c>
      <c r="C17" s="185" t="s">
        <v>314</v>
      </c>
      <c r="D17" s="185" t="s">
        <v>315</v>
      </c>
      <c r="E17" s="185" t="s">
        <v>316</v>
      </c>
      <c r="F17" s="185">
        <v>22</v>
      </c>
      <c r="G17" s="185">
        <v>44</v>
      </c>
      <c r="H17" s="185">
        <v>256</v>
      </c>
      <c r="I17" s="2" t="s">
        <v>317</v>
      </c>
    </row>
    <row r="18" spans="1:9">
      <c r="A18" s="2" t="s">
        <v>318</v>
      </c>
      <c r="B18" s="2" t="s">
        <v>319</v>
      </c>
      <c r="C18" s="2" t="s">
        <v>320</v>
      </c>
      <c r="D18" s="2" t="s">
        <v>285</v>
      </c>
      <c r="E18" s="2" t="s">
        <v>298</v>
      </c>
      <c r="F18" s="2">
        <v>12</v>
      </c>
      <c r="G18" s="2">
        <v>24</v>
      </c>
      <c r="H18" s="2">
        <v>256</v>
      </c>
      <c r="I18" s="2" t="s">
        <v>295</v>
      </c>
    </row>
    <row r="19" spans="1:9">
      <c r="A19" s="185" t="s">
        <v>321</v>
      </c>
      <c r="B19" s="185" t="s">
        <v>293</v>
      </c>
      <c r="C19" s="185" t="s">
        <v>322</v>
      </c>
      <c r="D19" s="185" t="s">
        <v>323</v>
      </c>
      <c r="E19" s="185" t="s">
        <v>324</v>
      </c>
      <c r="F19" s="185">
        <v>12</v>
      </c>
      <c r="G19" s="185">
        <v>24</v>
      </c>
      <c r="H19" s="185">
        <v>256</v>
      </c>
      <c r="I19" s="2" t="s">
        <v>325</v>
      </c>
    </row>
    <row r="20" spans="1:9">
      <c r="A20" s="2" t="s">
        <v>326</v>
      </c>
      <c r="B20" s="2" t="s">
        <v>319</v>
      </c>
      <c r="C20" s="2" t="s">
        <v>327</v>
      </c>
      <c r="D20" s="2" t="s">
        <v>285</v>
      </c>
      <c r="E20" s="2" t="s">
        <v>298</v>
      </c>
      <c r="F20" s="2">
        <v>12</v>
      </c>
      <c r="G20" s="2">
        <v>24</v>
      </c>
      <c r="H20" s="2">
        <v>256</v>
      </c>
      <c r="I20" s="2" t="s">
        <v>295</v>
      </c>
    </row>
    <row r="21" spans="1:9">
      <c r="A21" s="2" t="s">
        <v>328</v>
      </c>
      <c r="B21" s="2" t="s">
        <v>319</v>
      </c>
      <c r="C21" s="2" t="s">
        <v>329</v>
      </c>
      <c r="D21" s="2" t="s">
        <v>285</v>
      </c>
      <c r="E21" s="2" t="s">
        <v>298</v>
      </c>
      <c r="F21" s="2">
        <v>12</v>
      </c>
      <c r="G21" s="2">
        <v>24</v>
      </c>
      <c r="H21" s="2">
        <v>256</v>
      </c>
      <c r="I21" s="2" t="s">
        <v>295</v>
      </c>
    </row>
    <row r="22" spans="1:9">
      <c r="E22" s="52" t="s">
        <v>330</v>
      </c>
      <c r="F22" s="18"/>
      <c r="G22" s="18">
        <f>SUM(G6:G21)</f>
        <v>380</v>
      </c>
      <c r="H22" s="18">
        <f>SUM(H6:H21)</f>
        <v>3592</v>
      </c>
    </row>
    <row r="23" spans="1:9">
      <c r="E23" s="52" t="s">
        <v>331</v>
      </c>
      <c r="F23" s="18"/>
      <c r="G23" s="18">
        <f>SUM(G8,G9,G10,G11,G12,G13,G14,G15,G16,G17,G19)</f>
        <v>276</v>
      </c>
      <c r="H23" s="18">
        <f>SUM(H8,H9,H10,H11,H12,H13,H14,H15,H16,H17,H19)</f>
        <v>2688</v>
      </c>
    </row>
    <row r="24" spans="1:9">
      <c r="E24" s="52" t="s">
        <v>332</v>
      </c>
      <c r="F24" s="18"/>
      <c r="G24" s="18">
        <f>SUM(G8:G16)</f>
        <v>208</v>
      </c>
      <c r="H24" s="18">
        <f>SUM(H8:H16)</f>
        <v>2176</v>
      </c>
    </row>
    <row r="25" spans="1:9">
      <c r="E25" s="52" t="s">
        <v>333</v>
      </c>
      <c r="F25" s="18"/>
      <c r="G25" s="18">
        <f>SUM(G18,G20,G21)</f>
        <v>72</v>
      </c>
      <c r="H25" s="18">
        <f>SUM(H18,H20,H21)</f>
        <v>768</v>
      </c>
    </row>
    <row r="27" spans="1:9">
      <c r="A27" t="s">
        <v>271</v>
      </c>
      <c r="B27" t="s">
        <v>272</v>
      </c>
    </row>
    <row r="28" spans="1:9">
      <c r="A28" s="1" t="s">
        <v>334</v>
      </c>
      <c r="B28" s="1" t="s">
        <v>335</v>
      </c>
    </row>
    <row r="29" spans="1:9">
      <c r="A29" s="8" t="s">
        <v>275</v>
      </c>
      <c r="B29" s="184"/>
      <c r="C29" s="8" t="s">
        <v>276</v>
      </c>
      <c r="D29" s="8" t="s">
        <v>277</v>
      </c>
      <c r="E29" s="8" t="s">
        <v>278</v>
      </c>
      <c r="F29" s="8" t="s">
        <v>279</v>
      </c>
      <c r="G29" s="8" t="s">
        <v>5</v>
      </c>
      <c r="H29" s="8" t="s">
        <v>281</v>
      </c>
      <c r="I29" s="8" t="s">
        <v>23</v>
      </c>
    </row>
    <row r="30" spans="1:9">
      <c r="A30" s="2" t="s">
        <v>282</v>
      </c>
      <c r="B30" s="2" t="s">
        <v>336</v>
      </c>
      <c r="C30" s="2" t="s">
        <v>337</v>
      </c>
      <c r="D30" s="2" t="s">
        <v>338</v>
      </c>
      <c r="E30" s="2" t="s">
        <v>339</v>
      </c>
      <c r="F30" s="2">
        <v>12</v>
      </c>
      <c r="G30" s="2">
        <v>24</v>
      </c>
      <c r="H30" s="2">
        <v>128</v>
      </c>
      <c r="I30" s="2" t="s">
        <v>295</v>
      </c>
    </row>
    <row r="31" spans="1:9">
      <c r="A31" s="2" t="s">
        <v>288</v>
      </c>
      <c r="B31" s="2" t="s">
        <v>340</v>
      </c>
      <c r="C31" s="2" t="s">
        <v>341</v>
      </c>
      <c r="D31" s="2" t="s">
        <v>338</v>
      </c>
      <c r="E31" s="2" t="s">
        <v>339</v>
      </c>
      <c r="F31" s="2">
        <v>12</v>
      </c>
      <c r="G31" s="2">
        <v>24</v>
      </c>
      <c r="H31" s="2">
        <v>128</v>
      </c>
      <c r="I31" s="2" t="s">
        <v>295</v>
      </c>
    </row>
    <row r="32" spans="1:9">
      <c r="A32" s="2" t="s">
        <v>292</v>
      </c>
      <c r="B32" s="2" t="s">
        <v>342</v>
      </c>
      <c r="C32" s="2" t="s">
        <v>343</v>
      </c>
      <c r="D32" s="2" t="s">
        <v>338</v>
      </c>
      <c r="E32" s="2" t="s">
        <v>344</v>
      </c>
      <c r="F32" s="2">
        <v>12</v>
      </c>
      <c r="G32" s="2">
        <v>24</v>
      </c>
      <c r="H32" s="2">
        <v>128</v>
      </c>
      <c r="I32" s="2" t="s">
        <v>295</v>
      </c>
    </row>
    <row r="33" spans="1:9">
      <c r="A33" s="2" t="s">
        <v>296</v>
      </c>
      <c r="B33" s="2" t="s">
        <v>345</v>
      </c>
      <c r="C33" s="2" t="s">
        <v>346</v>
      </c>
      <c r="D33" s="2" t="s">
        <v>338</v>
      </c>
      <c r="E33" s="2" t="s">
        <v>344</v>
      </c>
      <c r="F33" s="2">
        <v>12</v>
      </c>
      <c r="G33" s="2">
        <v>24</v>
      </c>
      <c r="H33" s="2">
        <v>128</v>
      </c>
      <c r="I33" s="2" t="s">
        <v>295</v>
      </c>
    </row>
    <row r="34" spans="1:9">
      <c r="A34" s="2" t="s">
        <v>299</v>
      </c>
      <c r="B34" s="2" t="s">
        <v>347</v>
      </c>
      <c r="C34" s="2" t="s">
        <v>348</v>
      </c>
      <c r="D34" s="2" t="s">
        <v>338</v>
      </c>
      <c r="E34" s="2" t="s">
        <v>344</v>
      </c>
      <c r="F34" s="2">
        <v>12</v>
      </c>
      <c r="G34" s="2">
        <v>24</v>
      </c>
      <c r="H34" s="2">
        <v>128</v>
      </c>
      <c r="I34" s="2" t="s">
        <v>295</v>
      </c>
    </row>
    <row r="35" spans="1:9">
      <c r="A35" s="2" t="s">
        <v>301</v>
      </c>
      <c r="B35" s="2" t="s">
        <v>349</v>
      </c>
      <c r="C35" s="2" t="s">
        <v>350</v>
      </c>
      <c r="D35" s="2" t="s">
        <v>338</v>
      </c>
      <c r="E35" s="2" t="s">
        <v>344</v>
      </c>
      <c r="F35" s="2">
        <v>12</v>
      </c>
      <c r="G35" s="2">
        <v>24</v>
      </c>
      <c r="H35" s="2">
        <v>128</v>
      </c>
      <c r="I35" s="2" t="s">
        <v>295</v>
      </c>
    </row>
    <row r="36" spans="1:9">
      <c r="A36" s="2" t="s">
        <v>303</v>
      </c>
      <c r="B36" s="2" t="s">
        <v>319</v>
      </c>
      <c r="C36" s="2" t="s">
        <v>351</v>
      </c>
      <c r="D36" s="2" t="s">
        <v>285</v>
      </c>
      <c r="E36" s="2" t="s">
        <v>298</v>
      </c>
      <c r="F36" s="2">
        <v>12</v>
      </c>
      <c r="G36" s="2">
        <v>24</v>
      </c>
      <c r="H36" s="2">
        <v>256</v>
      </c>
      <c r="I36" s="2" t="s">
        <v>295</v>
      </c>
    </row>
    <row r="37" spans="1:9">
      <c r="A37" s="2" t="s">
        <v>305</v>
      </c>
      <c r="B37" s="2" t="s">
        <v>352</v>
      </c>
      <c r="C37" s="2"/>
      <c r="D37" s="2"/>
      <c r="E37" s="2"/>
      <c r="F37" s="2"/>
      <c r="G37" s="2"/>
      <c r="H37" s="2"/>
      <c r="I37" s="2"/>
    </row>
    <row r="38" spans="1:9">
      <c r="A38" s="2" t="s">
        <v>307</v>
      </c>
      <c r="B38" s="2" t="s">
        <v>352</v>
      </c>
      <c r="C38" s="2"/>
      <c r="D38" s="2"/>
      <c r="E38" s="2"/>
      <c r="F38" s="2"/>
      <c r="G38" s="2"/>
      <c r="H38" s="2"/>
      <c r="I38" s="2"/>
    </row>
    <row r="39" spans="1:9">
      <c r="A39" s="2" t="s">
        <v>309</v>
      </c>
      <c r="B39" s="2" t="s">
        <v>352</v>
      </c>
      <c r="C39" s="2"/>
      <c r="D39" s="2"/>
      <c r="E39" s="2"/>
      <c r="F39" s="2"/>
      <c r="G39" s="2"/>
      <c r="H39" s="2"/>
      <c r="I39" s="2"/>
    </row>
    <row r="40" spans="1:9">
      <c r="A40" s="2" t="s">
        <v>311</v>
      </c>
      <c r="B40" s="2" t="s">
        <v>352</v>
      </c>
      <c r="C40" s="2"/>
      <c r="D40" s="2"/>
      <c r="E40" s="2"/>
      <c r="F40" s="2"/>
      <c r="G40" s="2"/>
      <c r="H40" s="2"/>
      <c r="I40" s="2"/>
    </row>
    <row r="41" spans="1:9">
      <c r="A41" s="2" t="s">
        <v>313</v>
      </c>
      <c r="B41" s="2" t="s">
        <v>352</v>
      </c>
      <c r="C41" s="2"/>
      <c r="D41" s="2"/>
      <c r="E41" s="2"/>
      <c r="F41" s="2"/>
      <c r="G41" s="2"/>
      <c r="H41" s="2"/>
      <c r="I41" s="2"/>
    </row>
    <row r="42" spans="1:9">
      <c r="A42" s="2" t="s">
        <v>318</v>
      </c>
      <c r="B42" s="2" t="s">
        <v>352</v>
      </c>
      <c r="C42" s="2"/>
      <c r="D42" s="2"/>
      <c r="E42" s="2"/>
      <c r="F42" s="2"/>
      <c r="G42" s="2"/>
      <c r="H42" s="2"/>
      <c r="I42" s="2"/>
    </row>
    <row r="43" spans="1:9">
      <c r="A43" s="2" t="s">
        <v>321</v>
      </c>
      <c r="B43" s="2" t="s">
        <v>352</v>
      </c>
      <c r="C43" s="2"/>
      <c r="D43" s="2"/>
      <c r="E43" s="2"/>
      <c r="F43" s="2"/>
      <c r="G43" s="2"/>
      <c r="H43" s="2"/>
      <c r="I43" s="2"/>
    </row>
    <row r="44" spans="1:9">
      <c r="A44" s="2" t="s">
        <v>326</v>
      </c>
      <c r="B44" s="2" t="s">
        <v>352</v>
      </c>
      <c r="C44" s="2"/>
      <c r="D44" s="2"/>
      <c r="E44" s="2"/>
      <c r="F44" s="2"/>
      <c r="G44" s="2"/>
      <c r="H44" s="2"/>
      <c r="I44" s="2"/>
    </row>
    <row r="45" spans="1:9">
      <c r="A45" s="2" t="s">
        <v>328</v>
      </c>
      <c r="B45" s="2" t="s">
        <v>319</v>
      </c>
      <c r="C45" s="2" t="s">
        <v>353</v>
      </c>
      <c r="D45" s="2" t="s">
        <v>285</v>
      </c>
      <c r="E45" s="2" t="s">
        <v>298</v>
      </c>
      <c r="F45" s="2">
        <v>12</v>
      </c>
      <c r="G45" s="2">
        <v>24</v>
      </c>
      <c r="H45" s="2">
        <v>256</v>
      </c>
      <c r="I45" s="2" t="s">
        <v>295</v>
      </c>
    </row>
    <row r="46" spans="1:9">
      <c r="E46" s="52" t="s">
        <v>330</v>
      </c>
      <c r="F46" s="18"/>
      <c r="G46" s="18">
        <f>SUM(G30:G45)</f>
        <v>192</v>
      </c>
      <c r="H46" s="18">
        <f>SUM(H30:H45)</f>
        <v>1280</v>
      </c>
    </row>
    <row r="47" spans="1:9">
      <c r="E47" s="52" t="s">
        <v>333</v>
      </c>
      <c r="F47" s="18"/>
      <c r="G47" s="18">
        <f>SUM(G36,G45)</f>
        <v>48</v>
      </c>
      <c r="H47" s="18">
        <f>SUM(H36,H45)</f>
        <v>512</v>
      </c>
    </row>
    <row r="49" spans="1:9">
      <c r="E49" s="2" t="s">
        <v>330</v>
      </c>
      <c r="F49" s="2"/>
      <c r="G49" s="2">
        <f>SUM(G23)</f>
        <v>276</v>
      </c>
      <c r="H49" s="2">
        <f>SUM(H23)</f>
        <v>2688</v>
      </c>
    </row>
    <row r="50" spans="1:9">
      <c r="E50" s="2" t="s">
        <v>354</v>
      </c>
      <c r="F50" s="2"/>
      <c r="G50" s="2">
        <f>SUM(G25,G47)</f>
        <v>120</v>
      </c>
      <c r="H50" s="2">
        <f>SUM(H25,H47)</f>
        <v>1280</v>
      </c>
    </row>
    <row r="53" spans="1:9">
      <c r="A53" t="s">
        <v>355</v>
      </c>
    </row>
    <row r="54" spans="1:9">
      <c r="A54" s="8" t="s">
        <v>275</v>
      </c>
      <c r="B54" s="184"/>
      <c r="C54" s="8" t="s">
        <v>276</v>
      </c>
      <c r="D54" s="8" t="s">
        <v>277</v>
      </c>
      <c r="E54" s="8" t="s">
        <v>278</v>
      </c>
      <c r="F54" s="8" t="s">
        <v>279</v>
      </c>
      <c r="G54" s="8" t="s">
        <v>5</v>
      </c>
      <c r="H54" s="8" t="s">
        <v>281</v>
      </c>
      <c r="I54" s="8" t="s">
        <v>23</v>
      </c>
    </row>
    <row r="55" spans="1:9">
      <c r="A55" s="2" t="s">
        <v>356</v>
      </c>
      <c r="B55" s="2"/>
      <c r="C55" s="2"/>
      <c r="D55" s="2" t="s">
        <v>356</v>
      </c>
      <c r="E55" s="2" t="s">
        <v>324</v>
      </c>
      <c r="F55" s="2">
        <v>12</v>
      </c>
      <c r="G55" s="2">
        <v>24</v>
      </c>
      <c r="H55" s="2">
        <v>128</v>
      </c>
      <c r="I55" s="2" t="s">
        <v>295</v>
      </c>
    </row>
    <row r="56" spans="1:9">
      <c r="A56" s="2" t="s">
        <v>357</v>
      </c>
      <c r="B56" s="2"/>
      <c r="C56" s="2"/>
      <c r="D56" s="2" t="s">
        <v>357</v>
      </c>
      <c r="E56" s="2" t="s">
        <v>358</v>
      </c>
      <c r="F56" s="2">
        <v>12</v>
      </c>
      <c r="G56" s="2">
        <v>24</v>
      </c>
      <c r="H56" s="2">
        <v>256</v>
      </c>
      <c r="I56" s="2" t="s">
        <v>359</v>
      </c>
    </row>
    <row r="57" spans="1:9">
      <c r="E57" s="1" t="s">
        <v>330</v>
      </c>
      <c r="F57" s="6"/>
      <c r="G57" s="1">
        <f>SUM(G55:G56)</f>
        <v>48</v>
      </c>
      <c r="H57" s="1">
        <f>SUM(H55:H56)</f>
        <v>384</v>
      </c>
    </row>
    <row r="60" spans="1:9">
      <c r="A60" s="186"/>
      <c r="B60" s="187" t="s">
        <v>360</v>
      </c>
      <c r="C60" s="187" t="s">
        <v>361</v>
      </c>
    </row>
    <row r="61" spans="1:9" ht="15.95" customHeight="1">
      <c r="A61" s="188" t="s">
        <v>362</v>
      </c>
      <c r="B61" s="189">
        <v>33</v>
      </c>
      <c r="C61" s="189">
        <v>559</v>
      </c>
    </row>
    <row r="62" spans="1:9">
      <c r="A62" s="188" t="s">
        <v>363</v>
      </c>
      <c r="B62" s="189">
        <f>SUM(48*2)</f>
        <v>96</v>
      </c>
      <c r="C62" s="189">
        <v>384</v>
      </c>
    </row>
    <row r="63" spans="1:9">
      <c r="A63" s="190"/>
      <c r="B63" s="189">
        <f>SUM(B62-B61)</f>
        <v>63</v>
      </c>
      <c r="C63" s="189">
        <f>SUM(C62-C61)</f>
        <v>-175</v>
      </c>
    </row>
    <row r="64" spans="1:9">
      <c r="A64" s="191"/>
      <c r="B64" s="192"/>
      <c r="C64" s="192"/>
    </row>
    <row r="65" spans="1:5">
      <c r="A65" s="191"/>
      <c r="B65" s="192"/>
      <c r="C65" s="192"/>
    </row>
    <row r="66" spans="1:5">
      <c r="A66" s="191"/>
      <c r="B66" s="192"/>
      <c r="C66" s="192"/>
    </row>
    <row r="68" spans="1:5">
      <c r="A68" s="2"/>
      <c r="B68" s="2" t="s">
        <v>364</v>
      </c>
      <c r="C68" s="2" t="s">
        <v>360</v>
      </c>
      <c r="D68" s="2" t="s">
        <v>365</v>
      </c>
      <c r="E68" s="2" t="s">
        <v>257</v>
      </c>
    </row>
    <row r="69" spans="1:5">
      <c r="A69" s="2" t="s">
        <v>251</v>
      </c>
      <c r="B69" s="2">
        <v>14</v>
      </c>
      <c r="C69" s="2">
        <v>33</v>
      </c>
      <c r="D69" s="2">
        <v>158720</v>
      </c>
      <c r="E69" s="2">
        <v>158</v>
      </c>
    </row>
    <row r="70" spans="1:5">
      <c r="A70" s="2" t="s">
        <v>253</v>
      </c>
      <c r="B70" s="2">
        <v>49</v>
      </c>
      <c r="C70" s="2">
        <v>542</v>
      </c>
      <c r="D70" s="2">
        <v>1838112</v>
      </c>
      <c r="E70" s="2">
        <v>1838</v>
      </c>
    </row>
    <row r="74" spans="1:5">
      <c r="A74" s="2" t="s">
        <v>253</v>
      </c>
      <c r="B74" s="2" t="s">
        <v>366</v>
      </c>
      <c r="C74" s="2" t="s">
        <v>367</v>
      </c>
    </row>
    <row r="75" spans="1:5">
      <c r="A75" s="2" t="s">
        <v>360</v>
      </c>
      <c r="B75" s="2">
        <v>542</v>
      </c>
      <c r="C75" s="2">
        <v>276</v>
      </c>
    </row>
    <row r="76" spans="1:5">
      <c r="A76" s="2" t="s">
        <v>257</v>
      </c>
      <c r="B76" s="2">
        <v>1838</v>
      </c>
      <c r="C76" s="2">
        <f>SUM(H23)</f>
        <v>2688</v>
      </c>
    </row>
    <row r="79" spans="1:5">
      <c r="A79" t="s">
        <v>243</v>
      </c>
    </row>
    <row r="80" spans="1:5">
      <c r="A80" s="2" t="s">
        <v>331</v>
      </c>
      <c r="B80" s="2">
        <v>542</v>
      </c>
      <c r="C80" s="2">
        <v>1838</v>
      </c>
    </row>
    <row r="81" spans="1:3">
      <c r="A81" s="2" t="s">
        <v>367</v>
      </c>
      <c r="B81" s="2">
        <f>SUM(276*2)</f>
        <v>552</v>
      </c>
      <c r="C81" s="2">
        <f>SUM(H23)</f>
        <v>2688</v>
      </c>
    </row>
    <row r="83" spans="1:3">
      <c r="A83" s="2" t="s">
        <v>257</v>
      </c>
    </row>
    <row r="84" spans="1:3">
      <c r="A84" s="2" t="s">
        <v>331</v>
      </c>
      <c r="B84" s="2">
        <v>276</v>
      </c>
    </row>
    <row r="85" spans="1:3">
      <c r="A85" s="2" t="s">
        <v>367</v>
      </c>
      <c r="B85" s="2">
        <f>SUM(H23)</f>
        <v>2688</v>
      </c>
    </row>
    <row r="101" spans="1:3">
      <c r="A101" s="9"/>
      <c r="B101" s="20" t="s">
        <v>360</v>
      </c>
      <c r="C101" s="20" t="s">
        <v>281</v>
      </c>
    </row>
    <row r="102" spans="1:3">
      <c r="A102" s="189" t="s">
        <v>368</v>
      </c>
      <c r="B102" s="18">
        <v>578</v>
      </c>
      <c r="C102" s="18">
        <v>2000</v>
      </c>
    </row>
    <row r="103" spans="1:3">
      <c r="A103" s="189" t="s">
        <v>369</v>
      </c>
      <c r="B103" s="189">
        <f>SUM(276*2)</f>
        <v>552</v>
      </c>
      <c r="C103" s="189">
        <f>SUM(H23)</f>
        <v>2688</v>
      </c>
    </row>
    <row r="104" spans="1:3" ht="30">
      <c r="A104" s="189" t="s">
        <v>370</v>
      </c>
      <c r="B104" s="189">
        <f>SUM(120*2)</f>
        <v>240</v>
      </c>
      <c r="C104" s="189">
        <v>1280</v>
      </c>
    </row>
    <row r="119" spans="1:3">
      <c r="A119" s="9"/>
      <c r="B119" s="20" t="s">
        <v>360</v>
      </c>
      <c r="C119" s="20" t="s">
        <v>281</v>
      </c>
    </row>
    <row r="120" spans="1:3" ht="30">
      <c r="A120" s="193" t="s">
        <v>371</v>
      </c>
      <c r="B120" s="18">
        <f>SUM('VM '!I80)</f>
        <v>1130</v>
      </c>
      <c r="C120" s="18">
        <f>SUM('VM '!I83)</f>
        <v>3135</v>
      </c>
    </row>
    <row r="121" spans="1:3">
      <c r="A121" s="193" t="s">
        <v>369</v>
      </c>
      <c r="B121" s="189">
        <f>SUM(276*2)</f>
        <v>552</v>
      </c>
      <c r="C121" s="189">
        <v>2688</v>
      </c>
    </row>
    <row r="122" spans="1:3">
      <c r="A122" s="2" t="s">
        <v>372</v>
      </c>
      <c r="B122" s="18">
        <f>SUM(B120-B121)</f>
        <v>578</v>
      </c>
      <c r="C122" s="18">
        <f>SUM(C120-C121)</f>
        <v>447</v>
      </c>
    </row>
    <row r="128" spans="1:3">
      <c r="B128" s="20" t="s">
        <v>373</v>
      </c>
      <c r="C128" s="20" t="s">
        <v>374</v>
      </c>
    </row>
    <row r="129" spans="1:3">
      <c r="A129" s="193" t="s">
        <v>369</v>
      </c>
      <c r="B129" s="189">
        <f>SUM(276*2)</f>
        <v>552</v>
      </c>
      <c r="C129" s="189">
        <v>2688</v>
      </c>
    </row>
    <row r="130" spans="1:3">
      <c r="A130" t="s">
        <v>372</v>
      </c>
      <c r="B130" s="18">
        <f>SUM(B122)</f>
        <v>578</v>
      </c>
      <c r="C130" s="18">
        <f>SUM(C122)</f>
        <v>447</v>
      </c>
    </row>
  </sheetData>
  <autoFilter ref="A5:I25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EB238"/>
  <sheetViews>
    <sheetView topLeftCell="A191" workbookViewId="0">
      <selection activeCell="F223" sqref="F223"/>
    </sheetView>
  </sheetViews>
  <sheetFormatPr defaultColWidth="9" defaultRowHeight="15"/>
  <cols>
    <col min="1" max="1" width="28.42578125" style="21" customWidth="1"/>
    <col min="2" max="2" width="15.7109375" style="21" customWidth="1"/>
    <col min="3" max="3" width="13" style="21" customWidth="1"/>
    <col min="4" max="4" width="11" style="21" customWidth="1"/>
    <col min="5" max="5" width="14" style="21" customWidth="1"/>
    <col min="6" max="6" width="18.42578125" style="21" customWidth="1"/>
    <col min="7" max="7" width="9" style="21"/>
    <col min="8" max="8" width="12.28515625" style="21" customWidth="1"/>
    <col min="9" max="14" width="17.42578125" style="21" customWidth="1"/>
    <col min="15" max="16356" width="9" style="21"/>
  </cols>
  <sheetData>
    <row r="1" spans="1:14" s="21" customFormat="1">
      <c r="A1" s="167" t="s">
        <v>0</v>
      </c>
      <c r="B1" s="167" t="s">
        <v>1</v>
      </c>
      <c r="C1" s="167" t="s">
        <v>375</v>
      </c>
      <c r="D1" s="167" t="s">
        <v>376</v>
      </c>
      <c r="E1" s="167" t="s">
        <v>377</v>
      </c>
      <c r="F1" s="167" t="s">
        <v>378</v>
      </c>
      <c r="G1" s="167" t="s">
        <v>379</v>
      </c>
      <c r="H1" s="167" t="s">
        <v>23</v>
      </c>
      <c r="I1" s="167" t="s">
        <v>24</v>
      </c>
      <c r="J1" s="167" t="s">
        <v>25</v>
      </c>
      <c r="K1" s="167" t="s">
        <v>26</v>
      </c>
      <c r="L1" s="167" t="s">
        <v>380</v>
      </c>
      <c r="M1" s="167" t="s">
        <v>27</v>
      </c>
      <c r="N1" s="167" t="s">
        <v>381</v>
      </c>
    </row>
    <row r="2" spans="1:14" s="21" customFormat="1" hidden="1">
      <c r="A2" s="129" t="s">
        <v>28</v>
      </c>
      <c r="B2" s="129" t="s">
        <v>29</v>
      </c>
      <c r="C2" s="129" t="s">
        <v>382</v>
      </c>
      <c r="D2" s="129"/>
      <c r="E2" s="157">
        <v>1048576</v>
      </c>
      <c r="F2" s="129" t="s">
        <v>383</v>
      </c>
      <c r="G2" s="157">
        <v>3</v>
      </c>
      <c r="H2" s="129" t="s">
        <v>38</v>
      </c>
      <c r="I2" s="129" t="s">
        <v>39</v>
      </c>
      <c r="J2" s="129" t="s">
        <v>40</v>
      </c>
      <c r="K2" s="129" t="s">
        <v>41</v>
      </c>
      <c r="L2" s="129"/>
      <c r="M2" s="129" t="s">
        <v>42</v>
      </c>
      <c r="N2" s="129" t="s">
        <v>42</v>
      </c>
    </row>
    <row r="3" spans="1:14" s="21" customFormat="1">
      <c r="A3" s="129" t="s">
        <v>28</v>
      </c>
      <c r="B3" s="129" t="s">
        <v>29</v>
      </c>
      <c r="C3" s="129" t="s">
        <v>384</v>
      </c>
      <c r="D3" s="129" t="s">
        <v>385</v>
      </c>
      <c r="E3" s="157">
        <v>15360</v>
      </c>
      <c r="F3" s="129" t="s">
        <v>383</v>
      </c>
      <c r="G3" s="157">
        <v>1</v>
      </c>
      <c r="H3" s="129" t="s">
        <v>38</v>
      </c>
      <c r="I3" s="129" t="s">
        <v>39</v>
      </c>
      <c r="J3" s="129" t="s">
        <v>40</v>
      </c>
      <c r="K3" s="129" t="s">
        <v>41</v>
      </c>
      <c r="L3" s="129"/>
      <c r="M3" s="129" t="s">
        <v>42</v>
      </c>
      <c r="N3" s="129" t="s">
        <v>42</v>
      </c>
    </row>
    <row r="4" spans="1:14" s="21" customFormat="1">
      <c r="A4" s="129" t="s">
        <v>28</v>
      </c>
      <c r="B4" s="129" t="s">
        <v>29</v>
      </c>
      <c r="C4" s="129" t="s">
        <v>386</v>
      </c>
      <c r="D4" s="129" t="s">
        <v>385</v>
      </c>
      <c r="E4" s="157">
        <v>61440</v>
      </c>
      <c r="F4" s="129" t="s">
        <v>383</v>
      </c>
      <c r="G4" s="157">
        <v>0</v>
      </c>
      <c r="H4" s="129" t="s">
        <v>38</v>
      </c>
      <c r="I4" s="129" t="s">
        <v>39</v>
      </c>
      <c r="J4" s="129" t="s">
        <v>40</v>
      </c>
      <c r="K4" s="129" t="s">
        <v>41</v>
      </c>
      <c r="L4" s="129"/>
      <c r="M4" s="129" t="s">
        <v>42</v>
      </c>
      <c r="N4" s="129" t="s">
        <v>42</v>
      </c>
    </row>
    <row r="5" spans="1:14" s="21" customFormat="1">
      <c r="A5" s="129" t="s">
        <v>43</v>
      </c>
      <c r="B5" s="129" t="s">
        <v>29</v>
      </c>
      <c r="C5" s="129" t="s">
        <v>384</v>
      </c>
      <c r="D5" s="129"/>
      <c r="E5" s="157">
        <v>6291456</v>
      </c>
      <c r="F5" s="129" t="s">
        <v>383</v>
      </c>
      <c r="G5" s="157">
        <v>1</v>
      </c>
      <c r="H5" s="129" t="s">
        <v>38</v>
      </c>
      <c r="I5" s="129" t="s">
        <v>39</v>
      </c>
      <c r="J5" s="129" t="s">
        <v>40</v>
      </c>
      <c r="K5" s="129" t="s">
        <v>46</v>
      </c>
      <c r="L5" s="129"/>
      <c r="M5" s="129" t="s">
        <v>42</v>
      </c>
      <c r="N5" s="129" t="s">
        <v>42</v>
      </c>
    </row>
    <row r="6" spans="1:14" s="21" customFormat="1">
      <c r="A6" s="129" t="s">
        <v>43</v>
      </c>
      <c r="B6" s="129" t="s">
        <v>29</v>
      </c>
      <c r="C6" s="129" t="s">
        <v>386</v>
      </c>
      <c r="D6" s="129" t="s">
        <v>385</v>
      </c>
      <c r="E6" s="157">
        <v>61440</v>
      </c>
      <c r="F6" s="129" t="s">
        <v>383</v>
      </c>
      <c r="G6" s="157">
        <v>0</v>
      </c>
      <c r="H6" s="129" t="s">
        <v>38</v>
      </c>
      <c r="I6" s="129" t="s">
        <v>39</v>
      </c>
      <c r="J6" s="129" t="s">
        <v>40</v>
      </c>
      <c r="K6" s="129" t="s">
        <v>46</v>
      </c>
      <c r="L6" s="129"/>
      <c r="M6" s="129" t="s">
        <v>42</v>
      </c>
      <c r="N6" s="129" t="s">
        <v>42</v>
      </c>
    </row>
    <row r="7" spans="1:14" s="21" customFormat="1" hidden="1">
      <c r="A7" s="129" t="s">
        <v>43</v>
      </c>
      <c r="B7" s="129" t="s">
        <v>29</v>
      </c>
      <c r="C7" s="129" t="s">
        <v>382</v>
      </c>
      <c r="D7" s="129"/>
      <c r="E7" s="157">
        <v>16384</v>
      </c>
      <c r="F7" s="129" t="s">
        <v>383</v>
      </c>
      <c r="G7" s="157">
        <v>2</v>
      </c>
      <c r="H7" s="129" t="s">
        <v>38</v>
      </c>
      <c r="I7" s="129" t="s">
        <v>39</v>
      </c>
      <c r="J7" s="129" t="s">
        <v>40</v>
      </c>
      <c r="K7" s="129" t="s">
        <v>46</v>
      </c>
      <c r="L7" s="129"/>
      <c r="M7" s="129" t="s">
        <v>42</v>
      </c>
      <c r="N7" s="129" t="s">
        <v>42</v>
      </c>
    </row>
    <row r="8" spans="1:14" s="21" customFormat="1" hidden="1">
      <c r="A8" s="129" t="s">
        <v>47</v>
      </c>
      <c r="B8" s="129" t="s">
        <v>29</v>
      </c>
      <c r="C8" s="129" t="s">
        <v>387</v>
      </c>
      <c r="D8" s="129"/>
      <c r="E8" s="157">
        <v>4048576</v>
      </c>
      <c r="F8" s="129" t="s">
        <v>383</v>
      </c>
      <c r="G8" s="157">
        <v>3</v>
      </c>
      <c r="H8" s="129" t="s">
        <v>49</v>
      </c>
      <c r="I8" s="129" t="s">
        <v>39</v>
      </c>
      <c r="J8" s="129" t="s">
        <v>40</v>
      </c>
      <c r="K8" s="129" t="s">
        <v>50</v>
      </c>
      <c r="L8" s="129"/>
      <c r="M8" s="129" t="s">
        <v>42</v>
      </c>
      <c r="N8" s="129" t="s">
        <v>42</v>
      </c>
    </row>
    <row r="9" spans="1:14" s="21" customFormat="1" hidden="1">
      <c r="A9" s="129" t="s">
        <v>47</v>
      </c>
      <c r="B9" s="129" t="s">
        <v>29</v>
      </c>
      <c r="C9" s="129" t="s">
        <v>382</v>
      </c>
      <c r="D9" s="129"/>
      <c r="E9" s="157">
        <v>1048576</v>
      </c>
      <c r="F9" s="129" t="s">
        <v>383</v>
      </c>
      <c r="G9" s="157">
        <v>2</v>
      </c>
      <c r="H9" s="129" t="s">
        <v>49</v>
      </c>
      <c r="I9" s="129" t="s">
        <v>39</v>
      </c>
      <c r="J9" s="129" t="s">
        <v>40</v>
      </c>
      <c r="K9" s="129" t="s">
        <v>50</v>
      </c>
      <c r="L9" s="129"/>
      <c r="M9" s="129" t="s">
        <v>42</v>
      </c>
      <c r="N9" s="129" t="s">
        <v>42</v>
      </c>
    </row>
    <row r="10" spans="1:14" s="21" customFormat="1">
      <c r="A10" s="129" t="s">
        <v>47</v>
      </c>
      <c r="B10" s="129" t="s">
        <v>29</v>
      </c>
      <c r="C10" s="129" t="s">
        <v>386</v>
      </c>
      <c r="D10" s="129" t="s">
        <v>385</v>
      </c>
      <c r="E10" s="157">
        <v>102400</v>
      </c>
      <c r="F10" s="129" t="s">
        <v>383</v>
      </c>
      <c r="G10" s="157">
        <v>0</v>
      </c>
      <c r="H10" s="129" t="s">
        <v>49</v>
      </c>
      <c r="I10" s="129" t="s">
        <v>39</v>
      </c>
      <c r="J10" s="129" t="s">
        <v>40</v>
      </c>
      <c r="K10" s="129" t="s">
        <v>50</v>
      </c>
      <c r="L10" s="129"/>
      <c r="M10" s="129" t="s">
        <v>42</v>
      </c>
      <c r="N10" s="129" t="s">
        <v>42</v>
      </c>
    </row>
    <row r="11" spans="1:14" s="21" customFormat="1">
      <c r="A11" s="129" t="s">
        <v>47</v>
      </c>
      <c r="B11" s="129" t="s">
        <v>29</v>
      </c>
      <c r="C11" s="129" t="s">
        <v>384</v>
      </c>
      <c r="D11" s="129" t="s">
        <v>385</v>
      </c>
      <c r="E11" s="157">
        <v>20480</v>
      </c>
      <c r="F11" s="129" t="s">
        <v>383</v>
      </c>
      <c r="G11" s="157">
        <v>1</v>
      </c>
      <c r="H11" s="129" t="s">
        <v>49</v>
      </c>
      <c r="I11" s="129" t="s">
        <v>39</v>
      </c>
      <c r="J11" s="129" t="s">
        <v>40</v>
      </c>
      <c r="K11" s="129" t="s">
        <v>50</v>
      </c>
      <c r="L11" s="129"/>
      <c r="M11" s="129" t="s">
        <v>42</v>
      </c>
      <c r="N11" s="129" t="s">
        <v>42</v>
      </c>
    </row>
    <row r="12" spans="1:14" s="21" customFormat="1">
      <c r="A12" s="129" t="s">
        <v>51</v>
      </c>
      <c r="B12" s="129" t="s">
        <v>29</v>
      </c>
      <c r="C12" s="129" t="s">
        <v>384</v>
      </c>
      <c r="D12" s="129" t="s">
        <v>385</v>
      </c>
      <c r="E12" s="157">
        <v>102400</v>
      </c>
      <c r="F12" s="129" t="s">
        <v>383</v>
      </c>
      <c r="G12" s="157">
        <v>0</v>
      </c>
      <c r="H12" s="129" t="s">
        <v>49</v>
      </c>
      <c r="I12" s="129" t="s">
        <v>39</v>
      </c>
      <c r="J12" s="129" t="s">
        <v>40</v>
      </c>
      <c r="K12" s="129" t="s">
        <v>50</v>
      </c>
      <c r="L12" s="129"/>
      <c r="M12" s="129" t="s">
        <v>42</v>
      </c>
      <c r="N12" s="129" t="s">
        <v>42</v>
      </c>
    </row>
    <row r="13" spans="1:14" s="21" customFormat="1" hidden="1">
      <c r="A13" s="129" t="s">
        <v>51</v>
      </c>
      <c r="B13" s="129" t="s">
        <v>29</v>
      </c>
      <c r="C13" s="129" t="s">
        <v>382</v>
      </c>
      <c r="D13" s="129"/>
      <c r="E13" s="157">
        <v>512000</v>
      </c>
      <c r="F13" s="129" t="s">
        <v>383</v>
      </c>
      <c r="G13" s="157">
        <v>2</v>
      </c>
      <c r="H13" s="129" t="s">
        <v>49</v>
      </c>
      <c r="I13" s="129" t="s">
        <v>39</v>
      </c>
      <c r="J13" s="129" t="s">
        <v>40</v>
      </c>
      <c r="K13" s="129" t="s">
        <v>50</v>
      </c>
      <c r="L13" s="129"/>
      <c r="M13" s="129" t="s">
        <v>42</v>
      </c>
      <c r="N13" s="129" t="s">
        <v>42</v>
      </c>
    </row>
    <row r="14" spans="1:14" s="21" customFormat="1">
      <c r="A14" s="129" t="s">
        <v>51</v>
      </c>
      <c r="B14" s="129" t="s">
        <v>29</v>
      </c>
      <c r="C14" s="129" t="s">
        <v>386</v>
      </c>
      <c r="D14" s="129" t="s">
        <v>385</v>
      </c>
      <c r="E14" s="157">
        <v>20480</v>
      </c>
      <c r="F14" s="129" t="s">
        <v>383</v>
      </c>
      <c r="G14" s="157">
        <v>1</v>
      </c>
      <c r="H14" s="129" t="s">
        <v>49</v>
      </c>
      <c r="I14" s="129" t="s">
        <v>39</v>
      </c>
      <c r="J14" s="129" t="s">
        <v>40</v>
      </c>
      <c r="K14" s="129" t="s">
        <v>50</v>
      </c>
      <c r="L14" s="129"/>
      <c r="M14" s="129" t="s">
        <v>42</v>
      </c>
      <c r="N14" s="129" t="s">
        <v>42</v>
      </c>
    </row>
    <row r="15" spans="1:14" s="21" customFormat="1" hidden="1">
      <c r="A15" s="129" t="s">
        <v>54</v>
      </c>
      <c r="B15" s="129" t="s">
        <v>29</v>
      </c>
      <c r="C15" s="129" t="s">
        <v>382</v>
      </c>
      <c r="D15" s="129"/>
      <c r="E15" s="157">
        <v>512000</v>
      </c>
      <c r="F15" s="129" t="s">
        <v>383</v>
      </c>
      <c r="G15" s="157">
        <v>2</v>
      </c>
      <c r="H15" s="129" t="s">
        <v>49</v>
      </c>
      <c r="I15" s="129" t="s">
        <v>39</v>
      </c>
      <c r="J15" s="129" t="s">
        <v>40</v>
      </c>
      <c r="K15" s="129" t="s">
        <v>50</v>
      </c>
      <c r="L15" s="129"/>
      <c r="M15" s="129" t="s">
        <v>42</v>
      </c>
      <c r="N15" s="129" t="s">
        <v>42</v>
      </c>
    </row>
    <row r="16" spans="1:14" s="21" customFormat="1">
      <c r="A16" s="129" t="s">
        <v>54</v>
      </c>
      <c r="B16" s="129" t="s">
        <v>29</v>
      </c>
      <c r="C16" s="129" t="s">
        <v>386</v>
      </c>
      <c r="D16" s="129" t="s">
        <v>385</v>
      </c>
      <c r="E16" s="157">
        <v>102400</v>
      </c>
      <c r="F16" s="129" t="s">
        <v>383</v>
      </c>
      <c r="G16" s="157">
        <v>1</v>
      </c>
      <c r="H16" s="129" t="s">
        <v>49</v>
      </c>
      <c r="I16" s="129" t="s">
        <v>39</v>
      </c>
      <c r="J16" s="129" t="s">
        <v>40</v>
      </c>
      <c r="K16" s="129" t="s">
        <v>50</v>
      </c>
      <c r="L16" s="129"/>
      <c r="M16" s="129" t="s">
        <v>42</v>
      </c>
      <c r="N16" s="129" t="s">
        <v>42</v>
      </c>
    </row>
    <row r="17" spans="1:14" s="21" customFormat="1">
      <c r="A17" s="129" t="s">
        <v>54</v>
      </c>
      <c r="B17" s="129" t="s">
        <v>29</v>
      </c>
      <c r="C17" s="129" t="s">
        <v>384</v>
      </c>
      <c r="D17" s="129" t="s">
        <v>385</v>
      </c>
      <c r="E17" s="157">
        <v>20480</v>
      </c>
      <c r="F17" s="129" t="s">
        <v>383</v>
      </c>
      <c r="G17" s="157">
        <v>0</v>
      </c>
      <c r="H17" s="129" t="s">
        <v>49</v>
      </c>
      <c r="I17" s="129" t="s">
        <v>39</v>
      </c>
      <c r="J17" s="129" t="s">
        <v>40</v>
      </c>
      <c r="K17" s="129" t="s">
        <v>50</v>
      </c>
      <c r="L17" s="129"/>
      <c r="M17" s="129" t="s">
        <v>42</v>
      </c>
      <c r="N17" s="129" t="s">
        <v>42</v>
      </c>
    </row>
    <row r="18" spans="1:14" s="21" customFormat="1" hidden="1">
      <c r="A18" s="129" t="s">
        <v>56</v>
      </c>
      <c r="B18" s="129" t="s">
        <v>29</v>
      </c>
      <c r="C18" s="129" t="s">
        <v>382</v>
      </c>
      <c r="D18" s="129"/>
      <c r="E18" s="157">
        <v>512000</v>
      </c>
      <c r="F18" s="129" t="s">
        <v>383</v>
      </c>
      <c r="G18" s="157">
        <v>2</v>
      </c>
      <c r="H18" s="129" t="s">
        <v>49</v>
      </c>
      <c r="I18" s="129" t="s">
        <v>39</v>
      </c>
      <c r="J18" s="129" t="s">
        <v>40</v>
      </c>
      <c r="K18" s="129" t="s">
        <v>50</v>
      </c>
      <c r="L18" s="129"/>
      <c r="M18" s="129" t="s">
        <v>42</v>
      </c>
      <c r="N18" s="129" t="s">
        <v>42</v>
      </c>
    </row>
    <row r="19" spans="1:14" s="21" customFormat="1">
      <c r="A19" s="129" t="s">
        <v>56</v>
      </c>
      <c r="B19" s="129" t="s">
        <v>29</v>
      </c>
      <c r="C19" s="129" t="s">
        <v>386</v>
      </c>
      <c r="D19" s="129" t="s">
        <v>385</v>
      </c>
      <c r="E19" s="157">
        <v>20480</v>
      </c>
      <c r="F19" s="129" t="s">
        <v>383</v>
      </c>
      <c r="G19" s="157">
        <v>1</v>
      </c>
      <c r="H19" s="129" t="s">
        <v>49</v>
      </c>
      <c r="I19" s="129" t="s">
        <v>39</v>
      </c>
      <c r="J19" s="129" t="s">
        <v>40</v>
      </c>
      <c r="K19" s="129" t="s">
        <v>50</v>
      </c>
      <c r="L19" s="129"/>
      <c r="M19" s="129" t="s">
        <v>42</v>
      </c>
      <c r="N19" s="129" t="s">
        <v>42</v>
      </c>
    </row>
    <row r="20" spans="1:14" s="21" customFormat="1">
      <c r="A20" s="129" t="s">
        <v>56</v>
      </c>
      <c r="B20" s="129" t="s">
        <v>29</v>
      </c>
      <c r="C20" s="129" t="s">
        <v>384</v>
      </c>
      <c r="D20" s="129" t="s">
        <v>385</v>
      </c>
      <c r="E20" s="157">
        <v>102400</v>
      </c>
      <c r="F20" s="129" t="s">
        <v>383</v>
      </c>
      <c r="G20" s="157">
        <v>0</v>
      </c>
      <c r="H20" s="129" t="s">
        <v>49</v>
      </c>
      <c r="I20" s="129" t="s">
        <v>39</v>
      </c>
      <c r="J20" s="129" t="s">
        <v>40</v>
      </c>
      <c r="K20" s="129" t="s">
        <v>50</v>
      </c>
      <c r="L20" s="129"/>
      <c r="M20" s="129" t="s">
        <v>42</v>
      </c>
      <c r="N20" s="129" t="s">
        <v>42</v>
      </c>
    </row>
    <row r="21" spans="1:14" s="21" customFormat="1">
      <c r="A21" s="129" t="s">
        <v>58</v>
      </c>
      <c r="B21" s="129" t="s">
        <v>29</v>
      </c>
      <c r="C21" s="129" t="s">
        <v>386</v>
      </c>
      <c r="D21" s="129" t="s">
        <v>385</v>
      </c>
      <c r="E21" s="157">
        <v>20480</v>
      </c>
      <c r="F21" s="129" t="s">
        <v>383</v>
      </c>
      <c r="G21" s="157">
        <v>1</v>
      </c>
      <c r="H21" s="129"/>
      <c r="I21" s="129" t="s">
        <v>39</v>
      </c>
      <c r="J21" s="129" t="s">
        <v>40</v>
      </c>
      <c r="K21" s="129" t="s">
        <v>62</v>
      </c>
      <c r="L21" s="129"/>
      <c r="M21" s="129" t="s">
        <v>42</v>
      </c>
      <c r="N21" s="129" t="s">
        <v>42</v>
      </c>
    </row>
    <row r="22" spans="1:14" s="21" customFormat="1">
      <c r="A22" s="129" t="s">
        <v>58</v>
      </c>
      <c r="B22" s="129" t="s">
        <v>29</v>
      </c>
      <c r="C22" s="129" t="s">
        <v>384</v>
      </c>
      <c r="D22" s="129" t="s">
        <v>385</v>
      </c>
      <c r="E22" s="157">
        <v>102400</v>
      </c>
      <c r="F22" s="129" t="s">
        <v>383</v>
      </c>
      <c r="G22" s="157">
        <v>0</v>
      </c>
      <c r="H22" s="129"/>
      <c r="I22" s="129" t="s">
        <v>39</v>
      </c>
      <c r="J22" s="129" t="s">
        <v>40</v>
      </c>
      <c r="K22" s="129" t="s">
        <v>62</v>
      </c>
      <c r="L22" s="129"/>
      <c r="M22" s="129" t="s">
        <v>42</v>
      </c>
      <c r="N22" s="129" t="s">
        <v>42</v>
      </c>
    </row>
    <row r="23" spans="1:14" s="21" customFormat="1" hidden="1">
      <c r="A23" s="129" t="s">
        <v>58</v>
      </c>
      <c r="B23" s="129" t="s">
        <v>29</v>
      </c>
      <c r="C23" s="129" t="s">
        <v>387</v>
      </c>
      <c r="D23" s="129"/>
      <c r="E23" s="157">
        <v>16384</v>
      </c>
      <c r="F23" s="129" t="s">
        <v>383</v>
      </c>
      <c r="G23" s="157">
        <v>3</v>
      </c>
      <c r="H23" s="129"/>
      <c r="I23" s="129" t="s">
        <v>39</v>
      </c>
      <c r="J23" s="129" t="s">
        <v>40</v>
      </c>
      <c r="K23" s="129" t="s">
        <v>62</v>
      </c>
      <c r="L23" s="129"/>
      <c r="M23" s="129" t="s">
        <v>42</v>
      </c>
      <c r="N23" s="129" t="s">
        <v>42</v>
      </c>
    </row>
    <row r="24" spans="1:14" s="21" customFormat="1" hidden="1">
      <c r="A24" s="129" t="s">
        <v>58</v>
      </c>
      <c r="B24" s="129" t="s">
        <v>29</v>
      </c>
      <c r="C24" s="129" t="s">
        <v>382</v>
      </c>
      <c r="D24" s="129"/>
      <c r="E24" s="157">
        <v>512000</v>
      </c>
      <c r="F24" s="129" t="s">
        <v>383</v>
      </c>
      <c r="G24" s="157">
        <v>2</v>
      </c>
      <c r="H24" s="129"/>
      <c r="I24" s="129" t="s">
        <v>39</v>
      </c>
      <c r="J24" s="129" t="s">
        <v>40</v>
      </c>
      <c r="K24" s="129" t="s">
        <v>62</v>
      </c>
      <c r="L24" s="129"/>
      <c r="M24" s="129" t="s">
        <v>42</v>
      </c>
      <c r="N24" s="129" t="s">
        <v>42</v>
      </c>
    </row>
    <row r="25" spans="1:14" s="21" customFormat="1">
      <c r="A25" s="129" t="s">
        <v>63</v>
      </c>
      <c r="B25" s="129" t="s">
        <v>29</v>
      </c>
      <c r="C25" s="129" t="s">
        <v>386</v>
      </c>
      <c r="D25" s="129" t="s">
        <v>385</v>
      </c>
      <c r="E25" s="157">
        <v>20480</v>
      </c>
      <c r="F25" s="129" t="s">
        <v>383</v>
      </c>
      <c r="G25" s="157">
        <v>1</v>
      </c>
      <c r="H25" s="129"/>
      <c r="I25" s="129" t="s">
        <v>39</v>
      </c>
      <c r="J25" s="129" t="s">
        <v>40</v>
      </c>
      <c r="K25" s="129" t="s">
        <v>62</v>
      </c>
      <c r="L25" s="129"/>
      <c r="M25" s="129" t="s">
        <v>42</v>
      </c>
      <c r="N25" s="129" t="s">
        <v>42</v>
      </c>
    </row>
    <row r="26" spans="1:14" s="21" customFormat="1">
      <c r="A26" s="129" t="s">
        <v>63</v>
      </c>
      <c r="B26" s="129" t="s">
        <v>29</v>
      </c>
      <c r="C26" s="129" t="s">
        <v>384</v>
      </c>
      <c r="D26" s="129" t="s">
        <v>385</v>
      </c>
      <c r="E26" s="157">
        <v>102400</v>
      </c>
      <c r="F26" s="129" t="s">
        <v>383</v>
      </c>
      <c r="G26" s="157">
        <v>0</v>
      </c>
      <c r="H26" s="129"/>
      <c r="I26" s="129" t="s">
        <v>39</v>
      </c>
      <c r="J26" s="129" t="s">
        <v>40</v>
      </c>
      <c r="K26" s="129" t="s">
        <v>62</v>
      </c>
      <c r="L26" s="129"/>
      <c r="M26" s="129" t="s">
        <v>42</v>
      </c>
      <c r="N26" s="129" t="s">
        <v>42</v>
      </c>
    </row>
    <row r="27" spans="1:14" s="21" customFormat="1" hidden="1">
      <c r="A27" s="129" t="s">
        <v>63</v>
      </c>
      <c r="B27" s="129" t="s">
        <v>29</v>
      </c>
      <c r="C27" s="129" t="s">
        <v>382</v>
      </c>
      <c r="D27" s="129"/>
      <c r="E27" s="157">
        <v>512000</v>
      </c>
      <c r="F27" s="129" t="s">
        <v>383</v>
      </c>
      <c r="G27" s="157">
        <v>2</v>
      </c>
      <c r="H27" s="129"/>
      <c r="I27" s="129" t="s">
        <v>39</v>
      </c>
      <c r="J27" s="129" t="s">
        <v>40</v>
      </c>
      <c r="K27" s="129" t="s">
        <v>62</v>
      </c>
      <c r="L27" s="129"/>
      <c r="M27" s="129" t="s">
        <v>42</v>
      </c>
      <c r="N27" s="129" t="s">
        <v>42</v>
      </c>
    </row>
    <row r="28" spans="1:14" s="21" customFormat="1" hidden="1">
      <c r="A28" s="129" t="s">
        <v>63</v>
      </c>
      <c r="B28" s="129" t="s">
        <v>29</v>
      </c>
      <c r="C28" s="129" t="s">
        <v>387</v>
      </c>
      <c r="D28" s="129"/>
      <c r="E28" s="157">
        <v>16384</v>
      </c>
      <c r="F28" s="129" t="s">
        <v>383</v>
      </c>
      <c r="G28" s="157">
        <v>3</v>
      </c>
      <c r="H28" s="129"/>
      <c r="I28" s="129" t="s">
        <v>39</v>
      </c>
      <c r="J28" s="129" t="s">
        <v>40</v>
      </c>
      <c r="K28" s="129" t="s">
        <v>62</v>
      </c>
      <c r="L28" s="129"/>
      <c r="M28" s="129" t="s">
        <v>42</v>
      </c>
      <c r="N28" s="129" t="s">
        <v>42</v>
      </c>
    </row>
    <row r="29" spans="1:14" s="21" customFormat="1">
      <c r="A29" s="129" t="s">
        <v>66</v>
      </c>
      <c r="B29" s="129" t="s">
        <v>29</v>
      </c>
      <c r="C29" s="129" t="s">
        <v>384</v>
      </c>
      <c r="D29" s="129" t="s">
        <v>385</v>
      </c>
      <c r="E29" s="157">
        <v>102400</v>
      </c>
      <c r="F29" s="129" t="s">
        <v>383</v>
      </c>
      <c r="G29" s="157">
        <v>0</v>
      </c>
      <c r="H29" s="129"/>
      <c r="I29" s="129" t="s">
        <v>39</v>
      </c>
      <c r="J29" s="129" t="s">
        <v>40</v>
      </c>
      <c r="K29" s="129" t="s">
        <v>62</v>
      </c>
      <c r="L29" s="129"/>
      <c r="M29" s="129" t="s">
        <v>42</v>
      </c>
      <c r="N29" s="129" t="s">
        <v>42</v>
      </c>
    </row>
    <row r="30" spans="1:14" s="21" customFormat="1">
      <c r="A30" s="129" t="s">
        <v>66</v>
      </c>
      <c r="B30" s="129" t="s">
        <v>29</v>
      </c>
      <c r="C30" s="129" t="s">
        <v>386</v>
      </c>
      <c r="D30" s="129" t="s">
        <v>385</v>
      </c>
      <c r="E30" s="157">
        <v>20480</v>
      </c>
      <c r="F30" s="129" t="s">
        <v>383</v>
      </c>
      <c r="G30" s="157">
        <v>1</v>
      </c>
      <c r="H30" s="129"/>
      <c r="I30" s="129" t="s">
        <v>39</v>
      </c>
      <c r="J30" s="129" t="s">
        <v>40</v>
      </c>
      <c r="K30" s="129" t="s">
        <v>62</v>
      </c>
      <c r="L30" s="129"/>
      <c r="M30" s="129" t="s">
        <v>42</v>
      </c>
      <c r="N30" s="129" t="s">
        <v>42</v>
      </c>
    </row>
    <row r="31" spans="1:14" s="21" customFormat="1" hidden="1">
      <c r="A31" s="129" t="s">
        <v>66</v>
      </c>
      <c r="B31" s="129" t="s">
        <v>29</v>
      </c>
      <c r="C31" s="129" t="s">
        <v>382</v>
      </c>
      <c r="D31" s="129"/>
      <c r="E31" s="157">
        <v>512000</v>
      </c>
      <c r="F31" s="129" t="s">
        <v>383</v>
      </c>
      <c r="G31" s="157">
        <v>2</v>
      </c>
      <c r="H31" s="129"/>
      <c r="I31" s="129" t="s">
        <v>39</v>
      </c>
      <c r="J31" s="129" t="s">
        <v>40</v>
      </c>
      <c r="K31" s="129" t="s">
        <v>62</v>
      </c>
      <c r="L31" s="129"/>
      <c r="M31" s="129" t="s">
        <v>42</v>
      </c>
      <c r="N31" s="129" t="s">
        <v>42</v>
      </c>
    </row>
    <row r="32" spans="1:14" s="21" customFormat="1" hidden="1">
      <c r="A32" s="129" t="s">
        <v>66</v>
      </c>
      <c r="B32" s="129" t="s">
        <v>29</v>
      </c>
      <c r="C32" s="129" t="s">
        <v>387</v>
      </c>
      <c r="D32" s="129"/>
      <c r="E32" s="157">
        <v>16384</v>
      </c>
      <c r="F32" s="129" t="s">
        <v>383</v>
      </c>
      <c r="G32" s="157">
        <v>3</v>
      </c>
      <c r="H32" s="129"/>
      <c r="I32" s="129" t="s">
        <v>39</v>
      </c>
      <c r="J32" s="129" t="s">
        <v>40</v>
      </c>
      <c r="K32" s="129" t="s">
        <v>62</v>
      </c>
      <c r="L32" s="129"/>
      <c r="M32" s="129" t="s">
        <v>42</v>
      </c>
      <c r="N32" s="129" t="s">
        <v>42</v>
      </c>
    </row>
    <row r="33" spans="1:14" s="21" customFormat="1">
      <c r="A33" s="129" t="s">
        <v>69</v>
      </c>
      <c r="B33" s="129" t="s">
        <v>29</v>
      </c>
      <c r="C33" s="129" t="s">
        <v>384</v>
      </c>
      <c r="D33" s="129" t="s">
        <v>385</v>
      </c>
      <c r="E33" s="157">
        <v>102400</v>
      </c>
      <c r="F33" s="129" t="s">
        <v>383</v>
      </c>
      <c r="G33" s="157">
        <v>1</v>
      </c>
      <c r="H33" s="129" t="s">
        <v>72</v>
      </c>
      <c r="I33" s="129" t="s">
        <v>39</v>
      </c>
      <c r="J33" s="129" t="s">
        <v>40</v>
      </c>
      <c r="K33" s="129" t="s">
        <v>73</v>
      </c>
      <c r="L33" s="129"/>
      <c r="M33" s="129" t="s">
        <v>42</v>
      </c>
      <c r="N33" s="129" t="s">
        <v>42</v>
      </c>
    </row>
    <row r="34" spans="1:14" s="21" customFormat="1">
      <c r="A34" s="129" t="s">
        <v>69</v>
      </c>
      <c r="B34" s="129" t="s">
        <v>29</v>
      </c>
      <c r="C34" s="129" t="s">
        <v>386</v>
      </c>
      <c r="D34" s="129" t="s">
        <v>385</v>
      </c>
      <c r="E34" s="157">
        <v>40960</v>
      </c>
      <c r="F34" s="129" t="s">
        <v>383</v>
      </c>
      <c r="G34" s="157">
        <v>0</v>
      </c>
      <c r="H34" s="129" t="s">
        <v>72</v>
      </c>
      <c r="I34" s="129" t="s">
        <v>39</v>
      </c>
      <c r="J34" s="129" t="s">
        <v>40</v>
      </c>
      <c r="K34" s="129" t="s">
        <v>73</v>
      </c>
      <c r="L34" s="129"/>
      <c r="M34" s="129" t="s">
        <v>42</v>
      </c>
      <c r="N34" s="129" t="s">
        <v>42</v>
      </c>
    </row>
    <row r="35" spans="1:14" s="21" customFormat="1" hidden="1">
      <c r="A35" s="129" t="s">
        <v>74</v>
      </c>
      <c r="B35" s="129" t="s">
        <v>29</v>
      </c>
      <c r="C35" s="129" t="s">
        <v>387</v>
      </c>
      <c r="D35" s="129"/>
      <c r="E35" s="157">
        <v>20480</v>
      </c>
      <c r="F35" s="129" t="s">
        <v>383</v>
      </c>
      <c r="G35" s="157">
        <v>3</v>
      </c>
      <c r="H35" s="129"/>
      <c r="I35" s="129" t="s">
        <v>39</v>
      </c>
      <c r="J35" s="129" t="s">
        <v>40</v>
      </c>
      <c r="K35" s="129" t="s">
        <v>62</v>
      </c>
      <c r="L35" s="129"/>
      <c r="M35" s="129" t="s">
        <v>42</v>
      </c>
      <c r="N35" s="129" t="s">
        <v>388</v>
      </c>
    </row>
    <row r="36" spans="1:14" s="21" customFormat="1" hidden="1">
      <c r="A36" s="129" t="s">
        <v>74</v>
      </c>
      <c r="B36" s="129" t="s">
        <v>29</v>
      </c>
      <c r="C36" s="129" t="s">
        <v>382</v>
      </c>
      <c r="D36" s="129"/>
      <c r="E36" s="157">
        <v>102400</v>
      </c>
      <c r="F36" s="129" t="s">
        <v>383</v>
      </c>
      <c r="G36" s="157">
        <v>2</v>
      </c>
      <c r="H36" s="129"/>
      <c r="I36" s="129" t="s">
        <v>39</v>
      </c>
      <c r="J36" s="129" t="s">
        <v>40</v>
      </c>
      <c r="K36" s="129" t="s">
        <v>62</v>
      </c>
      <c r="L36" s="129"/>
      <c r="M36" s="129" t="s">
        <v>42</v>
      </c>
      <c r="N36" s="129" t="s">
        <v>388</v>
      </c>
    </row>
    <row r="37" spans="1:14" s="21" customFormat="1" hidden="1">
      <c r="A37" s="129" t="s">
        <v>74</v>
      </c>
      <c r="B37" s="129" t="s">
        <v>29</v>
      </c>
      <c r="C37" s="129" t="s">
        <v>389</v>
      </c>
      <c r="D37" s="129"/>
      <c r="E37" s="157">
        <v>20480</v>
      </c>
      <c r="F37" s="129" t="s">
        <v>383</v>
      </c>
      <c r="G37" s="157">
        <v>4</v>
      </c>
      <c r="H37" s="129"/>
      <c r="I37" s="129" t="s">
        <v>39</v>
      </c>
      <c r="J37" s="129" t="s">
        <v>40</v>
      </c>
      <c r="K37" s="129" t="s">
        <v>62</v>
      </c>
      <c r="L37" s="129"/>
      <c r="M37" s="129" t="s">
        <v>42</v>
      </c>
      <c r="N37" s="129" t="s">
        <v>388</v>
      </c>
    </row>
    <row r="38" spans="1:14" s="21" customFormat="1">
      <c r="A38" s="129" t="s">
        <v>74</v>
      </c>
      <c r="B38" s="129" t="s">
        <v>29</v>
      </c>
      <c r="C38" s="129" t="s">
        <v>384</v>
      </c>
      <c r="D38" s="129" t="s">
        <v>385</v>
      </c>
      <c r="E38" s="157">
        <v>15360</v>
      </c>
      <c r="F38" s="129" t="s">
        <v>383</v>
      </c>
      <c r="G38" s="157">
        <v>1</v>
      </c>
      <c r="H38" s="129"/>
      <c r="I38" s="129" t="s">
        <v>39</v>
      </c>
      <c r="J38" s="129" t="s">
        <v>40</v>
      </c>
      <c r="K38" s="129" t="s">
        <v>62</v>
      </c>
      <c r="L38" s="129"/>
      <c r="M38" s="129" t="s">
        <v>42</v>
      </c>
      <c r="N38" s="129" t="s">
        <v>388</v>
      </c>
    </row>
    <row r="39" spans="1:14" s="21" customFormat="1">
      <c r="A39" s="129" t="s">
        <v>74</v>
      </c>
      <c r="B39" s="129" t="s">
        <v>29</v>
      </c>
      <c r="C39" s="129" t="s">
        <v>386</v>
      </c>
      <c r="D39" s="129" t="s">
        <v>385</v>
      </c>
      <c r="E39" s="157">
        <v>61440</v>
      </c>
      <c r="F39" s="129" t="s">
        <v>383</v>
      </c>
      <c r="G39" s="157">
        <v>0</v>
      </c>
      <c r="H39" s="129"/>
      <c r="I39" s="129" t="s">
        <v>39</v>
      </c>
      <c r="J39" s="129" t="s">
        <v>40</v>
      </c>
      <c r="K39" s="129" t="s">
        <v>62</v>
      </c>
      <c r="L39" s="129"/>
      <c r="M39" s="129" t="s">
        <v>42</v>
      </c>
      <c r="N39" s="129" t="s">
        <v>388</v>
      </c>
    </row>
    <row r="40" spans="1:14" s="21" customFormat="1">
      <c r="A40" s="129" t="s">
        <v>77</v>
      </c>
      <c r="B40" s="129" t="s">
        <v>29</v>
      </c>
      <c r="C40" s="129" t="s">
        <v>386</v>
      </c>
      <c r="D40" s="129" t="s">
        <v>385</v>
      </c>
      <c r="E40" s="157">
        <v>40960</v>
      </c>
      <c r="F40" s="129" t="s">
        <v>383</v>
      </c>
      <c r="G40" s="157">
        <v>0</v>
      </c>
      <c r="H40" s="129" t="s">
        <v>78</v>
      </c>
      <c r="I40" s="129" t="s">
        <v>39</v>
      </c>
      <c r="J40" s="129" t="s">
        <v>40</v>
      </c>
      <c r="K40" s="129" t="s">
        <v>41</v>
      </c>
      <c r="L40" s="129"/>
      <c r="M40" s="129" t="s">
        <v>42</v>
      </c>
      <c r="N40" s="129" t="s">
        <v>42</v>
      </c>
    </row>
    <row r="41" spans="1:14" s="21" customFormat="1">
      <c r="A41" s="129" t="s">
        <v>79</v>
      </c>
      <c r="B41" s="129" t="s">
        <v>29</v>
      </c>
      <c r="C41" s="129" t="s">
        <v>384</v>
      </c>
      <c r="D41" s="129" t="s">
        <v>385</v>
      </c>
      <c r="E41" s="157">
        <v>5120</v>
      </c>
      <c r="F41" s="129" t="s">
        <v>383</v>
      </c>
      <c r="G41" s="157">
        <v>1</v>
      </c>
      <c r="H41" s="129"/>
      <c r="I41" s="129" t="s">
        <v>39</v>
      </c>
      <c r="J41" s="129" t="s">
        <v>40</v>
      </c>
      <c r="K41" s="129" t="s">
        <v>62</v>
      </c>
      <c r="L41" s="129"/>
      <c r="M41" s="129" t="s">
        <v>42</v>
      </c>
      <c r="N41" s="129" t="s">
        <v>42</v>
      </c>
    </row>
    <row r="42" spans="1:14" s="21" customFormat="1" hidden="1">
      <c r="A42" s="129" t="s">
        <v>79</v>
      </c>
      <c r="B42" s="129" t="s">
        <v>29</v>
      </c>
      <c r="C42" s="129" t="s">
        <v>387</v>
      </c>
      <c r="D42" s="129"/>
      <c r="E42" s="157">
        <v>10240</v>
      </c>
      <c r="F42" s="129" t="s">
        <v>383</v>
      </c>
      <c r="G42" s="157">
        <v>3</v>
      </c>
      <c r="H42" s="129"/>
      <c r="I42" s="129" t="s">
        <v>39</v>
      </c>
      <c r="J42" s="129" t="s">
        <v>40</v>
      </c>
      <c r="K42" s="129" t="s">
        <v>62</v>
      </c>
      <c r="L42" s="129"/>
      <c r="M42" s="129" t="s">
        <v>42</v>
      </c>
      <c r="N42" s="129" t="s">
        <v>42</v>
      </c>
    </row>
    <row r="43" spans="1:14" s="21" customFormat="1" hidden="1">
      <c r="A43" s="129" t="s">
        <v>79</v>
      </c>
      <c r="B43" s="129" t="s">
        <v>29</v>
      </c>
      <c r="C43" s="129" t="s">
        <v>389</v>
      </c>
      <c r="D43" s="129"/>
      <c r="E43" s="157">
        <v>10240</v>
      </c>
      <c r="F43" s="129" t="s">
        <v>383</v>
      </c>
      <c r="G43" s="157">
        <v>4</v>
      </c>
      <c r="H43" s="129"/>
      <c r="I43" s="129" t="s">
        <v>39</v>
      </c>
      <c r="J43" s="129" t="s">
        <v>40</v>
      </c>
      <c r="K43" s="129" t="s">
        <v>62</v>
      </c>
      <c r="L43" s="129"/>
      <c r="M43" s="129" t="s">
        <v>42</v>
      </c>
      <c r="N43" s="129" t="s">
        <v>42</v>
      </c>
    </row>
    <row r="44" spans="1:14" s="21" customFormat="1">
      <c r="A44" s="129" t="s">
        <v>79</v>
      </c>
      <c r="B44" s="129" t="s">
        <v>29</v>
      </c>
      <c r="C44" s="129" t="s">
        <v>386</v>
      </c>
      <c r="D44" s="129" t="s">
        <v>385</v>
      </c>
      <c r="E44" s="157">
        <v>61440</v>
      </c>
      <c r="F44" s="129" t="s">
        <v>383</v>
      </c>
      <c r="G44" s="157">
        <v>0</v>
      </c>
      <c r="H44" s="129"/>
      <c r="I44" s="129" t="s">
        <v>39</v>
      </c>
      <c r="J44" s="129" t="s">
        <v>40</v>
      </c>
      <c r="K44" s="129" t="s">
        <v>62</v>
      </c>
      <c r="L44" s="129"/>
      <c r="M44" s="129" t="s">
        <v>42</v>
      </c>
      <c r="N44" s="129" t="s">
        <v>42</v>
      </c>
    </row>
    <row r="45" spans="1:14" s="21" customFormat="1" hidden="1">
      <c r="A45" s="129" t="s">
        <v>79</v>
      </c>
      <c r="B45" s="129" t="s">
        <v>29</v>
      </c>
      <c r="C45" s="129" t="s">
        <v>382</v>
      </c>
      <c r="D45" s="129"/>
      <c r="E45" s="157">
        <v>256000</v>
      </c>
      <c r="F45" s="129" t="s">
        <v>383</v>
      </c>
      <c r="G45" s="157">
        <v>2</v>
      </c>
      <c r="H45" s="129"/>
      <c r="I45" s="129" t="s">
        <v>39</v>
      </c>
      <c r="J45" s="129" t="s">
        <v>40</v>
      </c>
      <c r="K45" s="129" t="s">
        <v>62</v>
      </c>
      <c r="L45" s="129"/>
      <c r="M45" s="129" t="s">
        <v>42</v>
      </c>
      <c r="N45" s="129" t="s">
        <v>42</v>
      </c>
    </row>
    <row r="46" spans="1:14" s="21" customFormat="1">
      <c r="A46" s="129" t="s">
        <v>82</v>
      </c>
      <c r="B46" s="129" t="s">
        <v>29</v>
      </c>
      <c r="C46" s="129" t="s">
        <v>384</v>
      </c>
      <c r="D46" s="129" t="s">
        <v>385</v>
      </c>
      <c r="E46" s="157">
        <v>5120</v>
      </c>
      <c r="F46" s="129" t="s">
        <v>383</v>
      </c>
      <c r="G46" s="157">
        <v>1</v>
      </c>
      <c r="H46" s="129"/>
      <c r="I46" s="129" t="s">
        <v>39</v>
      </c>
      <c r="J46" s="129" t="s">
        <v>40</v>
      </c>
      <c r="K46" s="129" t="s">
        <v>62</v>
      </c>
      <c r="L46" s="129"/>
      <c r="M46" s="129" t="s">
        <v>42</v>
      </c>
      <c r="N46" s="129" t="s">
        <v>42</v>
      </c>
    </row>
    <row r="47" spans="1:14" s="21" customFormat="1" hidden="1">
      <c r="A47" s="129" t="s">
        <v>82</v>
      </c>
      <c r="B47" s="129" t="s">
        <v>29</v>
      </c>
      <c r="C47" s="129" t="s">
        <v>382</v>
      </c>
      <c r="D47" s="129"/>
      <c r="E47" s="157">
        <v>256000</v>
      </c>
      <c r="F47" s="129" t="s">
        <v>383</v>
      </c>
      <c r="G47" s="157">
        <v>2</v>
      </c>
      <c r="H47" s="129"/>
      <c r="I47" s="129" t="s">
        <v>39</v>
      </c>
      <c r="J47" s="129" t="s">
        <v>40</v>
      </c>
      <c r="K47" s="129" t="s">
        <v>62</v>
      </c>
      <c r="L47" s="129"/>
      <c r="M47" s="129" t="s">
        <v>42</v>
      </c>
      <c r="N47" s="129" t="s">
        <v>42</v>
      </c>
    </row>
    <row r="48" spans="1:14" s="21" customFormat="1" hidden="1">
      <c r="A48" s="129" t="s">
        <v>82</v>
      </c>
      <c r="B48" s="129" t="s">
        <v>29</v>
      </c>
      <c r="C48" s="129" t="s">
        <v>389</v>
      </c>
      <c r="D48" s="129"/>
      <c r="E48" s="157">
        <v>10240</v>
      </c>
      <c r="F48" s="129" t="s">
        <v>383</v>
      </c>
      <c r="G48" s="157">
        <v>4</v>
      </c>
      <c r="H48" s="129"/>
      <c r="I48" s="129" t="s">
        <v>39</v>
      </c>
      <c r="J48" s="129" t="s">
        <v>40</v>
      </c>
      <c r="K48" s="129" t="s">
        <v>62</v>
      </c>
      <c r="L48" s="129"/>
      <c r="M48" s="129" t="s">
        <v>42</v>
      </c>
      <c r="N48" s="129" t="s">
        <v>42</v>
      </c>
    </row>
    <row r="49" spans="1:14" s="21" customFormat="1">
      <c r="A49" s="129" t="s">
        <v>82</v>
      </c>
      <c r="B49" s="129" t="s">
        <v>29</v>
      </c>
      <c r="C49" s="129" t="s">
        <v>386</v>
      </c>
      <c r="D49" s="129" t="s">
        <v>385</v>
      </c>
      <c r="E49" s="157">
        <v>61440</v>
      </c>
      <c r="F49" s="129" t="s">
        <v>383</v>
      </c>
      <c r="G49" s="157">
        <v>0</v>
      </c>
      <c r="H49" s="129"/>
      <c r="I49" s="129" t="s">
        <v>39</v>
      </c>
      <c r="J49" s="129" t="s">
        <v>40</v>
      </c>
      <c r="K49" s="129" t="s">
        <v>62</v>
      </c>
      <c r="L49" s="129"/>
      <c r="M49" s="129" t="s">
        <v>42</v>
      </c>
      <c r="N49" s="129" t="s">
        <v>42</v>
      </c>
    </row>
    <row r="50" spans="1:14" s="21" customFormat="1" hidden="1">
      <c r="A50" s="129" t="s">
        <v>82</v>
      </c>
      <c r="B50" s="129" t="s">
        <v>29</v>
      </c>
      <c r="C50" s="129" t="s">
        <v>387</v>
      </c>
      <c r="D50" s="129"/>
      <c r="E50" s="157">
        <v>10240</v>
      </c>
      <c r="F50" s="129" t="s">
        <v>383</v>
      </c>
      <c r="G50" s="157">
        <v>3</v>
      </c>
      <c r="H50" s="129"/>
      <c r="I50" s="129" t="s">
        <v>39</v>
      </c>
      <c r="J50" s="129" t="s">
        <v>40</v>
      </c>
      <c r="K50" s="129" t="s">
        <v>62</v>
      </c>
      <c r="L50" s="129"/>
      <c r="M50" s="129" t="s">
        <v>42</v>
      </c>
      <c r="N50" s="129" t="s">
        <v>42</v>
      </c>
    </row>
    <row r="51" spans="1:14" s="21" customFormat="1">
      <c r="A51" s="129" t="s">
        <v>85</v>
      </c>
      <c r="B51" s="129" t="s">
        <v>29</v>
      </c>
      <c r="C51" s="129" t="s">
        <v>386</v>
      </c>
      <c r="D51" s="129" t="s">
        <v>385</v>
      </c>
      <c r="E51" s="157">
        <v>102400</v>
      </c>
      <c r="F51" s="129" t="s">
        <v>383</v>
      </c>
      <c r="G51" s="157">
        <v>0</v>
      </c>
      <c r="H51" s="129"/>
      <c r="I51" s="129" t="s">
        <v>39</v>
      </c>
      <c r="J51" s="129" t="s">
        <v>40</v>
      </c>
      <c r="K51" s="129" t="s">
        <v>62</v>
      </c>
      <c r="L51" s="129"/>
      <c r="M51" s="129" t="s">
        <v>42</v>
      </c>
      <c r="N51" s="129" t="s">
        <v>42</v>
      </c>
    </row>
    <row r="52" spans="1:14" s="21" customFormat="1">
      <c r="A52" s="129" t="s">
        <v>85</v>
      </c>
      <c r="B52" s="129" t="s">
        <v>29</v>
      </c>
      <c r="C52" s="129" t="s">
        <v>384</v>
      </c>
      <c r="D52" s="129" t="s">
        <v>385</v>
      </c>
      <c r="E52" s="157">
        <v>20480</v>
      </c>
      <c r="F52" s="129" t="s">
        <v>383</v>
      </c>
      <c r="G52" s="157">
        <v>1</v>
      </c>
      <c r="H52" s="129"/>
      <c r="I52" s="129" t="s">
        <v>39</v>
      </c>
      <c r="J52" s="129" t="s">
        <v>40</v>
      </c>
      <c r="K52" s="129" t="s">
        <v>62</v>
      </c>
      <c r="L52" s="129"/>
      <c r="M52" s="129" t="s">
        <v>42</v>
      </c>
      <c r="N52" s="129" t="s">
        <v>42</v>
      </c>
    </row>
    <row r="53" spans="1:14" s="21" customFormat="1" hidden="1">
      <c r="A53" s="129" t="s">
        <v>85</v>
      </c>
      <c r="B53" s="129" t="s">
        <v>29</v>
      </c>
      <c r="C53" s="129" t="s">
        <v>387</v>
      </c>
      <c r="D53" s="129"/>
      <c r="E53" s="157">
        <v>16384</v>
      </c>
      <c r="F53" s="129" t="s">
        <v>383</v>
      </c>
      <c r="G53" s="157">
        <v>3</v>
      </c>
      <c r="H53" s="129"/>
      <c r="I53" s="129" t="s">
        <v>39</v>
      </c>
      <c r="J53" s="129" t="s">
        <v>40</v>
      </c>
      <c r="K53" s="129" t="s">
        <v>62</v>
      </c>
      <c r="L53" s="129"/>
      <c r="M53" s="129" t="s">
        <v>42</v>
      </c>
      <c r="N53" s="129" t="s">
        <v>42</v>
      </c>
    </row>
    <row r="54" spans="1:14" s="21" customFormat="1" hidden="1">
      <c r="A54" s="129" t="s">
        <v>85</v>
      </c>
      <c r="B54" s="129" t="s">
        <v>29</v>
      </c>
      <c r="C54" s="129" t="s">
        <v>382</v>
      </c>
      <c r="D54" s="129"/>
      <c r="E54" s="157">
        <v>102400</v>
      </c>
      <c r="F54" s="129" t="s">
        <v>383</v>
      </c>
      <c r="G54" s="157">
        <v>2</v>
      </c>
      <c r="H54" s="129"/>
      <c r="I54" s="129" t="s">
        <v>39</v>
      </c>
      <c r="J54" s="129" t="s">
        <v>40</v>
      </c>
      <c r="K54" s="129" t="s">
        <v>62</v>
      </c>
      <c r="L54" s="129"/>
      <c r="M54" s="129" t="s">
        <v>42</v>
      </c>
      <c r="N54" s="129" t="s">
        <v>42</v>
      </c>
    </row>
    <row r="55" spans="1:14" s="21" customFormat="1" hidden="1">
      <c r="A55" s="129" t="s">
        <v>88</v>
      </c>
      <c r="B55" s="129" t="s">
        <v>29</v>
      </c>
      <c r="C55" s="129" t="s">
        <v>382</v>
      </c>
      <c r="D55" s="129"/>
      <c r="E55" s="157">
        <v>102400</v>
      </c>
      <c r="F55" s="129" t="s">
        <v>383</v>
      </c>
      <c r="G55" s="157">
        <v>2</v>
      </c>
      <c r="H55" s="129"/>
      <c r="I55" s="129" t="s">
        <v>39</v>
      </c>
      <c r="J55" s="129" t="s">
        <v>40</v>
      </c>
      <c r="K55" s="129" t="s">
        <v>62</v>
      </c>
      <c r="L55" s="129"/>
      <c r="M55" s="129" t="s">
        <v>42</v>
      </c>
      <c r="N55" s="129" t="s">
        <v>42</v>
      </c>
    </row>
    <row r="56" spans="1:14" s="21" customFormat="1" hidden="1">
      <c r="A56" s="129" t="s">
        <v>88</v>
      </c>
      <c r="B56" s="129" t="s">
        <v>29</v>
      </c>
      <c r="C56" s="129" t="s">
        <v>387</v>
      </c>
      <c r="D56" s="129"/>
      <c r="E56" s="157">
        <v>16384</v>
      </c>
      <c r="F56" s="129" t="s">
        <v>383</v>
      </c>
      <c r="G56" s="157">
        <v>3</v>
      </c>
      <c r="H56" s="129"/>
      <c r="I56" s="129" t="s">
        <v>39</v>
      </c>
      <c r="J56" s="129" t="s">
        <v>40</v>
      </c>
      <c r="K56" s="129" t="s">
        <v>62</v>
      </c>
      <c r="L56" s="129"/>
      <c r="M56" s="129" t="s">
        <v>42</v>
      </c>
      <c r="N56" s="129" t="s">
        <v>42</v>
      </c>
    </row>
    <row r="57" spans="1:14" s="21" customFormat="1">
      <c r="A57" s="129" t="s">
        <v>88</v>
      </c>
      <c r="B57" s="129" t="s">
        <v>29</v>
      </c>
      <c r="C57" s="129" t="s">
        <v>386</v>
      </c>
      <c r="D57" s="129" t="s">
        <v>385</v>
      </c>
      <c r="E57" s="157">
        <v>102400</v>
      </c>
      <c r="F57" s="129" t="s">
        <v>383</v>
      </c>
      <c r="G57" s="157">
        <v>0</v>
      </c>
      <c r="H57" s="129"/>
      <c r="I57" s="129" t="s">
        <v>39</v>
      </c>
      <c r="J57" s="129" t="s">
        <v>40</v>
      </c>
      <c r="K57" s="129" t="s">
        <v>62</v>
      </c>
      <c r="L57" s="129"/>
      <c r="M57" s="129" t="s">
        <v>42</v>
      </c>
      <c r="N57" s="129" t="s">
        <v>42</v>
      </c>
    </row>
    <row r="58" spans="1:14" s="21" customFormat="1">
      <c r="A58" s="129" t="s">
        <v>88</v>
      </c>
      <c r="B58" s="129" t="s">
        <v>29</v>
      </c>
      <c r="C58" s="129" t="s">
        <v>384</v>
      </c>
      <c r="D58" s="129" t="s">
        <v>385</v>
      </c>
      <c r="E58" s="157">
        <v>20480</v>
      </c>
      <c r="F58" s="129" t="s">
        <v>383</v>
      </c>
      <c r="G58" s="157">
        <v>1</v>
      </c>
      <c r="H58" s="129"/>
      <c r="I58" s="129" t="s">
        <v>39</v>
      </c>
      <c r="J58" s="129" t="s">
        <v>40</v>
      </c>
      <c r="K58" s="129" t="s">
        <v>62</v>
      </c>
      <c r="L58" s="129"/>
      <c r="M58" s="129" t="s">
        <v>42</v>
      </c>
      <c r="N58" s="129" t="s">
        <v>42</v>
      </c>
    </row>
    <row r="59" spans="1:14" s="21" customFormat="1">
      <c r="A59" s="129" t="s">
        <v>92</v>
      </c>
      <c r="B59" s="129" t="s">
        <v>29</v>
      </c>
      <c r="C59" s="129" t="s">
        <v>386</v>
      </c>
      <c r="D59" s="129" t="s">
        <v>385</v>
      </c>
      <c r="E59" s="157">
        <v>61440</v>
      </c>
      <c r="F59" s="129" t="s">
        <v>383</v>
      </c>
      <c r="G59" s="157">
        <v>0</v>
      </c>
      <c r="H59" s="129" t="s">
        <v>72</v>
      </c>
      <c r="I59" s="129" t="s">
        <v>39</v>
      </c>
      <c r="J59" s="129" t="s">
        <v>40</v>
      </c>
      <c r="K59" s="129" t="s">
        <v>95</v>
      </c>
      <c r="L59" s="129"/>
      <c r="M59" s="129" t="s">
        <v>42</v>
      </c>
      <c r="N59" s="129" t="s">
        <v>42</v>
      </c>
    </row>
    <row r="60" spans="1:14" s="21" customFormat="1">
      <c r="A60" s="129" t="s">
        <v>92</v>
      </c>
      <c r="B60" s="129" t="s">
        <v>29</v>
      </c>
      <c r="C60" s="129" t="s">
        <v>384</v>
      </c>
      <c r="D60" s="129" t="s">
        <v>385</v>
      </c>
      <c r="E60" s="157">
        <v>15360</v>
      </c>
      <c r="F60" s="129" t="s">
        <v>383</v>
      </c>
      <c r="G60" s="157">
        <v>1</v>
      </c>
      <c r="H60" s="129" t="s">
        <v>72</v>
      </c>
      <c r="I60" s="129" t="s">
        <v>39</v>
      </c>
      <c r="J60" s="129" t="s">
        <v>40</v>
      </c>
      <c r="K60" s="129" t="s">
        <v>95</v>
      </c>
      <c r="L60" s="129"/>
      <c r="M60" s="129" t="s">
        <v>42</v>
      </c>
      <c r="N60" s="129" t="s">
        <v>42</v>
      </c>
    </row>
    <row r="61" spans="1:14" s="21" customFormat="1">
      <c r="A61" s="129" t="s">
        <v>390</v>
      </c>
      <c r="B61" s="129" t="s">
        <v>173</v>
      </c>
      <c r="C61" s="129" t="s">
        <v>386</v>
      </c>
      <c r="D61" s="129" t="s">
        <v>385</v>
      </c>
      <c r="E61" s="157">
        <v>0</v>
      </c>
      <c r="F61" s="129" t="s">
        <v>383</v>
      </c>
      <c r="G61" s="157">
        <v>0</v>
      </c>
      <c r="H61" s="129"/>
      <c r="I61" s="129" t="s">
        <v>39</v>
      </c>
      <c r="J61" s="129" t="s">
        <v>40</v>
      </c>
      <c r="K61" s="129" t="s">
        <v>391</v>
      </c>
      <c r="L61" s="129"/>
      <c r="M61" s="129" t="s">
        <v>392</v>
      </c>
      <c r="N61" s="129"/>
    </row>
    <row r="62" spans="1:14" s="21" customFormat="1">
      <c r="A62" s="129" t="s">
        <v>96</v>
      </c>
      <c r="B62" s="129" t="s">
        <v>29</v>
      </c>
      <c r="C62" s="129" t="s">
        <v>386</v>
      </c>
      <c r="D62" s="129" t="s">
        <v>385</v>
      </c>
      <c r="E62" s="157">
        <v>20480</v>
      </c>
      <c r="F62" s="129" t="s">
        <v>383</v>
      </c>
      <c r="G62" s="157">
        <v>1</v>
      </c>
      <c r="H62" s="129"/>
      <c r="I62" s="129" t="s">
        <v>39</v>
      </c>
      <c r="J62" s="129" t="s">
        <v>40</v>
      </c>
      <c r="K62" s="129" t="s">
        <v>99</v>
      </c>
      <c r="L62" s="129"/>
      <c r="M62" s="129" t="s">
        <v>42</v>
      </c>
      <c r="N62" s="129" t="s">
        <v>42</v>
      </c>
    </row>
    <row r="63" spans="1:14" s="21" customFormat="1">
      <c r="A63" s="129" t="s">
        <v>96</v>
      </c>
      <c r="B63" s="129" t="s">
        <v>29</v>
      </c>
      <c r="C63" s="129" t="s">
        <v>384</v>
      </c>
      <c r="D63" s="129" t="s">
        <v>385</v>
      </c>
      <c r="E63" s="157">
        <v>102400</v>
      </c>
      <c r="F63" s="129" t="s">
        <v>383</v>
      </c>
      <c r="G63" s="157">
        <v>0</v>
      </c>
      <c r="H63" s="129"/>
      <c r="I63" s="129" t="s">
        <v>39</v>
      </c>
      <c r="J63" s="129" t="s">
        <v>40</v>
      </c>
      <c r="K63" s="129" t="s">
        <v>99</v>
      </c>
      <c r="L63" s="129"/>
      <c r="M63" s="129" t="s">
        <v>42</v>
      </c>
      <c r="N63" s="129" t="s">
        <v>42</v>
      </c>
    </row>
    <row r="64" spans="1:14" s="21" customFormat="1">
      <c r="A64" s="129" t="s">
        <v>100</v>
      </c>
      <c r="B64" s="129" t="s">
        <v>29</v>
      </c>
      <c r="C64" s="129" t="s">
        <v>384</v>
      </c>
      <c r="D64" s="129" t="s">
        <v>385</v>
      </c>
      <c r="E64" s="157">
        <v>307200</v>
      </c>
      <c r="F64" s="129" t="s">
        <v>383</v>
      </c>
      <c r="G64" s="157">
        <v>1</v>
      </c>
      <c r="H64" s="129"/>
      <c r="I64" s="129" t="s">
        <v>39</v>
      </c>
      <c r="J64" s="129" t="s">
        <v>40</v>
      </c>
      <c r="K64" s="129" t="s">
        <v>99</v>
      </c>
      <c r="L64" s="129"/>
      <c r="M64" s="129" t="s">
        <v>103</v>
      </c>
      <c r="N64" s="129" t="s">
        <v>103</v>
      </c>
    </row>
    <row r="65" spans="1:14" s="21" customFormat="1">
      <c r="A65" s="129" t="s">
        <v>100</v>
      </c>
      <c r="B65" s="129" t="s">
        <v>29</v>
      </c>
      <c r="C65" s="129" t="s">
        <v>386</v>
      </c>
      <c r="D65" s="129" t="s">
        <v>385</v>
      </c>
      <c r="E65" s="157">
        <v>71680</v>
      </c>
      <c r="F65" s="129" t="s">
        <v>383</v>
      </c>
      <c r="G65" s="157">
        <v>0</v>
      </c>
      <c r="H65" s="129"/>
      <c r="I65" s="129" t="s">
        <v>39</v>
      </c>
      <c r="J65" s="129" t="s">
        <v>40</v>
      </c>
      <c r="K65" s="129" t="s">
        <v>99</v>
      </c>
      <c r="L65" s="129"/>
      <c r="M65" s="129" t="s">
        <v>103</v>
      </c>
      <c r="N65" s="129" t="s">
        <v>103</v>
      </c>
    </row>
    <row r="66" spans="1:14" s="21" customFormat="1" hidden="1">
      <c r="A66" s="129" t="s">
        <v>100</v>
      </c>
      <c r="B66" s="129" t="s">
        <v>29</v>
      </c>
      <c r="C66" s="129" t="s">
        <v>382</v>
      </c>
      <c r="D66" s="129"/>
      <c r="E66" s="157">
        <v>15728843</v>
      </c>
      <c r="F66" s="129" t="s">
        <v>393</v>
      </c>
      <c r="G66" s="157">
        <v>2</v>
      </c>
      <c r="H66" s="129"/>
      <c r="I66" s="129" t="s">
        <v>39</v>
      </c>
      <c r="J66" s="129" t="s">
        <v>40</v>
      </c>
      <c r="K66" s="129" t="s">
        <v>99</v>
      </c>
      <c r="L66" s="129"/>
      <c r="M66" s="129" t="s">
        <v>103</v>
      </c>
      <c r="N66" s="129" t="s">
        <v>103</v>
      </c>
    </row>
    <row r="67" spans="1:14" s="21" customFormat="1">
      <c r="A67" s="129" t="s">
        <v>104</v>
      </c>
      <c r="B67" s="129" t="s">
        <v>29</v>
      </c>
      <c r="C67" s="129" t="s">
        <v>384</v>
      </c>
      <c r="D67" s="129" t="s">
        <v>385</v>
      </c>
      <c r="E67" s="157">
        <v>307200</v>
      </c>
      <c r="F67" s="129" t="s">
        <v>383</v>
      </c>
      <c r="G67" s="157">
        <v>1</v>
      </c>
      <c r="H67" s="129"/>
      <c r="I67" s="129" t="s">
        <v>39</v>
      </c>
      <c r="J67" s="129" t="s">
        <v>40</v>
      </c>
      <c r="K67" s="129" t="s">
        <v>99</v>
      </c>
      <c r="L67" s="129"/>
      <c r="M67" s="129" t="s">
        <v>103</v>
      </c>
      <c r="N67" s="129" t="s">
        <v>103</v>
      </c>
    </row>
    <row r="68" spans="1:14" s="21" customFormat="1">
      <c r="A68" s="129" t="s">
        <v>104</v>
      </c>
      <c r="B68" s="129" t="s">
        <v>29</v>
      </c>
      <c r="C68" s="129" t="s">
        <v>386</v>
      </c>
      <c r="D68" s="129" t="s">
        <v>385</v>
      </c>
      <c r="E68" s="157">
        <v>71680</v>
      </c>
      <c r="F68" s="129" t="s">
        <v>383</v>
      </c>
      <c r="G68" s="157">
        <v>0</v>
      </c>
      <c r="H68" s="129"/>
      <c r="I68" s="129" t="s">
        <v>39</v>
      </c>
      <c r="J68" s="129" t="s">
        <v>40</v>
      </c>
      <c r="K68" s="129" t="s">
        <v>99</v>
      </c>
      <c r="L68" s="129"/>
      <c r="M68" s="129" t="s">
        <v>103</v>
      </c>
      <c r="N68" s="129" t="s">
        <v>103</v>
      </c>
    </row>
    <row r="69" spans="1:14" s="21" customFormat="1" hidden="1">
      <c r="A69" s="129" t="s">
        <v>104</v>
      </c>
      <c r="B69" s="129" t="s">
        <v>29</v>
      </c>
      <c r="C69" s="129" t="s">
        <v>382</v>
      </c>
      <c r="D69" s="129"/>
      <c r="E69" s="157">
        <v>5242880</v>
      </c>
      <c r="F69" s="129" t="s">
        <v>393</v>
      </c>
      <c r="G69" s="157">
        <v>2</v>
      </c>
      <c r="H69" s="129"/>
      <c r="I69" s="129" t="s">
        <v>39</v>
      </c>
      <c r="J69" s="129" t="s">
        <v>40</v>
      </c>
      <c r="K69" s="129" t="s">
        <v>99</v>
      </c>
      <c r="L69" s="129"/>
      <c r="M69" s="129" t="s">
        <v>103</v>
      </c>
      <c r="N69" s="129" t="s">
        <v>103</v>
      </c>
    </row>
    <row r="70" spans="1:14" s="21" customFormat="1">
      <c r="A70" s="129" t="s">
        <v>107</v>
      </c>
      <c r="B70" s="129" t="s">
        <v>29</v>
      </c>
      <c r="C70" s="129" t="s">
        <v>384</v>
      </c>
      <c r="D70" s="129" t="s">
        <v>385</v>
      </c>
      <c r="E70" s="157">
        <v>307200</v>
      </c>
      <c r="F70" s="129" t="s">
        <v>383</v>
      </c>
      <c r="G70" s="157">
        <v>1</v>
      </c>
      <c r="H70" s="129"/>
      <c r="I70" s="129" t="s">
        <v>39</v>
      </c>
      <c r="J70" s="129" t="s">
        <v>40</v>
      </c>
      <c r="K70" s="129" t="s">
        <v>99</v>
      </c>
      <c r="L70" s="129"/>
      <c r="M70" s="129" t="s">
        <v>103</v>
      </c>
      <c r="N70" s="129" t="s">
        <v>103</v>
      </c>
    </row>
    <row r="71" spans="1:14" s="21" customFormat="1">
      <c r="A71" s="129" t="s">
        <v>107</v>
      </c>
      <c r="B71" s="129" t="s">
        <v>29</v>
      </c>
      <c r="C71" s="129" t="s">
        <v>386</v>
      </c>
      <c r="D71" s="129" t="s">
        <v>385</v>
      </c>
      <c r="E71" s="157">
        <v>71680</v>
      </c>
      <c r="F71" s="129" t="s">
        <v>383</v>
      </c>
      <c r="G71" s="157">
        <v>0</v>
      </c>
      <c r="H71" s="129"/>
      <c r="I71" s="129" t="s">
        <v>39</v>
      </c>
      <c r="J71" s="129" t="s">
        <v>40</v>
      </c>
      <c r="K71" s="129" t="s">
        <v>99</v>
      </c>
      <c r="L71" s="129"/>
      <c r="M71" s="129" t="s">
        <v>103</v>
      </c>
      <c r="N71" s="129" t="s">
        <v>103</v>
      </c>
    </row>
    <row r="72" spans="1:14" s="21" customFormat="1">
      <c r="A72" s="129" t="s">
        <v>110</v>
      </c>
      <c r="B72" s="129" t="s">
        <v>29</v>
      </c>
      <c r="C72" s="129" t="s">
        <v>386</v>
      </c>
      <c r="D72" s="129" t="s">
        <v>385</v>
      </c>
      <c r="E72" s="157">
        <v>102400</v>
      </c>
      <c r="F72" s="129" t="s">
        <v>383</v>
      </c>
      <c r="G72" s="157">
        <v>0</v>
      </c>
      <c r="H72" s="129" t="s">
        <v>112</v>
      </c>
      <c r="I72" s="129" t="s">
        <v>39</v>
      </c>
      <c r="J72" s="129" t="s">
        <v>40</v>
      </c>
      <c r="K72" s="129" t="s">
        <v>113</v>
      </c>
      <c r="L72" s="129"/>
      <c r="M72" s="129" t="s">
        <v>42</v>
      </c>
      <c r="N72" s="129" t="s">
        <v>42</v>
      </c>
    </row>
    <row r="73" spans="1:14" s="21" customFormat="1">
      <c r="A73" s="129" t="s">
        <v>110</v>
      </c>
      <c r="B73" s="129" t="s">
        <v>29</v>
      </c>
      <c r="C73" s="129" t="s">
        <v>384</v>
      </c>
      <c r="D73" s="129" t="s">
        <v>385</v>
      </c>
      <c r="E73" s="157">
        <v>20480</v>
      </c>
      <c r="F73" s="129" t="s">
        <v>383</v>
      </c>
      <c r="G73" s="157">
        <v>1</v>
      </c>
      <c r="H73" s="129" t="s">
        <v>112</v>
      </c>
      <c r="I73" s="129" t="s">
        <v>39</v>
      </c>
      <c r="J73" s="129" t="s">
        <v>40</v>
      </c>
      <c r="K73" s="129" t="s">
        <v>113</v>
      </c>
      <c r="L73" s="129"/>
      <c r="M73" s="129" t="s">
        <v>42</v>
      </c>
      <c r="N73" s="129" t="s">
        <v>42</v>
      </c>
    </row>
    <row r="74" spans="1:14" s="21" customFormat="1" hidden="1">
      <c r="A74" s="129" t="s">
        <v>114</v>
      </c>
      <c r="B74" s="129" t="s">
        <v>29</v>
      </c>
      <c r="C74" s="129" t="s">
        <v>384</v>
      </c>
      <c r="D74" s="129"/>
      <c r="E74" s="157">
        <v>1048576</v>
      </c>
      <c r="F74" s="129" t="s">
        <v>383</v>
      </c>
      <c r="G74" s="157">
        <v>1</v>
      </c>
      <c r="H74" s="129" t="s">
        <v>115</v>
      </c>
      <c r="I74" s="129" t="s">
        <v>39</v>
      </c>
      <c r="J74" s="129" t="s">
        <v>40</v>
      </c>
      <c r="K74" s="129" t="s">
        <v>41</v>
      </c>
      <c r="L74" s="129"/>
      <c r="M74" s="129" t="s">
        <v>42</v>
      </c>
      <c r="N74" s="129" t="s">
        <v>42</v>
      </c>
    </row>
    <row r="75" spans="1:14" s="21" customFormat="1">
      <c r="A75" s="129" t="s">
        <v>114</v>
      </c>
      <c r="B75" s="129" t="s">
        <v>29</v>
      </c>
      <c r="C75" s="129" t="s">
        <v>386</v>
      </c>
      <c r="D75" s="129" t="s">
        <v>385</v>
      </c>
      <c r="E75" s="157">
        <v>61440</v>
      </c>
      <c r="F75" s="129" t="s">
        <v>383</v>
      </c>
      <c r="G75" s="157">
        <v>0</v>
      </c>
      <c r="H75" s="129" t="s">
        <v>115</v>
      </c>
      <c r="I75" s="129" t="s">
        <v>39</v>
      </c>
      <c r="J75" s="129" t="s">
        <v>40</v>
      </c>
      <c r="K75" s="129" t="s">
        <v>41</v>
      </c>
      <c r="L75" s="129"/>
      <c r="M75" s="129" t="s">
        <v>42</v>
      </c>
      <c r="N75" s="129" t="s">
        <v>42</v>
      </c>
    </row>
    <row r="76" spans="1:14" s="21" customFormat="1" hidden="1">
      <c r="A76" s="129" t="s">
        <v>114</v>
      </c>
      <c r="B76" s="129" t="s">
        <v>29</v>
      </c>
      <c r="C76" s="129" t="s">
        <v>382</v>
      </c>
      <c r="D76" s="129"/>
      <c r="E76" s="157">
        <v>512000</v>
      </c>
      <c r="F76" s="129" t="s">
        <v>383</v>
      </c>
      <c r="G76" s="157">
        <v>2</v>
      </c>
      <c r="H76" s="129" t="s">
        <v>115</v>
      </c>
      <c r="I76" s="129" t="s">
        <v>39</v>
      </c>
      <c r="J76" s="129" t="s">
        <v>40</v>
      </c>
      <c r="K76" s="129" t="s">
        <v>41</v>
      </c>
      <c r="L76" s="129"/>
      <c r="M76" s="129" t="s">
        <v>42</v>
      </c>
      <c r="N76" s="129" t="s">
        <v>42</v>
      </c>
    </row>
    <row r="77" spans="1:14" s="21" customFormat="1">
      <c r="A77" s="129" t="s">
        <v>116</v>
      </c>
      <c r="B77" s="129" t="s">
        <v>29</v>
      </c>
      <c r="C77" s="129" t="s">
        <v>384</v>
      </c>
      <c r="D77" s="129" t="s">
        <v>385</v>
      </c>
      <c r="E77" s="157">
        <v>102400</v>
      </c>
      <c r="F77" s="129" t="s">
        <v>383</v>
      </c>
      <c r="G77" s="157">
        <v>0</v>
      </c>
      <c r="H77" s="129" t="s">
        <v>49</v>
      </c>
      <c r="I77" s="129" t="s">
        <v>39</v>
      </c>
      <c r="J77" s="129" t="s">
        <v>40</v>
      </c>
      <c r="K77" s="129" t="s">
        <v>95</v>
      </c>
      <c r="L77" s="129"/>
      <c r="M77" s="129" t="s">
        <v>42</v>
      </c>
      <c r="N77" s="129" t="s">
        <v>42</v>
      </c>
    </row>
    <row r="78" spans="1:14" s="21" customFormat="1">
      <c r="A78" s="129" t="s">
        <v>116</v>
      </c>
      <c r="B78" s="129" t="s">
        <v>29</v>
      </c>
      <c r="C78" s="129" t="s">
        <v>386</v>
      </c>
      <c r="D78" s="129" t="s">
        <v>385</v>
      </c>
      <c r="E78" s="157">
        <v>20480</v>
      </c>
      <c r="F78" s="129" t="s">
        <v>383</v>
      </c>
      <c r="G78" s="157">
        <v>1</v>
      </c>
      <c r="H78" s="129" t="s">
        <v>49</v>
      </c>
      <c r="I78" s="129" t="s">
        <v>39</v>
      </c>
      <c r="J78" s="129" t="s">
        <v>40</v>
      </c>
      <c r="K78" s="129" t="s">
        <v>95</v>
      </c>
      <c r="L78" s="129"/>
      <c r="M78" s="129" t="s">
        <v>42</v>
      </c>
      <c r="N78" s="129" t="s">
        <v>42</v>
      </c>
    </row>
    <row r="79" spans="1:14" s="21" customFormat="1" hidden="1">
      <c r="A79" s="129" t="s">
        <v>116</v>
      </c>
      <c r="B79" s="129" t="s">
        <v>29</v>
      </c>
      <c r="C79" s="129" t="s">
        <v>382</v>
      </c>
      <c r="D79" s="129"/>
      <c r="E79" s="157">
        <v>1048576</v>
      </c>
      <c r="F79" s="129" t="s">
        <v>383</v>
      </c>
      <c r="G79" s="157">
        <v>2</v>
      </c>
      <c r="H79" s="129" t="s">
        <v>49</v>
      </c>
      <c r="I79" s="129" t="s">
        <v>39</v>
      </c>
      <c r="J79" s="129" t="s">
        <v>40</v>
      </c>
      <c r="K79" s="129" t="s">
        <v>95</v>
      </c>
      <c r="L79" s="129"/>
      <c r="M79" s="129" t="s">
        <v>42</v>
      </c>
      <c r="N79" s="129" t="s">
        <v>42</v>
      </c>
    </row>
    <row r="80" spans="1:14" s="21" customFormat="1">
      <c r="A80" s="129" t="s">
        <v>118</v>
      </c>
      <c r="B80" s="129" t="s">
        <v>29</v>
      </c>
      <c r="C80" s="129" t="s">
        <v>386</v>
      </c>
      <c r="D80" s="129" t="s">
        <v>385</v>
      </c>
      <c r="E80" s="157">
        <v>102400</v>
      </c>
      <c r="F80" s="129" t="s">
        <v>383</v>
      </c>
      <c r="G80" s="157">
        <v>1</v>
      </c>
      <c r="H80" s="129" t="s">
        <v>49</v>
      </c>
      <c r="I80" s="129" t="s">
        <v>39</v>
      </c>
      <c r="J80" s="129" t="s">
        <v>40</v>
      </c>
      <c r="K80" s="129" t="s">
        <v>50</v>
      </c>
      <c r="L80" s="129"/>
      <c r="M80" s="129" t="s">
        <v>42</v>
      </c>
      <c r="N80" s="129" t="s">
        <v>42</v>
      </c>
    </row>
    <row r="81" spans="1:14" s="21" customFormat="1">
      <c r="A81" s="129" t="s">
        <v>118</v>
      </c>
      <c r="B81" s="129" t="s">
        <v>29</v>
      </c>
      <c r="C81" s="129" t="s">
        <v>384</v>
      </c>
      <c r="D81" s="129" t="s">
        <v>385</v>
      </c>
      <c r="E81" s="157">
        <v>20480</v>
      </c>
      <c r="F81" s="129" t="s">
        <v>383</v>
      </c>
      <c r="G81" s="157">
        <v>0</v>
      </c>
      <c r="H81" s="129" t="s">
        <v>49</v>
      </c>
      <c r="I81" s="129" t="s">
        <v>39</v>
      </c>
      <c r="J81" s="129" t="s">
        <v>40</v>
      </c>
      <c r="K81" s="129" t="s">
        <v>50</v>
      </c>
      <c r="L81" s="129"/>
      <c r="M81" s="129" t="s">
        <v>42</v>
      </c>
      <c r="N81" s="129" t="s">
        <v>42</v>
      </c>
    </row>
    <row r="82" spans="1:14" s="21" customFormat="1" hidden="1">
      <c r="A82" s="129" t="s">
        <v>118</v>
      </c>
      <c r="B82" s="129" t="s">
        <v>29</v>
      </c>
      <c r="C82" s="129" t="s">
        <v>382</v>
      </c>
      <c r="D82" s="129"/>
      <c r="E82" s="157">
        <v>1048576</v>
      </c>
      <c r="F82" s="129" t="s">
        <v>383</v>
      </c>
      <c r="G82" s="157">
        <v>2</v>
      </c>
      <c r="H82" s="129" t="s">
        <v>49</v>
      </c>
      <c r="I82" s="129" t="s">
        <v>39</v>
      </c>
      <c r="J82" s="129" t="s">
        <v>40</v>
      </c>
      <c r="K82" s="129" t="s">
        <v>50</v>
      </c>
      <c r="L82" s="129"/>
      <c r="M82" s="129" t="s">
        <v>42</v>
      </c>
      <c r="N82" s="129" t="s">
        <v>42</v>
      </c>
    </row>
    <row r="83" spans="1:14" s="21" customFormat="1" hidden="1">
      <c r="A83" s="129" t="s">
        <v>120</v>
      </c>
      <c r="B83" s="129" t="s">
        <v>29</v>
      </c>
      <c r="C83" s="129" t="s">
        <v>387</v>
      </c>
      <c r="D83" s="129"/>
      <c r="E83" s="157">
        <v>15728640</v>
      </c>
      <c r="F83" s="129" t="s">
        <v>393</v>
      </c>
      <c r="G83" s="157">
        <v>3</v>
      </c>
      <c r="H83" s="129" t="s">
        <v>49</v>
      </c>
      <c r="I83" s="129" t="s">
        <v>39</v>
      </c>
      <c r="J83" s="129" t="s">
        <v>40</v>
      </c>
      <c r="K83" s="129" t="s">
        <v>50</v>
      </c>
      <c r="L83" s="129"/>
      <c r="M83" s="129" t="s">
        <v>123</v>
      </c>
      <c r="N83" s="129" t="s">
        <v>123</v>
      </c>
    </row>
    <row r="84" spans="1:14" s="21" customFormat="1" hidden="1">
      <c r="A84" s="129" t="s">
        <v>120</v>
      </c>
      <c r="B84" s="129" t="s">
        <v>29</v>
      </c>
      <c r="C84" s="129" t="s">
        <v>384</v>
      </c>
      <c r="D84" s="129"/>
      <c r="E84" s="157">
        <v>5242880</v>
      </c>
      <c r="F84" s="129" t="s">
        <v>393</v>
      </c>
      <c r="G84" s="157">
        <v>1</v>
      </c>
      <c r="H84" s="129" t="s">
        <v>49</v>
      </c>
      <c r="I84" s="129" t="s">
        <v>39</v>
      </c>
      <c r="J84" s="129" t="s">
        <v>40</v>
      </c>
      <c r="K84" s="129" t="s">
        <v>50</v>
      </c>
      <c r="L84" s="129"/>
      <c r="M84" s="129" t="s">
        <v>123</v>
      </c>
      <c r="N84" s="129" t="s">
        <v>123</v>
      </c>
    </row>
    <row r="85" spans="1:14" s="21" customFormat="1" hidden="1">
      <c r="A85" s="129" t="s">
        <v>120</v>
      </c>
      <c r="B85" s="129" t="s">
        <v>29</v>
      </c>
      <c r="C85" s="129" t="s">
        <v>382</v>
      </c>
      <c r="D85" s="129"/>
      <c r="E85" s="157">
        <v>11534336</v>
      </c>
      <c r="F85" s="129" t="s">
        <v>393</v>
      </c>
      <c r="G85" s="157">
        <v>2</v>
      </c>
      <c r="H85" s="129" t="s">
        <v>49</v>
      </c>
      <c r="I85" s="129" t="s">
        <v>39</v>
      </c>
      <c r="J85" s="129" t="s">
        <v>40</v>
      </c>
      <c r="K85" s="129" t="s">
        <v>50</v>
      </c>
      <c r="L85" s="129"/>
      <c r="M85" s="129" t="s">
        <v>123</v>
      </c>
      <c r="N85" s="129" t="s">
        <v>123</v>
      </c>
    </row>
    <row r="86" spans="1:14" s="21" customFormat="1" hidden="1">
      <c r="A86" s="129" t="s">
        <v>120</v>
      </c>
      <c r="B86" s="129" t="s">
        <v>29</v>
      </c>
      <c r="C86" s="129" t="s">
        <v>389</v>
      </c>
      <c r="D86" s="129"/>
      <c r="E86" s="157">
        <v>10485760</v>
      </c>
      <c r="F86" s="129" t="s">
        <v>393</v>
      </c>
      <c r="G86" s="157">
        <v>4</v>
      </c>
      <c r="H86" s="129" t="s">
        <v>49</v>
      </c>
      <c r="I86" s="129" t="s">
        <v>39</v>
      </c>
      <c r="J86" s="129" t="s">
        <v>40</v>
      </c>
      <c r="K86" s="129" t="s">
        <v>50</v>
      </c>
      <c r="L86" s="129"/>
      <c r="M86" s="129" t="s">
        <v>123</v>
      </c>
      <c r="N86" s="129" t="s">
        <v>123</v>
      </c>
    </row>
    <row r="87" spans="1:14" s="21" customFormat="1">
      <c r="A87" s="129" t="s">
        <v>120</v>
      </c>
      <c r="B87" s="129" t="s">
        <v>29</v>
      </c>
      <c r="C87" s="129" t="s">
        <v>386</v>
      </c>
      <c r="D87" s="129" t="s">
        <v>385</v>
      </c>
      <c r="E87" s="157">
        <v>102400</v>
      </c>
      <c r="F87" s="129" t="s">
        <v>383</v>
      </c>
      <c r="G87" s="157">
        <v>0</v>
      </c>
      <c r="H87" s="129" t="s">
        <v>49</v>
      </c>
      <c r="I87" s="129" t="s">
        <v>39</v>
      </c>
      <c r="J87" s="129" t="s">
        <v>40</v>
      </c>
      <c r="K87" s="129" t="s">
        <v>50</v>
      </c>
      <c r="L87" s="129"/>
      <c r="M87" s="129" t="s">
        <v>123</v>
      </c>
      <c r="N87" s="129" t="s">
        <v>123</v>
      </c>
    </row>
    <row r="88" spans="1:14" s="21" customFormat="1">
      <c r="A88" s="129" t="s">
        <v>124</v>
      </c>
      <c r="B88" s="129" t="s">
        <v>29</v>
      </c>
      <c r="C88" s="129" t="s">
        <v>386</v>
      </c>
      <c r="D88" s="129" t="s">
        <v>385</v>
      </c>
      <c r="E88" s="157">
        <v>102400</v>
      </c>
      <c r="F88" s="129" t="s">
        <v>383</v>
      </c>
      <c r="G88" s="157">
        <v>0</v>
      </c>
      <c r="H88" s="129" t="s">
        <v>49</v>
      </c>
      <c r="I88" s="129" t="s">
        <v>39</v>
      </c>
      <c r="J88" s="129" t="s">
        <v>40</v>
      </c>
      <c r="K88" s="129" t="s">
        <v>46</v>
      </c>
      <c r="L88" s="129"/>
      <c r="M88" s="129" t="s">
        <v>123</v>
      </c>
      <c r="N88" s="129" t="s">
        <v>123</v>
      </c>
    </row>
    <row r="89" spans="1:14" s="21" customFormat="1">
      <c r="A89" s="129" t="s">
        <v>127</v>
      </c>
      <c r="B89" s="129" t="s">
        <v>29</v>
      </c>
      <c r="C89" s="129" t="s">
        <v>386</v>
      </c>
      <c r="D89" s="129" t="s">
        <v>385</v>
      </c>
      <c r="E89" s="157">
        <v>102400</v>
      </c>
      <c r="F89" s="129" t="s">
        <v>383</v>
      </c>
      <c r="G89" s="157">
        <v>0</v>
      </c>
      <c r="H89" s="129" t="s">
        <v>49</v>
      </c>
      <c r="I89" s="129" t="s">
        <v>39</v>
      </c>
      <c r="J89" s="129" t="s">
        <v>40</v>
      </c>
      <c r="K89" s="129" t="s">
        <v>41</v>
      </c>
      <c r="L89" s="129"/>
      <c r="M89" s="129" t="s">
        <v>123</v>
      </c>
      <c r="N89" s="129" t="s">
        <v>123</v>
      </c>
    </row>
    <row r="90" spans="1:14" s="21" customFormat="1">
      <c r="A90" s="129" t="s">
        <v>129</v>
      </c>
      <c r="B90" s="129" t="s">
        <v>29</v>
      </c>
      <c r="C90" s="129" t="s">
        <v>384</v>
      </c>
      <c r="D90" s="129" t="s">
        <v>385</v>
      </c>
      <c r="E90" s="157">
        <v>20480</v>
      </c>
      <c r="F90" s="129" t="s">
        <v>383</v>
      </c>
      <c r="G90" s="157">
        <v>0</v>
      </c>
      <c r="H90" s="129" t="s">
        <v>49</v>
      </c>
      <c r="I90" s="129" t="s">
        <v>39</v>
      </c>
      <c r="J90" s="129" t="s">
        <v>40</v>
      </c>
      <c r="K90" s="129" t="s">
        <v>41</v>
      </c>
      <c r="L90" s="129"/>
      <c r="M90" s="129" t="s">
        <v>42</v>
      </c>
      <c r="N90" s="129" t="s">
        <v>42</v>
      </c>
    </row>
    <row r="91" spans="1:14" s="21" customFormat="1" hidden="1">
      <c r="A91" s="129" t="s">
        <v>129</v>
      </c>
      <c r="B91" s="129" t="s">
        <v>29</v>
      </c>
      <c r="C91" s="129" t="s">
        <v>382</v>
      </c>
      <c r="D91" s="129"/>
      <c r="E91" s="157">
        <v>1048576</v>
      </c>
      <c r="F91" s="129" t="s">
        <v>383</v>
      </c>
      <c r="G91" s="157">
        <v>2</v>
      </c>
      <c r="H91" s="129" t="s">
        <v>49</v>
      </c>
      <c r="I91" s="129" t="s">
        <v>39</v>
      </c>
      <c r="J91" s="129" t="s">
        <v>40</v>
      </c>
      <c r="K91" s="129" t="s">
        <v>41</v>
      </c>
      <c r="L91" s="129"/>
      <c r="M91" s="129" t="s">
        <v>42</v>
      </c>
      <c r="N91" s="129" t="s">
        <v>42</v>
      </c>
    </row>
    <row r="92" spans="1:14" s="21" customFormat="1">
      <c r="A92" s="129" t="s">
        <v>129</v>
      </c>
      <c r="B92" s="129" t="s">
        <v>29</v>
      </c>
      <c r="C92" s="129" t="s">
        <v>386</v>
      </c>
      <c r="D92" s="129" t="s">
        <v>385</v>
      </c>
      <c r="E92" s="157">
        <v>102400</v>
      </c>
      <c r="F92" s="129" t="s">
        <v>383</v>
      </c>
      <c r="G92" s="157">
        <v>1</v>
      </c>
      <c r="H92" s="129" t="s">
        <v>49</v>
      </c>
      <c r="I92" s="129" t="s">
        <v>39</v>
      </c>
      <c r="J92" s="129" t="s">
        <v>40</v>
      </c>
      <c r="K92" s="129" t="s">
        <v>41</v>
      </c>
      <c r="L92" s="129"/>
      <c r="M92" s="129" t="s">
        <v>42</v>
      </c>
      <c r="N92" s="129" t="s">
        <v>42</v>
      </c>
    </row>
    <row r="93" spans="1:14" s="21" customFormat="1" hidden="1">
      <c r="A93" s="129" t="s">
        <v>131</v>
      </c>
      <c r="B93" s="129" t="s">
        <v>29</v>
      </c>
      <c r="C93" s="129" t="s">
        <v>382</v>
      </c>
      <c r="D93" s="129"/>
      <c r="E93" s="157">
        <v>1048593</v>
      </c>
      <c r="F93" s="129" t="s">
        <v>393</v>
      </c>
      <c r="G93" s="157">
        <v>2</v>
      </c>
      <c r="H93" s="129" t="s">
        <v>49</v>
      </c>
      <c r="I93" s="129" t="s">
        <v>39</v>
      </c>
      <c r="J93" s="129" t="s">
        <v>40</v>
      </c>
      <c r="K93" s="129" t="s">
        <v>41</v>
      </c>
      <c r="L93" s="129"/>
      <c r="M93" s="129" t="s">
        <v>42</v>
      </c>
      <c r="N93" s="129" t="s">
        <v>42</v>
      </c>
    </row>
    <row r="94" spans="1:14" s="21" customFormat="1">
      <c r="A94" s="129" t="s">
        <v>131</v>
      </c>
      <c r="B94" s="129" t="s">
        <v>29</v>
      </c>
      <c r="C94" s="129" t="s">
        <v>384</v>
      </c>
      <c r="D94" s="129" t="s">
        <v>385</v>
      </c>
      <c r="E94" s="157">
        <v>102400</v>
      </c>
      <c r="F94" s="129" t="s">
        <v>383</v>
      </c>
      <c r="G94" s="157">
        <v>0</v>
      </c>
      <c r="H94" s="129" t="s">
        <v>49</v>
      </c>
      <c r="I94" s="129" t="s">
        <v>39</v>
      </c>
      <c r="J94" s="129" t="s">
        <v>40</v>
      </c>
      <c r="K94" s="129" t="s">
        <v>41</v>
      </c>
      <c r="L94" s="129"/>
      <c r="M94" s="129" t="s">
        <v>42</v>
      </c>
      <c r="N94" s="129" t="s">
        <v>42</v>
      </c>
    </row>
    <row r="95" spans="1:14" s="21" customFormat="1">
      <c r="A95" s="129" t="s">
        <v>131</v>
      </c>
      <c r="B95" s="129" t="s">
        <v>29</v>
      </c>
      <c r="C95" s="129" t="s">
        <v>386</v>
      </c>
      <c r="D95" s="129" t="s">
        <v>385</v>
      </c>
      <c r="E95" s="157">
        <v>20480</v>
      </c>
      <c r="F95" s="129" t="s">
        <v>383</v>
      </c>
      <c r="G95" s="157">
        <v>1</v>
      </c>
      <c r="H95" s="129" t="s">
        <v>49</v>
      </c>
      <c r="I95" s="129" t="s">
        <v>39</v>
      </c>
      <c r="J95" s="129" t="s">
        <v>40</v>
      </c>
      <c r="K95" s="129" t="s">
        <v>41</v>
      </c>
      <c r="L95" s="129"/>
      <c r="M95" s="129" t="s">
        <v>42</v>
      </c>
      <c r="N95" s="129" t="s">
        <v>42</v>
      </c>
    </row>
    <row r="96" spans="1:14" s="21" customFormat="1">
      <c r="A96" s="129" t="s">
        <v>134</v>
      </c>
      <c r="B96" s="129" t="s">
        <v>29</v>
      </c>
      <c r="C96" s="129" t="s">
        <v>386</v>
      </c>
      <c r="D96" s="129" t="s">
        <v>385</v>
      </c>
      <c r="E96" s="157">
        <v>102400</v>
      </c>
      <c r="F96" s="129" t="s">
        <v>383</v>
      </c>
      <c r="G96" s="157">
        <v>1</v>
      </c>
      <c r="H96" s="129" t="s">
        <v>49</v>
      </c>
      <c r="I96" s="129" t="s">
        <v>39</v>
      </c>
      <c r="J96" s="129" t="s">
        <v>40</v>
      </c>
      <c r="K96" s="129" t="s">
        <v>50</v>
      </c>
      <c r="L96" s="129"/>
      <c r="M96" s="129" t="s">
        <v>42</v>
      </c>
      <c r="N96" s="129" t="s">
        <v>42</v>
      </c>
    </row>
    <row r="97" spans="1:14" s="21" customFormat="1" hidden="1">
      <c r="A97" s="129" t="s">
        <v>134</v>
      </c>
      <c r="B97" s="129" t="s">
        <v>29</v>
      </c>
      <c r="C97" s="129" t="s">
        <v>382</v>
      </c>
      <c r="D97" s="129"/>
      <c r="E97" s="157">
        <v>1048576</v>
      </c>
      <c r="F97" s="129" t="s">
        <v>383</v>
      </c>
      <c r="G97" s="157">
        <v>2</v>
      </c>
      <c r="H97" s="129" t="s">
        <v>49</v>
      </c>
      <c r="I97" s="129" t="s">
        <v>39</v>
      </c>
      <c r="J97" s="129" t="s">
        <v>40</v>
      </c>
      <c r="K97" s="129" t="s">
        <v>50</v>
      </c>
      <c r="L97" s="129"/>
      <c r="M97" s="129" t="s">
        <v>42</v>
      </c>
      <c r="N97" s="129" t="s">
        <v>42</v>
      </c>
    </row>
    <row r="98" spans="1:14" s="21" customFormat="1">
      <c r="A98" s="129" t="s">
        <v>134</v>
      </c>
      <c r="B98" s="129" t="s">
        <v>29</v>
      </c>
      <c r="C98" s="129" t="s">
        <v>384</v>
      </c>
      <c r="D98" s="129" t="s">
        <v>385</v>
      </c>
      <c r="E98" s="157">
        <v>20480</v>
      </c>
      <c r="F98" s="129" t="s">
        <v>383</v>
      </c>
      <c r="G98" s="157">
        <v>0</v>
      </c>
      <c r="H98" s="129" t="s">
        <v>49</v>
      </c>
      <c r="I98" s="129" t="s">
        <v>39</v>
      </c>
      <c r="J98" s="129" t="s">
        <v>40</v>
      </c>
      <c r="K98" s="129" t="s">
        <v>50</v>
      </c>
      <c r="L98" s="129"/>
      <c r="M98" s="129" t="s">
        <v>42</v>
      </c>
      <c r="N98" s="129" t="s">
        <v>42</v>
      </c>
    </row>
    <row r="99" spans="1:14" s="21" customFormat="1">
      <c r="A99" s="129" t="s">
        <v>136</v>
      </c>
      <c r="B99" s="129" t="s">
        <v>29</v>
      </c>
      <c r="C99" s="129" t="s">
        <v>386</v>
      </c>
      <c r="D99" s="129" t="s">
        <v>385</v>
      </c>
      <c r="E99" s="157">
        <v>102400</v>
      </c>
      <c r="F99" s="129" t="s">
        <v>383</v>
      </c>
      <c r="G99" s="157">
        <v>0</v>
      </c>
      <c r="H99" s="129" t="s">
        <v>38</v>
      </c>
      <c r="I99" s="129" t="s">
        <v>39</v>
      </c>
      <c r="J99" s="129" t="s">
        <v>40</v>
      </c>
      <c r="K99" s="129" t="s">
        <v>95</v>
      </c>
      <c r="L99" s="129"/>
      <c r="M99" s="129" t="s">
        <v>123</v>
      </c>
      <c r="N99" s="129" t="s">
        <v>123</v>
      </c>
    </row>
    <row r="100" spans="1:14" s="21" customFormat="1" hidden="1">
      <c r="A100" s="129" t="s">
        <v>136</v>
      </c>
      <c r="B100" s="129" t="s">
        <v>29</v>
      </c>
      <c r="C100" s="129" t="s">
        <v>387</v>
      </c>
      <c r="D100" s="129"/>
      <c r="E100" s="157">
        <v>31457280</v>
      </c>
      <c r="F100" s="129" t="s">
        <v>383</v>
      </c>
      <c r="G100" s="157">
        <v>12</v>
      </c>
      <c r="H100" s="129" t="s">
        <v>38</v>
      </c>
      <c r="I100" s="129" t="s">
        <v>39</v>
      </c>
      <c r="J100" s="129" t="s">
        <v>40</v>
      </c>
      <c r="K100" s="129" t="s">
        <v>95</v>
      </c>
      <c r="L100" s="129"/>
      <c r="M100" s="129" t="s">
        <v>123</v>
      </c>
      <c r="N100" s="129" t="s">
        <v>123</v>
      </c>
    </row>
    <row r="101" spans="1:14" s="21" customFormat="1" hidden="1">
      <c r="A101" s="129" t="s">
        <v>136</v>
      </c>
      <c r="B101" s="129" t="s">
        <v>29</v>
      </c>
      <c r="C101" s="129" t="s">
        <v>394</v>
      </c>
      <c r="D101" s="129"/>
      <c r="E101" s="157">
        <v>5242880</v>
      </c>
      <c r="F101" s="129" t="s">
        <v>383</v>
      </c>
      <c r="G101" s="157">
        <v>10</v>
      </c>
      <c r="H101" s="129" t="s">
        <v>38</v>
      </c>
      <c r="I101" s="129" t="s">
        <v>39</v>
      </c>
      <c r="J101" s="129" t="s">
        <v>40</v>
      </c>
      <c r="K101" s="129" t="s">
        <v>95</v>
      </c>
      <c r="L101" s="129"/>
      <c r="M101" s="129" t="s">
        <v>123</v>
      </c>
      <c r="N101" s="129" t="s">
        <v>123</v>
      </c>
    </row>
    <row r="102" spans="1:14" s="21" customFormat="1" hidden="1">
      <c r="A102" s="129" t="s">
        <v>136</v>
      </c>
      <c r="B102" s="129" t="s">
        <v>29</v>
      </c>
      <c r="C102" s="129" t="s">
        <v>395</v>
      </c>
      <c r="D102" s="129"/>
      <c r="E102" s="157">
        <v>10485760</v>
      </c>
      <c r="F102" s="129" t="s">
        <v>383</v>
      </c>
      <c r="G102" s="157">
        <v>6</v>
      </c>
      <c r="H102" s="129" t="s">
        <v>38</v>
      </c>
      <c r="I102" s="129" t="s">
        <v>39</v>
      </c>
      <c r="J102" s="129" t="s">
        <v>40</v>
      </c>
      <c r="K102" s="129" t="s">
        <v>95</v>
      </c>
      <c r="L102" s="129"/>
      <c r="M102" s="129" t="s">
        <v>123</v>
      </c>
      <c r="N102" s="129" t="s">
        <v>123</v>
      </c>
    </row>
    <row r="103" spans="1:14" s="21" customFormat="1" hidden="1">
      <c r="A103" s="129" t="s">
        <v>136</v>
      </c>
      <c r="B103" s="129" t="s">
        <v>29</v>
      </c>
      <c r="C103" s="129" t="s">
        <v>396</v>
      </c>
      <c r="D103" s="129"/>
      <c r="E103" s="157">
        <v>10485760</v>
      </c>
      <c r="F103" s="129" t="s">
        <v>383</v>
      </c>
      <c r="G103" s="157">
        <v>13</v>
      </c>
      <c r="H103" s="129" t="s">
        <v>38</v>
      </c>
      <c r="I103" s="129" t="s">
        <v>39</v>
      </c>
      <c r="J103" s="129" t="s">
        <v>40</v>
      </c>
      <c r="K103" s="129" t="s">
        <v>95</v>
      </c>
      <c r="L103" s="129"/>
      <c r="M103" s="129" t="s">
        <v>123</v>
      </c>
      <c r="N103" s="129" t="s">
        <v>123</v>
      </c>
    </row>
    <row r="104" spans="1:14" s="21" customFormat="1" hidden="1">
      <c r="A104" s="129" t="s">
        <v>136</v>
      </c>
      <c r="B104" s="129" t="s">
        <v>29</v>
      </c>
      <c r="C104" s="129" t="s">
        <v>397</v>
      </c>
      <c r="D104" s="129"/>
      <c r="E104" s="157">
        <v>15728640</v>
      </c>
      <c r="F104" s="129" t="s">
        <v>383</v>
      </c>
      <c r="G104" s="157">
        <v>15</v>
      </c>
      <c r="H104" s="129" t="s">
        <v>38</v>
      </c>
      <c r="I104" s="129" t="s">
        <v>39</v>
      </c>
      <c r="J104" s="129" t="s">
        <v>40</v>
      </c>
      <c r="K104" s="129" t="s">
        <v>95</v>
      </c>
      <c r="L104" s="129"/>
      <c r="M104" s="129" t="s">
        <v>123</v>
      </c>
      <c r="N104" s="129" t="s">
        <v>123</v>
      </c>
    </row>
    <row r="105" spans="1:14" s="21" customFormat="1" hidden="1">
      <c r="A105" s="129" t="s">
        <v>136</v>
      </c>
      <c r="B105" s="129" t="s">
        <v>29</v>
      </c>
      <c r="C105" s="129" t="s">
        <v>398</v>
      </c>
      <c r="D105" s="129"/>
      <c r="E105" s="157">
        <v>3145728</v>
      </c>
      <c r="F105" s="129" t="s">
        <v>383</v>
      </c>
      <c r="G105" s="157">
        <v>5</v>
      </c>
      <c r="H105" s="129" t="s">
        <v>38</v>
      </c>
      <c r="I105" s="129" t="s">
        <v>39</v>
      </c>
      <c r="J105" s="129" t="s">
        <v>40</v>
      </c>
      <c r="K105" s="129" t="s">
        <v>95</v>
      </c>
      <c r="L105" s="129"/>
      <c r="M105" s="129" t="s">
        <v>123</v>
      </c>
      <c r="N105" s="129" t="s">
        <v>123</v>
      </c>
    </row>
    <row r="106" spans="1:14" s="21" customFormat="1" hidden="1">
      <c r="A106" s="129" t="s">
        <v>136</v>
      </c>
      <c r="B106" s="129" t="s">
        <v>29</v>
      </c>
      <c r="C106" s="129" t="s">
        <v>399</v>
      </c>
      <c r="D106" s="129"/>
      <c r="E106" s="157">
        <v>16742400</v>
      </c>
      <c r="F106" s="129" t="s">
        <v>383</v>
      </c>
      <c r="G106" s="157">
        <v>1</v>
      </c>
      <c r="H106" s="129" t="s">
        <v>38</v>
      </c>
      <c r="I106" s="129" t="s">
        <v>39</v>
      </c>
      <c r="J106" s="129" t="s">
        <v>40</v>
      </c>
      <c r="K106" s="129" t="s">
        <v>95</v>
      </c>
      <c r="L106" s="129"/>
      <c r="M106" s="129" t="s">
        <v>123</v>
      </c>
      <c r="N106" s="129" t="s">
        <v>123</v>
      </c>
    </row>
    <row r="107" spans="1:14" s="21" customFormat="1" hidden="1">
      <c r="A107" s="129" t="s">
        <v>136</v>
      </c>
      <c r="B107" s="129" t="s">
        <v>29</v>
      </c>
      <c r="C107" s="129" t="s">
        <v>400</v>
      </c>
      <c r="D107" s="129"/>
      <c r="E107" s="157">
        <v>1048576</v>
      </c>
      <c r="F107" s="129" t="s">
        <v>383</v>
      </c>
      <c r="G107" s="157">
        <v>8</v>
      </c>
      <c r="H107" s="129" t="s">
        <v>38</v>
      </c>
      <c r="I107" s="129" t="s">
        <v>39</v>
      </c>
      <c r="J107" s="129" t="s">
        <v>40</v>
      </c>
      <c r="K107" s="129" t="s">
        <v>95</v>
      </c>
      <c r="L107" s="129"/>
      <c r="M107" s="129" t="s">
        <v>123</v>
      </c>
      <c r="N107" s="129" t="s">
        <v>123</v>
      </c>
    </row>
    <row r="108" spans="1:14" s="21" customFormat="1" hidden="1">
      <c r="A108" s="129" t="s">
        <v>136</v>
      </c>
      <c r="B108" s="129" t="s">
        <v>29</v>
      </c>
      <c r="C108" s="129" t="s">
        <v>389</v>
      </c>
      <c r="D108" s="129"/>
      <c r="E108" s="157">
        <v>15728640</v>
      </c>
      <c r="F108" s="129" t="s">
        <v>383</v>
      </c>
      <c r="G108" s="157">
        <v>4</v>
      </c>
      <c r="H108" s="129" t="s">
        <v>38</v>
      </c>
      <c r="I108" s="129" t="s">
        <v>39</v>
      </c>
      <c r="J108" s="129" t="s">
        <v>40</v>
      </c>
      <c r="K108" s="129" t="s">
        <v>95</v>
      </c>
      <c r="L108" s="129"/>
      <c r="M108" s="129" t="s">
        <v>123</v>
      </c>
      <c r="N108" s="129" t="s">
        <v>123</v>
      </c>
    </row>
    <row r="109" spans="1:14" s="21" customFormat="1" hidden="1">
      <c r="A109" s="129" t="s">
        <v>136</v>
      </c>
      <c r="B109" s="129" t="s">
        <v>29</v>
      </c>
      <c r="C109" s="129" t="s">
        <v>401</v>
      </c>
      <c r="D109" s="129"/>
      <c r="E109" s="157">
        <v>15728640</v>
      </c>
      <c r="F109" s="129" t="s">
        <v>383</v>
      </c>
      <c r="G109" s="157">
        <v>0</v>
      </c>
      <c r="H109" s="129" t="s">
        <v>38</v>
      </c>
      <c r="I109" s="129" t="s">
        <v>39</v>
      </c>
      <c r="J109" s="129" t="s">
        <v>40</v>
      </c>
      <c r="K109" s="129" t="s">
        <v>95</v>
      </c>
      <c r="L109" s="129"/>
      <c r="M109" s="129" t="s">
        <v>123</v>
      </c>
      <c r="N109" s="129" t="s">
        <v>123</v>
      </c>
    </row>
    <row r="110" spans="1:14" s="21" customFormat="1">
      <c r="A110" s="129" t="s">
        <v>136</v>
      </c>
      <c r="B110" s="129" t="s">
        <v>29</v>
      </c>
      <c r="C110" s="129" t="s">
        <v>384</v>
      </c>
      <c r="D110" s="129" t="s">
        <v>385</v>
      </c>
      <c r="E110" s="157">
        <v>409600</v>
      </c>
      <c r="F110" s="129" t="s">
        <v>383</v>
      </c>
      <c r="G110" s="157">
        <v>1</v>
      </c>
      <c r="H110" s="129" t="s">
        <v>38</v>
      </c>
      <c r="I110" s="129" t="s">
        <v>39</v>
      </c>
      <c r="J110" s="129" t="s">
        <v>40</v>
      </c>
      <c r="K110" s="129" t="s">
        <v>95</v>
      </c>
      <c r="L110" s="129"/>
      <c r="M110" s="129" t="s">
        <v>123</v>
      </c>
      <c r="N110" s="129" t="s">
        <v>123</v>
      </c>
    </row>
    <row r="111" spans="1:14" s="21" customFormat="1" hidden="1">
      <c r="A111" s="129" t="s">
        <v>136</v>
      </c>
      <c r="B111" s="129" t="s">
        <v>29</v>
      </c>
      <c r="C111" s="129" t="s">
        <v>402</v>
      </c>
      <c r="D111" s="129"/>
      <c r="E111" s="157">
        <v>10485760</v>
      </c>
      <c r="F111" s="129" t="s">
        <v>383</v>
      </c>
      <c r="G111" s="157">
        <v>14</v>
      </c>
      <c r="H111" s="129" t="s">
        <v>38</v>
      </c>
      <c r="I111" s="129" t="s">
        <v>39</v>
      </c>
      <c r="J111" s="129" t="s">
        <v>40</v>
      </c>
      <c r="K111" s="129" t="s">
        <v>95</v>
      </c>
      <c r="L111" s="129"/>
      <c r="M111" s="129" t="s">
        <v>123</v>
      </c>
      <c r="N111" s="129" t="s">
        <v>123</v>
      </c>
    </row>
    <row r="112" spans="1:14" s="21" customFormat="1" hidden="1">
      <c r="A112" s="129" t="s">
        <v>136</v>
      </c>
      <c r="B112" s="129" t="s">
        <v>29</v>
      </c>
      <c r="C112" s="129" t="s">
        <v>382</v>
      </c>
      <c r="D112" s="129"/>
      <c r="E112" s="157">
        <v>5242880</v>
      </c>
      <c r="F112" s="129" t="s">
        <v>393</v>
      </c>
      <c r="G112" s="157">
        <v>11</v>
      </c>
      <c r="H112" s="129" t="s">
        <v>38</v>
      </c>
      <c r="I112" s="129" t="s">
        <v>39</v>
      </c>
      <c r="J112" s="129" t="s">
        <v>40</v>
      </c>
      <c r="K112" s="129" t="s">
        <v>95</v>
      </c>
      <c r="L112" s="129"/>
      <c r="M112" s="129" t="s">
        <v>123</v>
      </c>
      <c r="N112" s="129" t="s">
        <v>123</v>
      </c>
    </row>
    <row r="113" spans="1:14" s="21" customFormat="1">
      <c r="A113" s="129" t="s">
        <v>139</v>
      </c>
      <c r="B113" s="129" t="s">
        <v>29</v>
      </c>
      <c r="C113" s="129" t="s">
        <v>384</v>
      </c>
      <c r="D113" s="129" t="s">
        <v>385</v>
      </c>
      <c r="E113" s="157">
        <v>102400</v>
      </c>
      <c r="F113" s="129" t="s">
        <v>383</v>
      </c>
      <c r="G113" s="157">
        <v>1</v>
      </c>
      <c r="H113" s="129" t="s">
        <v>38</v>
      </c>
      <c r="I113" s="129" t="s">
        <v>39</v>
      </c>
      <c r="J113" s="129" t="s">
        <v>40</v>
      </c>
      <c r="K113" s="129" t="s">
        <v>113</v>
      </c>
      <c r="L113" s="129"/>
      <c r="M113" s="129" t="s">
        <v>142</v>
      </c>
      <c r="N113" s="129" t="s">
        <v>142</v>
      </c>
    </row>
    <row r="114" spans="1:14" s="21" customFormat="1">
      <c r="A114" s="129" t="s">
        <v>139</v>
      </c>
      <c r="B114" s="129" t="s">
        <v>29</v>
      </c>
      <c r="C114" s="129" t="s">
        <v>386</v>
      </c>
      <c r="D114" s="129" t="s">
        <v>385</v>
      </c>
      <c r="E114" s="157">
        <v>153600</v>
      </c>
      <c r="F114" s="129" t="s">
        <v>383</v>
      </c>
      <c r="G114" s="157">
        <v>0</v>
      </c>
      <c r="H114" s="129" t="s">
        <v>38</v>
      </c>
      <c r="I114" s="129" t="s">
        <v>39</v>
      </c>
      <c r="J114" s="129" t="s">
        <v>40</v>
      </c>
      <c r="K114" s="129" t="s">
        <v>113</v>
      </c>
      <c r="L114" s="129"/>
      <c r="M114" s="129" t="s">
        <v>142</v>
      </c>
      <c r="N114" s="129" t="s">
        <v>142</v>
      </c>
    </row>
    <row r="115" spans="1:14" s="21" customFormat="1" hidden="1">
      <c r="A115" s="129" t="s">
        <v>143</v>
      </c>
      <c r="B115" s="129" t="s">
        <v>29</v>
      </c>
      <c r="C115" s="129" t="s">
        <v>387</v>
      </c>
      <c r="D115" s="129"/>
      <c r="E115" s="157">
        <v>16384</v>
      </c>
      <c r="F115" s="129" t="s">
        <v>383</v>
      </c>
      <c r="G115" s="157">
        <v>3</v>
      </c>
      <c r="H115" s="129" t="s">
        <v>38</v>
      </c>
      <c r="I115" s="129" t="s">
        <v>39</v>
      </c>
      <c r="J115" s="129" t="s">
        <v>40</v>
      </c>
      <c r="K115" s="129" t="s">
        <v>99</v>
      </c>
      <c r="L115" s="129"/>
      <c r="M115" s="129" t="s">
        <v>42</v>
      </c>
      <c r="N115" s="129" t="s">
        <v>42</v>
      </c>
    </row>
    <row r="116" spans="1:14" s="21" customFormat="1" hidden="1">
      <c r="A116" s="129" t="s">
        <v>143</v>
      </c>
      <c r="B116" s="129" t="s">
        <v>29</v>
      </c>
      <c r="C116" s="129" t="s">
        <v>382</v>
      </c>
      <c r="D116" s="129"/>
      <c r="E116" s="157">
        <v>102400</v>
      </c>
      <c r="F116" s="129" t="s">
        <v>383</v>
      </c>
      <c r="G116" s="157">
        <v>2</v>
      </c>
      <c r="H116" s="129" t="s">
        <v>38</v>
      </c>
      <c r="I116" s="129" t="s">
        <v>39</v>
      </c>
      <c r="J116" s="129" t="s">
        <v>40</v>
      </c>
      <c r="K116" s="129" t="s">
        <v>99</v>
      </c>
      <c r="L116" s="129"/>
      <c r="M116" s="129" t="s">
        <v>42</v>
      </c>
      <c r="N116" s="129" t="s">
        <v>42</v>
      </c>
    </row>
    <row r="117" spans="1:14" s="21" customFormat="1">
      <c r="A117" s="129" t="s">
        <v>143</v>
      </c>
      <c r="B117" s="129" t="s">
        <v>29</v>
      </c>
      <c r="C117" s="129" t="s">
        <v>384</v>
      </c>
      <c r="D117" s="129" t="s">
        <v>385</v>
      </c>
      <c r="E117" s="157">
        <v>20480</v>
      </c>
      <c r="F117" s="129" t="s">
        <v>383</v>
      </c>
      <c r="G117" s="157">
        <v>1</v>
      </c>
      <c r="H117" s="129" t="s">
        <v>38</v>
      </c>
      <c r="I117" s="129" t="s">
        <v>39</v>
      </c>
      <c r="J117" s="129" t="s">
        <v>40</v>
      </c>
      <c r="K117" s="129" t="s">
        <v>99</v>
      </c>
      <c r="L117" s="129"/>
      <c r="M117" s="129" t="s">
        <v>42</v>
      </c>
      <c r="N117" s="129" t="s">
        <v>42</v>
      </c>
    </row>
    <row r="118" spans="1:14" s="21" customFormat="1">
      <c r="A118" s="129" t="s">
        <v>143</v>
      </c>
      <c r="B118" s="129" t="s">
        <v>29</v>
      </c>
      <c r="C118" s="129" t="s">
        <v>386</v>
      </c>
      <c r="D118" s="129" t="s">
        <v>385</v>
      </c>
      <c r="E118" s="157">
        <v>102400</v>
      </c>
      <c r="F118" s="129" t="s">
        <v>383</v>
      </c>
      <c r="G118" s="157">
        <v>0</v>
      </c>
      <c r="H118" s="129" t="s">
        <v>38</v>
      </c>
      <c r="I118" s="129" t="s">
        <v>39</v>
      </c>
      <c r="J118" s="129" t="s">
        <v>40</v>
      </c>
      <c r="K118" s="129" t="s">
        <v>99</v>
      </c>
      <c r="L118" s="129"/>
      <c r="M118" s="129" t="s">
        <v>42</v>
      </c>
      <c r="N118" s="129" t="s">
        <v>42</v>
      </c>
    </row>
    <row r="119" spans="1:14" s="21" customFormat="1" hidden="1">
      <c r="A119" s="129" t="s">
        <v>145</v>
      </c>
      <c r="B119" s="129" t="s">
        <v>29</v>
      </c>
      <c r="C119" s="129" t="s">
        <v>382</v>
      </c>
      <c r="D119" s="129"/>
      <c r="E119" s="157">
        <v>1048576</v>
      </c>
      <c r="F119" s="129" t="s">
        <v>383</v>
      </c>
      <c r="G119" s="157">
        <v>2</v>
      </c>
      <c r="H119" s="129" t="s">
        <v>38</v>
      </c>
      <c r="I119" s="129" t="s">
        <v>39</v>
      </c>
      <c r="J119" s="129" t="s">
        <v>40</v>
      </c>
      <c r="K119" s="129" t="s">
        <v>99</v>
      </c>
      <c r="L119" s="129"/>
      <c r="M119" s="129" t="s">
        <v>42</v>
      </c>
      <c r="N119" s="129" t="s">
        <v>42</v>
      </c>
    </row>
    <row r="120" spans="1:14" s="21" customFormat="1">
      <c r="A120" s="129" t="s">
        <v>145</v>
      </c>
      <c r="B120" s="129" t="s">
        <v>29</v>
      </c>
      <c r="C120" s="129" t="s">
        <v>384</v>
      </c>
      <c r="D120" s="129" t="s">
        <v>385</v>
      </c>
      <c r="E120" s="157">
        <v>20480</v>
      </c>
      <c r="F120" s="129" t="s">
        <v>383</v>
      </c>
      <c r="G120" s="157">
        <v>0</v>
      </c>
      <c r="H120" s="129" t="s">
        <v>38</v>
      </c>
      <c r="I120" s="129" t="s">
        <v>39</v>
      </c>
      <c r="J120" s="129" t="s">
        <v>40</v>
      </c>
      <c r="K120" s="129" t="s">
        <v>99</v>
      </c>
      <c r="L120" s="129"/>
      <c r="M120" s="129" t="s">
        <v>42</v>
      </c>
      <c r="N120" s="129" t="s">
        <v>42</v>
      </c>
    </row>
    <row r="121" spans="1:14" s="21" customFormat="1">
      <c r="A121" s="129" t="s">
        <v>145</v>
      </c>
      <c r="B121" s="129" t="s">
        <v>29</v>
      </c>
      <c r="C121" s="129" t="s">
        <v>386</v>
      </c>
      <c r="D121" s="129" t="s">
        <v>385</v>
      </c>
      <c r="E121" s="157">
        <v>102400</v>
      </c>
      <c r="F121" s="129" t="s">
        <v>383</v>
      </c>
      <c r="G121" s="157">
        <v>1</v>
      </c>
      <c r="H121" s="129" t="s">
        <v>38</v>
      </c>
      <c r="I121" s="129" t="s">
        <v>39</v>
      </c>
      <c r="J121" s="129" t="s">
        <v>40</v>
      </c>
      <c r="K121" s="129" t="s">
        <v>99</v>
      </c>
      <c r="L121" s="129"/>
      <c r="M121" s="129" t="s">
        <v>42</v>
      </c>
      <c r="N121" s="129" t="s">
        <v>42</v>
      </c>
    </row>
    <row r="122" spans="1:14" s="21" customFormat="1">
      <c r="A122" s="129" t="s">
        <v>147</v>
      </c>
      <c r="B122" s="129" t="s">
        <v>29</v>
      </c>
      <c r="C122" s="129" t="s">
        <v>386</v>
      </c>
      <c r="D122" s="129" t="s">
        <v>385</v>
      </c>
      <c r="E122" s="157">
        <v>61440</v>
      </c>
      <c r="F122" s="129" t="s">
        <v>383</v>
      </c>
      <c r="G122" s="157">
        <v>0</v>
      </c>
      <c r="H122" s="129" t="s">
        <v>149</v>
      </c>
      <c r="I122" s="129" t="s">
        <v>39</v>
      </c>
      <c r="J122" s="129" t="s">
        <v>40</v>
      </c>
      <c r="K122" s="129" t="s">
        <v>50</v>
      </c>
      <c r="L122" s="129"/>
      <c r="M122" s="129" t="s">
        <v>42</v>
      </c>
      <c r="N122" s="129" t="s">
        <v>42</v>
      </c>
    </row>
    <row r="123" spans="1:14" s="21" customFormat="1" hidden="1">
      <c r="A123" s="129" t="s">
        <v>147</v>
      </c>
      <c r="B123" s="129" t="s">
        <v>29</v>
      </c>
      <c r="C123" s="129" t="s">
        <v>382</v>
      </c>
      <c r="D123" s="129"/>
      <c r="E123" s="157">
        <v>102400</v>
      </c>
      <c r="F123" s="129" t="s">
        <v>383</v>
      </c>
      <c r="G123" s="157">
        <v>2</v>
      </c>
      <c r="H123" s="129" t="s">
        <v>149</v>
      </c>
      <c r="I123" s="129" t="s">
        <v>39</v>
      </c>
      <c r="J123" s="129" t="s">
        <v>40</v>
      </c>
      <c r="K123" s="129" t="s">
        <v>50</v>
      </c>
      <c r="L123" s="129"/>
      <c r="M123" s="129" t="s">
        <v>42</v>
      </c>
      <c r="N123" s="129" t="s">
        <v>42</v>
      </c>
    </row>
    <row r="124" spans="1:14" s="21" customFormat="1" hidden="1">
      <c r="A124" s="129" t="s">
        <v>147</v>
      </c>
      <c r="B124" s="129" t="s">
        <v>29</v>
      </c>
      <c r="C124" s="129" t="s">
        <v>387</v>
      </c>
      <c r="D124" s="129"/>
      <c r="E124" s="157">
        <v>256000</v>
      </c>
      <c r="F124" s="129" t="s">
        <v>383</v>
      </c>
      <c r="G124" s="157">
        <v>3</v>
      </c>
      <c r="H124" s="129" t="s">
        <v>149</v>
      </c>
      <c r="I124" s="129" t="s">
        <v>39</v>
      </c>
      <c r="J124" s="129" t="s">
        <v>40</v>
      </c>
      <c r="K124" s="129" t="s">
        <v>50</v>
      </c>
      <c r="L124" s="129"/>
      <c r="M124" s="129" t="s">
        <v>42</v>
      </c>
      <c r="N124" s="129" t="s">
        <v>42</v>
      </c>
    </row>
    <row r="125" spans="1:14" s="21" customFormat="1">
      <c r="A125" s="129" t="s">
        <v>147</v>
      </c>
      <c r="B125" s="129" t="s">
        <v>29</v>
      </c>
      <c r="C125" s="129" t="s">
        <v>384</v>
      </c>
      <c r="D125" s="129" t="s">
        <v>385</v>
      </c>
      <c r="E125" s="157">
        <v>256000</v>
      </c>
      <c r="F125" s="129" t="s">
        <v>383</v>
      </c>
      <c r="G125" s="157">
        <v>1</v>
      </c>
      <c r="H125" s="129" t="s">
        <v>149</v>
      </c>
      <c r="I125" s="129" t="s">
        <v>39</v>
      </c>
      <c r="J125" s="129" t="s">
        <v>40</v>
      </c>
      <c r="K125" s="129" t="s">
        <v>50</v>
      </c>
      <c r="L125" s="129"/>
      <c r="M125" s="129" t="s">
        <v>42</v>
      </c>
      <c r="N125" s="129" t="s">
        <v>42</v>
      </c>
    </row>
    <row r="126" spans="1:14" s="21" customFormat="1">
      <c r="A126" s="129" t="s">
        <v>150</v>
      </c>
      <c r="B126" s="129" t="s">
        <v>29</v>
      </c>
      <c r="C126" s="129" t="s">
        <v>386</v>
      </c>
      <c r="D126" s="129" t="s">
        <v>385</v>
      </c>
      <c r="E126" s="157">
        <v>20480</v>
      </c>
      <c r="F126" s="129" t="s">
        <v>383</v>
      </c>
      <c r="G126" s="157">
        <v>1</v>
      </c>
      <c r="H126" s="129" t="s">
        <v>38</v>
      </c>
      <c r="I126" s="129" t="s">
        <v>39</v>
      </c>
      <c r="J126" s="129" t="s">
        <v>40</v>
      </c>
      <c r="K126" s="129" t="s">
        <v>46</v>
      </c>
      <c r="L126" s="129"/>
      <c r="M126" s="129" t="s">
        <v>42</v>
      </c>
      <c r="N126" s="129" t="s">
        <v>42</v>
      </c>
    </row>
    <row r="127" spans="1:14" s="21" customFormat="1" hidden="1">
      <c r="A127" s="129" t="s">
        <v>150</v>
      </c>
      <c r="B127" s="129" t="s">
        <v>29</v>
      </c>
      <c r="C127" s="129" t="s">
        <v>382</v>
      </c>
      <c r="D127" s="129"/>
      <c r="E127" s="157">
        <v>512000</v>
      </c>
      <c r="F127" s="129" t="s">
        <v>383</v>
      </c>
      <c r="G127" s="157">
        <v>2</v>
      </c>
      <c r="H127" s="129" t="s">
        <v>38</v>
      </c>
      <c r="I127" s="129" t="s">
        <v>39</v>
      </c>
      <c r="J127" s="129" t="s">
        <v>40</v>
      </c>
      <c r="K127" s="129" t="s">
        <v>46</v>
      </c>
      <c r="L127" s="129"/>
      <c r="M127" s="129" t="s">
        <v>42</v>
      </c>
      <c r="N127" s="129" t="s">
        <v>42</v>
      </c>
    </row>
    <row r="128" spans="1:14" s="21" customFormat="1">
      <c r="A128" s="129" t="s">
        <v>150</v>
      </c>
      <c r="B128" s="129" t="s">
        <v>29</v>
      </c>
      <c r="C128" s="129" t="s">
        <v>384</v>
      </c>
      <c r="D128" s="129" t="s">
        <v>385</v>
      </c>
      <c r="E128" s="157">
        <v>102400</v>
      </c>
      <c r="F128" s="129" t="s">
        <v>383</v>
      </c>
      <c r="G128" s="157">
        <v>0</v>
      </c>
      <c r="H128" s="129" t="s">
        <v>38</v>
      </c>
      <c r="I128" s="129" t="s">
        <v>39</v>
      </c>
      <c r="J128" s="129" t="s">
        <v>40</v>
      </c>
      <c r="K128" s="129" t="s">
        <v>46</v>
      </c>
      <c r="L128" s="129"/>
      <c r="M128" s="129" t="s">
        <v>42</v>
      </c>
      <c r="N128" s="129" t="s">
        <v>42</v>
      </c>
    </row>
    <row r="129" spans="1:14" s="21" customFormat="1" hidden="1">
      <c r="A129" s="129" t="s">
        <v>153</v>
      </c>
      <c r="B129" s="129" t="s">
        <v>29</v>
      </c>
      <c r="C129" s="129" t="s">
        <v>382</v>
      </c>
      <c r="D129" s="129"/>
      <c r="E129" s="157">
        <v>614400</v>
      </c>
      <c r="F129" s="129" t="s">
        <v>383</v>
      </c>
      <c r="G129" s="157">
        <v>2</v>
      </c>
      <c r="H129" s="129" t="s">
        <v>38</v>
      </c>
      <c r="I129" s="129" t="s">
        <v>39</v>
      </c>
      <c r="J129" s="129" t="s">
        <v>40</v>
      </c>
      <c r="K129" s="129" t="s">
        <v>46</v>
      </c>
      <c r="L129" s="129"/>
      <c r="M129" s="129" t="s">
        <v>42</v>
      </c>
      <c r="N129" s="129" t="s">
        <v>42</v>
      </c>
    </row>
    <row r="130" spans="1:14" s="21" customFormat="1">
      <c r="A130" s="129" t="s">
        <v>153</v>
      </c>
      <c r="B130" s="129" t="s">
        <v>29</v>
      </c>
      <c r="C130" s="129" t="s">
        <v>384</v>
      </c>
      <c r="D130" s="129" t="s">
        <v>385</v>
      </c>
      <c r="E130" s="157">
        <v>51200</v>
      </c>
      <c r="F130" s="129" t="s">
        <v>383</v>
      </c>
      <c r="G130" s="157">
        <v>1</v>
      </c>
      <c r="H130" s="129" t="s">
        <v>38</v>
      </c>
      <c r="I130" s="129" t="s">
        <v>39</v>
      </c>
      <c r="J130" s="129" t="s">
        <v>40</v>
      </c>
      <c r="K130" s="129" t="s">
        <v>46</v>
      </c>
      <c r="L130" s="129"/>
      <c r="M130" s="129" t="s">
        <v>42</v>
      </c>
      <c r="N130" s="129" t="s">
        <v>42</v>
      </c>
    </row>
    <row r="131" spans="1:14" s="21" customFormat="1">
      <c r="A131" s="129" t="s">
        <v>153</v>
      </c>
      <c r="B131" s="129" t="s">
        <v>29</v>
      </c>
      <c r="C131" s="129" t="s">
        <v>386</v>
      </c>
      <c r="D131" s="129" t="s">
        <v>385</v>
      </c>
      <c r="E131" s="157">
        <v>61440</v>
      </c>
      <c r="F131" s="129" t="s">
        <v>383</v>
      </c>
      <c r="G131" s="157">
        <v>0</v>
      </c>
      <c r="H131" s="129" t="s">
        <v>38</v>
      </c>
      <c r="I131" s="129" t="s">
        <v>39</v>
      </c>
      <c r="J131" s="129" t="s">
        <v>40</v>
      </c>
      <c r="K131" s="129" t="s">
        <v>46</v>
      </c>
      <c r="L131" s="129"/>
      <c r="M131" s="129" t="s">
        <v>42</v>
      </c>
      <c r="N131" s="129" t="s">
        <v>42</v>
      </c>
    </row>
    <row r="132" spans="1:14" s="21" customFormat="1" hidden="1">
      <c r="A132" s="129" t="s">
        <v>155</v>
      </c>
      <c r="B132" s="129" t="s">
        <v>29</v>
      </c>
      <c r="C132" s="129" t="s">
        <v>382</v>
      </c>
      <c r="D132" s="129"/>
      <c r="E132" s="157">
        <v>614400</v>
      </c>
      <c r="F132" s="129" t="s">
        <v>383</v>
      </c>
      <c r="G132" s="157">
        <v>2</v>
      </c>
      <c r="H132" s="129"/>
      <c r="I132" s="129" t="s">
        <v>39</v>
      </c>
      <c r="J132" s="129" t="s">
        <v>40</v>
      </c>
      <c r="K132" s="129" t="s">
        <v>158</v>
      </c>
      <c r="L132" s="129"/>
      <c r="M132" s="129" t="s">
        <v>42</v>
      </c>
      <c r="N132" s="129" t="s">
        <v>42</v>
      </c>
    </row>
    <row r="133" spans="1:14" s="21" customFormat="1">
      <c r="A133" s="129" t="s">
        <v>155</v>
      </c>
      <c r="B133" s="129" t="s">
        <v>29</v>
      </c>
      <c r="C133" s="129" t="s">
        <v>386</v>
      </c>
      <c r="D133" s="129" t="s">
        <v>385</v>
      </c>
      <c r="E133" s="157">
        <v>61440</v>
      </c>
      <c r="F133" s="129" t="s">
        <v>383</v>
      </c>
      <c r="G133" s="157">
        <v>0</v>
      </c>
      <c r="H133" s="129"/>
      <c r="I133" s="129" t="s">
        <v>39</v>
      </c>
      <c r="J133" s="129" t="s">
        <v>40</v>
      </c>
      <c r="K133" s="129" t="s">
        <v>158</v>
      </c>
      <c r="L133" s="129"/>
      <c r="M133" s="129" t="s">
        <v>42</v>
      </c>
      <c r="N133" s="129" t="s">
        <v>42</v>
      </c>
    </row>
    <row r="134" spans="1:14" s="21" customFormat="1">
      <c r="A134" s="129" t="s">
        <v>155</v>
      </c>
      <c r="B134" s="129" t="s">
        <v>29</v>
      </c>
      <c r="C134" s="129" t="s">
        <v>384</v>
      </c>
      <c r="D134" s="129" t="s">
        <v>385</v>
      </c>
      <c r="E134" s="157">
        <v>51200</v>
      </c>
      <c r="F134" s="129" t="s">
        <v>383</v>
      </c>
      <c r="G134" s="157">
        <v>1</v>
      </c>
      <c r="H134" s="129"/>
      <c r="I134" s="129" t="s">
        <v>39</v>
      </c>
      <c r="J134" s="129" t="s">
        <v>40</v>
      </c>
      <c r="K134" s="129" t="s">
        <v>158</v>
      </c>
      <c r="L134" s="129"/>
      <c r="M134" s="129" t="s">
        <v>42</v>
      </c>
      <c r="N134" s="129" t="s">
        <v>42</v>
      </c>
    </row>
    <row r="135" spans="1:14" s="21" customFormat="1" hidden="1">
      <c r="A135" s="129" t="s">
        <v>159</v>
      </c>
      <c r="B135" s="129" t="s">
        <v>29</v>
      </c>
      <c r="C135" s="129" t="s">
        <v>395</v>
      </c>
      <c r="D135" s="129"/>
      <c r="E135" s="157">
        <v>1048576</v>
      </c>
      <c r="F135" s="129" t="s">
        <v>383</v>
      </c>
      <c r="G135" s="157">
        <v>6</v>
      </c>
      <c r="H135" s="129"/>
      <c r="I135" s="129" t="s">
        <v>39</v>
      </c>
      <c r="J135" s="129" t="s">
        <v>40</v>
      </c>
      <c r="K135" s="129" t="s">
        <v>73</v>
      </c>
      <c r="L135" s="129"/>
      <c r="M135" s="129" t="s">
        <v>42</v>
      </c>
      <c r="N135" s="129" t="s">
        <v>42</v>
      </c>
    </row>
    <row r="136" spans="1:14" s="21" customFormat="1">
      <c r="A136" s="129" t="s">
        <v>159</v>
      </c>
      <c r="B136" s="129" t="s">
        <v>29</v>
      </c>
      <c r="C136" s="129" t="s">
        <v>386</v>
      </c>
      <c r="D136" s="129" t="s">
        <v>385</v>
      </c>
      <c r="E136" s="157">
        <v>102400</v>
      </c>
      <c r="F136" s="129" t="s">
        <v>383</v>
      </c>
      <c r="G136" s="157">
        <v>0</v>
      </c>
      <c r="H136" s="129"/>
      <c r="I136" s="129" t="s">
        <v>39</v>
      </c>
      <c r="J136" s="129" t="s">
        <v>40</v>
      </c>
      <c r="K136" s="129" t="s">
        <v>73</v>
      </c>
      <c r="L136" s="129"/>
      <c r="M136" s="129" t="s">
        <v>42</v>
      </c>
      <c r="N136" s="129" t="s">
        <v>42</v>
      </c>
    </row>
    <row r="137" spans="1:14" s="21" customFormat="1" hidden="1">
      <c r="A137" s="129" t="s">
        <v>159</v>
      </c>
      <c r="B137" s="129" t="s">
        <v>29</v>
      </c>
      <c r="C137" s="129" t="s">
        <v>398</v>
      </c>
      <c r="D137" s="129"/>
      <c r="E137" s="157">
        <v>3145728</v>
      </c>
      <c r="F137" s="129" t="s">
        <v>383</v>
      </c>
      <c r="G137" s="157">
        <v>5</v>
      </c>
      <c r="H137" s="129"/>
      <c r="I137" s="129" t="s">
        <v>39</v>
      </c>
      <c r="J137" s="129" t="s">
        <v>40</v>
      </c>
      <c r="K137" s="129" t="s">
        <v>73</v>
      </c>
      <c r="L137" s="129"/>
      <c r="M137" s="129" t="s">
        <v>42</v>
      </c>
      <c r="N137" s="129" t="s">
        <v>42</v>
      </c>
    </row>
    <row r="138" spans="1:14" s="21" customFormat="1">
      <c r="A138" s="129" t="s">
        <v>159</v>
      </c>
      <c r="B138" s="129" t="s">
        <v>29</v>
      </c>
      <c r="C138" s="129" t="s">
        <v>384</v>
      </c>
      <c r="D138" s="129" t="s">
        <v>385</v>
      </c>
      <c r="E138" s="157">
        <v>20480</v>
      </c>
      <c r="F138" s="129" t="s">
        <v>383</v>
      </c>
      <c r="G138" s="157">
        <v>1</v>
      </c>
      <c r="H138" s="129"/>
      <c r="I138" s="129" t="s">
        <v>39</v>
      </c>
      <c r="J138" s="129" t="s">
        <v>40</v>
      </c>
      <c r="K138" s="129" t="s">
        <v>73</v>
      </c>
      <c r="L138" s="129"/>
      <c r="M138" s="129" t="s">
        <v>42</v>
      </c>
      <c r="N138" s="129" t="s">
        <v>42</v>
      </c>
    </row>
    <row r="139" spans="1:14" s="21" customFormat="1" hidden="1">
      <c r="A139" s="129" t="s">
        <v>159</v>
      </c>
      <c r="B139" s="129" t="s">
        <v>29</v>
      </c>
      <c r="C139" s="129" t="s">
        <v>382</v>
      </c>
      <c r="D139" s="129"/>
      <c r="E139" s="157">
        <v>6291456</v>
      </c>
      <c r="F139" s="129" t="s">
        <v>383</v>
      </c>
      <c r="G139" s="157">
        <v>2</v>
      </c>
      <c r="H139" s="129"/>
      <c r="I139" s="129" t="s">
        <v>39</v>
      </c>
      <c r="J139" s="129" t="s">
        <v>40</v>
      </c>
      <c r="K139" s="129" t="s">
        <v>73</v>
      </c>
      <c r="L139" s="129"/>
      <c r="M139" s="129" t="s">
        <v>42</v>
      </c>
      <c r="N139" s="129" t="s">
        <v>42</v>
      </c>
    </row>
    <row r="140" spans="1:14" s="21" customFormat="1" hidden="1">
      <c r="A140" s="129" t="s">
        <v>159</v>
      </c>
      <c r="B140" s="129" t="s">
        <v>29</v>
      </c>
      <c r="C140" s="129" t="s">
        <v>387</v>
      </c>
      <c r="D140" s="129"/>
      <c r="E140" s="157">
        <v>2097152</v>
      </c>
      <c r="F140" s="129" t="s">
        <v>383</v>
      </c>
      <c r="G140" s="157">
        <v>3</v>
      </c>
      <c r="H140" s="129"/>
      <c r="I140" s="129" t="s">
        <v>39</v>
      </c>
      <c r="J140" s="129" t="s">
        <v>40</v>
      </c>
      <c r="K140" s="129" t="s">
        <v>73</v>
      </c>
      <c r="L140" s="129"/>
      <c r="M140" s="129" t="s">
        <v>42</v>
      </c>
      <c r="N140" s="129" t="s">
        <v>42</v>
      </c>
    </row>
    <row r="141" spans="1:14" s="21" customFormat="1" hidden="1">
      <c r="A141" s="129" t="s">
        <v>159</v>
      </c>
      <c r="B141" s="129" t="s">
        <v>29</v>
      </c>
      <c r="C141" s="129" t="s">
        <v>389</v>
      </c>
      <c r="D141" s="129"/>
      <c r="E141" s="157">
        <v>3145728</v>
      </c>
      <c r="F141" s="129" t="s">
        <v>383</v>
      </c>
      <c r="G141" s="157">
        <v>4</v>
      </c>
      <c r="H141" s="129"/>
      <c r="I141" s="129" t="s">
        <v>39</v>
      </c>
      <c r="J141" s="129" t="s">
        <v>40</v>
      </c>
      <c r="K141" s="129" t="s">
        <v>73</v>
      </c>
      <c r="L141" s="129"/>
      <c r="M141" s="129" t="s">
        <v>42</v>
      </c>
      <c r="N141" s="129" t="s">
        <v>42</v>
      </c>
    </row>
    <row r="142" spans="1:14" s="21" customFormat="1">
      <c r="A142" s="129" t="s">
        <v>162</v>
      </c>
      <c r="B142" s="129" t="s">
        <v>29</v>
      </c>
      <c r="C142" s="129" t="s">
        <v>386</v>
      </c>
      <c r="D142" s="129" t="s">
        <v>385</v>
      </c>
      <c r="E142" s="157">
        <v>327680</v>
      </c>
      <c r="F142" s="129" t="s">
        <v>383</v>
      </c>
      <c r="G142" s="157">
        <v>0</v>
      </c>
      <c r="H142" s="129" t="s">
        <v>165</v>
      </c>
      <c r="I142" s="129" t="s">
        <v>39</v>
      </c>
      <c r="J142" s="129" t="s">
        <v>40</v>
      </c>
      <c r="K142" s="129" t="s">
        <v>73</v>
      </c>
      <c r="L142" s="129"/>
      <c r="M142" s="129" t="s">
        <v>166</v>
      </c>
      <c r="N142" s="129" t="s">
        <v>166</v>
      </c>
    </row>
    <row r="143" spans="1:14" s="21" customFormat="1" hidden="1">
      <c r="A143" s="129" t="s">
        <v>162</v>
      </c>
      <c r="B143" s="129" t="s">
        <v>29</v>
      </c>
      <c r="C143" s="129" t="s">
        <v>382</v>
      </c>
      <c r="D143" s="129"/>
      <c r="E143" s="157">
        <v>2097152</v>
      </c>
      <c r="F143" s="129" t="s">
        <v>383</v>
      </c>
      <c r="G143" s="157">
        <v>2</v>
      </c>
      <c r="H143" s="129" t="s">
        <v>165</v>
      </c>
      <c r="I143" s="129" t="s">
        <v>39</v>
      </c>
      <c r="J143" s="129" t="s">
        <v>40</v>
      </c>
      <c r="K143" s="129" t="s">
        <v>73</v>
      </c>
      <c r="L143" s="129"/>
      <c r="M143" s="129" t="s">
        <v>166</v>
      </c>
      <c r="N143" s="129" t="s">
        <v>166</v>
      </c>
    </row>
    <row r="144" spans="1:14" s="21" customFormat="1">
      <c r="A144" s="129" t="s">
        <v>162</v>
      </c>
      <c r="B144" s="129" t="s">
        <v>29</v>
      </c>
      <c r="C144" s="129" t="s">
        <v>384</v>
      </c>
      <c r="D144" s="129" t="s">
        <v>385</v>
      </c>
      <c r="E144" s="157">
        <v>30720</v>
      </c>
      <c r="F144" s="129" t="s">
        <v>383</v>
      </c>
      <c r="G144" s="157">
        <v>1</v>
      </c>
      <c r="H144" s="129" t="s">
        <v>165</v>
      </c>
      <c r="I144" s="129" t="s">
        <v>39</v>
      </c>
      <c r="J144" s="129" t="s">
        <v>40</v>
      </c>
      <c r="K144" s="129" t="s">
        <v>73</v>
      </c>
      <c r="L144" s="129"/>
      <c r="M144" s="129" t="s">
        <v>166</v>
      </c>
      <c r="N144" s="129" t="s">
        <v>166</v>
      </c>
    </row>
    <row r="145" spans="1:14" s="21" customFormat="1">
      <c r="A145" s="129" t="s">
        <v>167</v>
      </c>
      <c r="B145" s="129" t="s">
        <v>29</v>
      </c>
      <c r="C145" s="129" t="s">
        <v>386</v>
      </c>
      <c r="D145" s="129" t="s">
        <v>385</v>
      </c>
      <c r="E145" s="157">
        <v>102400</v>
      </c>
      <c r="F145" s="129" t="s">
        <v>383</v>
      </c>
      <c r="G145" s="157">
        <v>0</v>
      </c>
      <c r="H145" s="129"/>
      <c r="I145" s="129" t="s">
        <v>39</v>
      </c>
      <c r="J145" s="129" t="s">
        <v>40</v>
      </c>
      <c r="K145" s="129" t="s">
        <v>168</v>
      </c>
      <c r="L145" s="129"/>
      <c r="M145" s="129" t="s">
        <v>166</v>
      </c>
      <c r="N145" s="129" t="s">
        <v>166</v>
      </c>
    </row>
    <row r="146" spans="1:14" s="21" customFormat="1">
      <c r="A146" s="129" t="s">
        <v>169</v>
      </c>
      <c r="B146" s="129" t="s">
        <v>29</v>
      </c>
      <c r="C146" s="129" t="s">
        <v>386</v>
      </c>
      <c r="D146" s="129" t="s">
        <v>385</v>
      </c>
      <c r="E146" s="157">
        <v>61440</v>
      </c>
      <c r="F146" s="129" t="s">
        <v>383</v>
      </c>
      <c r="G146" s="157">
        <v>0</v>
      </c>
      <c r="H146" s="129"/>
      <c r="I146" s="129" t="s">
        <v>39</v>
      </c>
      <c r="J146" s="129" t="s">
        <v>40</v>
      </c>
      <c r="K146" s="129" t="s">
        <v>168</v>
      </c>
      <c r="L146" s="129"/>
      <c r="M146" s="129" t="s">
        <v>171</v>
      </c>
      <c r="N146" s="129" t="s">
        <v>171</v>
      </c>
    </row>
    <row r="147" spans="1:14" s="21" customFormat="1">
      <c r="A147" s="129" t="s">
        <v>172</v>
      </c>
      <c r="B147" s="129" t="s">
        <v>173</v>
      </c>
      <c r="C147" s="129" t="s">
        <v>384</v>
      </c>
      <c r="D147" s="129" t="s">
        <v>385</v>
      </c>
      <c r="E147" s="157">
        <v>5120</v>
      </c>
      <c r="F147" s="129" t="s">
        <v>383</v>
      </c>
      <c r="G147" s="157">
        <v>2</v>
      </c>
      <c r="H147" s="129"/>
      <c r="I147" s="129" t="s">
        <v>39</v>
      </c>
      <c r="J147" s="129" t="s">
        <v>40</v>
      </c>
      <c r="K147" s="129" t="s">
        <v>62</v>
      </c>
      <c r="L147" s="129"/>
      <c r="M147" s="129" t="s">
        <v>42</v>
      </c>
      <c r="N147" s="129" t="s">
        <v>42</v>
      </c>
    </row>
    <row r="148" spans="1:14" s="21" customFormat="1">
      <c r="A148" s="129" t="s">
        <v>172</v>
      </c>
      <c r="B148" s="129" t="s">
        <v>173</v>
      </c>
      <c r="C148" s="129" t="s">
        <v>386</v>
      </c>
      <c r="D148" s="129" t="s">
        <v>385</v>
      </c>
      <c r="E148" s="157">
        <v>61440</v>
      </c>
      <c r="F148" s="129" t="s">
        <v>383</v>
      </c>
      <c r="G148" s="157">
        <v>0</v>
      </c>
      <c r="H148" s="129"/>
      <c r="I148" s="129" t="s">
        <v>39</v>
      </c>
      <c r="J148" s="129" t="s">
        <v>40</v>
      </c>
      <c r="K148" s="129" t="s">
        <v>62</v>
      </c>
      <c r="L148" s="129"/>
      <c r="M148" s="129" t="s">
        <v>42</v>
      </c>
      <c r="N148" s="129" t="s">
        <v>42</v>
      </c>
    </row>
    <row r="149" spans="1:14" s="21" customFormat="1" hidden="1">
      <c r="A149" s="129" t="s">
        <v>172</v>
      </c>
      <c r="B149" s="129" t="s">
        <v>173</v>
      </c>
      <c r="C149" s="129" t="s">
        <v>382</v>
      </c>
      <c r="D149" s="129"/>
      <c r="E149" s="157">
        <v>409600</v>
      </c>
      <c r="F149" s="129" t="s">
        <v>383</v>
      </c>
      <c r="G149" s="157">
        <v>1</v>
      </c>
      <c r="H149" s="129"/>
      <c r="I149" s="129" t="s">
        <v>39</v>
      </c>
      <c r="J149" s="129" t="s">
        <v>40</v>
      </c>
      <c r="K149" s="129" t="s">
        <v>62</v>
      </c>
      <c r="L149" s="129"/>
      <c r="M149" s="129" t="s">
        <v>42</v>
      </c>
      <c r="N149" s="129" t="s">
        <v>42</v>
      </c>
    </row>
    <row r="150" spans="1:14" s="21" customFormat="1">
      <c r="A150" s="129" t="s">
        <v>175</v>
      </c>
      <c r="B150" s="129" t="s">
        <v>29</v>
      </c>
      <c r="C150" s="129" t="s">
        <v>386</v>
      </c>
      <c r="D150" s="129" t="s">
        <v>385</v>
      </c>
      <c r="E150" s="157">
        <v>20480</v>
      </c>
      <c r="F150" s="129" t="s">
        <v>383</v>
      </c>
      <c r="G150" s="157">
        <v>1</v>
      </c>
      <c r="H150" s="129"/>
      <c r="I150" s="129" t="s">
        <v>39</v>
      </c>
      <c r="J150" s="129" t="s">
        <v>40</v>
      </c>
      <c r="K150" s="129" t="s">
        <v>62</v>
      </c>
      <c r="L150" s="129"/>
      <c r="M150" s="129" t="s">
        <v>42</v>
      </c>
      <c r="N150" s="129" t="s">
        <v>42</v>
      </c>
    </row>
    <row r="151" spans="1:14" s="21" customFormat="1">
      <c r="A151" s="129" t="s">
        <v>175</v>
      </c>
      <c r="B151" s="129" t="s">
        <v>29</v>
      </c>
      <c r="C151" s="129" t="s">
        <v>384</v>
      </c>
      <c r="D151" s="129" t="s">
        <v>385</v>
      </c>
      <c r="E151" s="157">
        <v>102400</v>
      </c>
      <c r="F151" s="129" t="s">
        <v>383</v>
      </c>
      <c r="G151" s="157">
        <v>0</v>
      </c>
      <c r="H151" s="129"/>
      <c r="I151" s="129" t="s">
        <v>39</v>
      </c>
      <c r="J151" s="129" t="s">
        <v>40</v>
      </c>
      <c r="K151" s="129" t="s">
        <v>62</v>
      </c>
      <c r="L151" s="129"/>
      <c r="M151" s="129" t="s">
        <v>42</v>
      </c>
      <c r="N151" s="129" t="s">
        <v>42</v>
      </c>
    </row>
    <row r="152" spans="1:14" s="21" customFormat="1" hidden="1">
      <c r="A152" s="129" t="s">
        <v>178</v>
      </c>
      <c r="B152" s="129" t="s">
        <v>29</v>
      </c>
      <c r="C152" s="129" t="s">
        <v>382</v>
      </c>
      <c r="D152" s="129"/>
      <c r="E152" s="157">
        <v>102400</v>
      </c>
      <c r="F152" s="129" t="s">
        <v>383</v>
      </c>
      <c r="G152" s="157">
        <v>2</v>
      </c>
      <c r="H152" s="129"/>
      <c r="I152" s="129" t="s">
        <v>39</v>
      </c>
      <c r="J152" s="129" t="s">
        <v>40</v>
      </c>
      <c r="K152" s="129" t="s">
        <v>62</v>
      </c>
      <c r="L152" s="129"/>
      <c r="M152" s="129" t="s">
        <v>42</v>
      </c>
      <c r="N152" s="129" t="s">
        <v>42</v>
      </c>
    </row>
    <row r="153" spans="1:14" s="21" customFormat="1" hidden="1">
      <c r="A153" s="129" t="s">
        <v>178</v>
      </c>
      <c r="B153" s="129" t="s">
        <v>29</v>
      </c>
      <c r="C153" s="129" t="s">
        <v>387</v>
      </c>
      <c r="D153" s="129"/>
      <c r="E153" s="157">
        <v>16384</v>
      </c>
      <c r="F153" s="129" t="s">
        <v>383</v>
      </c>
      <c r="G153" s="157">
        <v>3</v>
      </c>
      <c r="H153" s="129"/>
      <c r="I153" s="129" t="s">
        <v>39</v>
      </c>
      <c r="J153" s="129" t="s">
        <v>40</v>
      </c>
      <c r="K153" s="129" t="s">
        <v>62</v>
      </c>
      <c r="L153" s="129"/>
      <c r="M153" s="129" t="s">
        <v>42</v>
      </c>
      <c r="N153" s="129" t="s">
        <v>42</v>
      </c>
    </row>
    <row r="154" spans="1:14" s="21" customFormat="1">
      <c r="A154" s="129" t="s">
        <v>178</v>
      </c>
      <c r="B154" s="129" t="s">
        <v>29</v>
      </c>
      <c r="C154" s="129" t="s">
        <v>384</v>
      </c>
      <c r="D154" s="129" t="s">
        <v>385</v>
      </c>
      <c r="E154" s="157">
        <v>102400</v>
      </c>
      <c r="F154" s="129" t="s">
        <v>383</v>
      </c>
      <c r="G154" s="157">
        <v>0</v>
      </c>
      <c r="H154" s="129"/>
      <c r="I154" s="129" t="s">
        <v>39</v>
      </c>
      <c r="J154" s="129" t="s">
        <v>40</v>
      </c>
      <c r="K154" s="129" t="s">
        <v>62</v>
      </c>
      <c r="L154" s="129"/>
      <c r="M154" s="129" t="s">
        <v>42</v>
      </c>
      <c r="N154" s="129" t="s">
        <v>42</v>
      </c>
    </row>
    <row r="155" spans="1:14" s="21" customFormat="1">
      <c r="A155" s="129" t="s">
        <v>178</v>
      </c>
      <c r="B155" s="129" t="s">
        <v>29</v>
      </c>
      <c r="C155" s="129" t="s">
        <v>386</v>
      </c>
      <c r="D155" s="129" t="s">
        <v>385</v>
      </c>
      <c r="E155" s="157">
        <v>20480</v>
      </c>
      <c r="F155" s="129" t="s">
        <v>383</v>
      </c>
      <c r="G155" s="157">
        <v>1</v>
      </c>
      <c r="H155" s="129"/>
      <c r="I155" s="129" t="s">
        <v>39</v>
      </c>
      <c r="J155" s="129" t="s">
        <v>40</v>
      </c>
      <c r="K155" s="129" t="s">
        <v>62</v>
      </c>
      <c r="L155" s="129"/>
      <c r="M155" s="129" t="s">
        <v>42</v>
      </c>
      <c r="N155" s="129" t="s">
        <v>42</v>
      </c>
    </row>
    <row r="156" spans="1:14" s="21" customFormat="1">
      <c r="A156" s="129" t="s">
        <v>180</v>
      </c>
      <c r="B156" s="129" t="s">
        <v>29</v>
      </c>
      <c r="C156" s="129" t="s">
        <v>386</v>
      </c>
      <c r="D156" s="129" t="s">
        <v>385</v>
      </c>
      <c r="E156" s="157">
        <v>20480</v>
      </c>
      <c r="F156" s="129" t="s">
        <v>383</v>
      </c>
      <c r="G156" s="157">
        <v>1</v>
      </c>
      <c r="H156" s="129"/>
      <c r="I156" s="129" t="s">
        <v>39</v>
      </c>
      <c r="J156" s="129" t="s">
        <v>40</v>
      </c>
      <c r="K156" s="129" t="s">
        <v>62</v>
      </c>
      <c r="L156" s="129"/>
      <c r="M156" s="129" t="s">
        <v>42</v>
      </c>
      <c r="N156" s="129" t="s">
        <v>42</v>
      </c>
    </row>
    <row r="157" spans="1:14" s="21" customFormat="1" hidden="1">
      <c r="A157" s="129" t="s">
        <v>180</v>
      </c>
      <c r="B157" s="129" t="s">
        <v>29</v>
      </c>
      <c r="C157" s="129" t="s">
        <v>387</v>
      </c>
      <c r="D157" s="129"/>
      <c r="E157" s="157">
        <v>16384</v>
      </c>
      <c r="F157" s="129" t="s">
        <v>383</v>
      </c>
      <c r="G157" s="157">
        <v>3</v>
      </c>
      <c r="H157" s="129"/>
      <c r="I157" s="129" t="s">
        <v>39</v>
      </c>
      <c r="J157" s="129" t="s">
        <v>40</v>
      </c>
      <c r="K157" s="129" t="s">
        <v>62</v>
      </c>
      <c r="L157" s="129"/>
      <c r="M157" s="129" t="s">
        <v>42</v>
      </c>
      <c r="N157" s="129" t="s">
        <v>42</v>
      </c>
    </row>
    <row r="158" spans="1:14" s="21" customFormat="1" hidden="1">
      <c r="A158" s="129" t="s">
        <v>180</v>
      </c>
      <c r="B158" s="129" t="s">
        <v>29</v>
      </c>
      <c r="C158" s="129" t="s">
        <v>382</v>
      </c>
      <c r="D158" s="129"/>
      <c r="E158" s="157">
        <v>102400</v>
      </c>
      <c r="F158" s="129" t="s">
        <v>383</v>
      </c>
      <c r="G158" s="157">
        <v>2</v>
      </c>
      <c r="H158" s="129"/>
      <c r="I158" s="129" t="s">
        <v>39</v>
      </c>
      <c r="J158" s="129" t="s">
        <v>40</v>
      </c>
      <c r="K158" s="129" t="s">
        <v>62</v>
      </c>
      <c r="L158" s="129"/>
      <c r="M158" s="129" t="s">
        <v>42</v>
      </c>
      <c r="N158" s="129" t="s">
        <v>42</v>
      </c>
    </row>
    <row r="159" spans="1:14" s="21" customFormat="1">
      <c r="A159" s="129" t="s">
        <v>180</v>
      </c>
      <c r="B159" s="129" t="s">
        <v>29</v>
      </c>
      <c r="C159" s="129" t="s">
        <v>384</v>
      </c>
      <c r="D159" s="129" t="s">
        <v>385</v>
      </c>
      <c r="E159" s="157">
        <v>102400</v>
      </c>
      <c r="F159" s="129" t="s">
        <v>383</v>
      </c>
      <c r="G159" s="157">
        <v>0</v>
      </c>
      <c r="H159" s="129"/>
      <c r="I159" s="129" t="s">
        <v>39</v>
      </c>
      <c r="J159" s="129" t="s">
        <v>40</v>
      </c>
      <c r="K159" s="129" t="s">
        <v>62</v>
      </c>
      <c r="L159" s="129"/>
      <c r="M159" s="129" t="s">
        <v>42</v>
      </c>
      <c r="N159" s="129" t="s">
        <v>42</v>
      </c>
    </row>
    <row r="160" spans="1:14" s="21" customFormat="1">
      <c r="A160" s="129" t="s">
        <v>182</v>
      </c>
      <c r="B160" s="129" t="s">
        <v>29</v>
      </c>
      <c r="C160" s="129" t="s">
        <v>384</v>
      </c>
      <c r="D160" s="129" t="s">
        <v>385</v>
      </c>
      <c r="E160" s="157">
        <v>512000</v>
      </c>
      <c r="F160" s="129" t="s">
        <v>383</v>
      </c>
      <c r="G160" s="157">
        <v>1</v>
      </c>
      <c r="H160" s="129" t="s">
        <v>183</v>
      </c>
      <c r="I160" s="129" t="s">
        <v>39</v>
      </c>
      <c r="J160" s="129" t="s">
        <v>40</v>
      </c>
      <c r="K160" s="129" t="s">
        <v>41</v>
      </c>
      <c r="L160" s="129"/>
      <c r="M160" s="129" t="s">
        <v>171</v>
      </c>
      <c r="N160" s="129" t="s">
        <v>171</v>
      </c>
    </row>
    <row r="161" spans="1:14" s="21" customFormat="1">
      <c r="A161" s="129" t="s">
        <v>182</v>
      </c>
      <c r="B161" s="129" t="s">
        <v>29</v>
      </c>
      <c r="C161" s="129" t="s">
        <v>386</v>
      </c>
      <c r="D161" s="129" t="s">
        <v>385</v>
      </c>
      <c r="E161" s="157">
        <v>61440</v>
      </c>
      <c r="F161" s="129" t="s">
        <v>383</v>
      </c>
      <c r="G161" s="157">
        <v>0</v>
      </c>
      <c r="H161" s="129" t="s">
        <v>183</v>
      </c>
      <c r="I161" s="129" t="s">
        <v>39</v>
      </c>
      <c r="J161" s="129" t="s">
        <v>40</v>
      </c>
      <c r="K161" s="129" t="s">
        <v>41</v>
      </c>
      <c r="L161" s="129"/>
      <c r="M161" s="129" t="s">
        <v>171</v>
      </c>
      <c r="N161" s="129" t="s">
        <v>171</v>
      </c>
    </row>
    <row r="162" spans="1:14" s="21" customFormat="1">
      <c r="A162" s="129" t="s">
        <v>184</v>
      </c>
      <c r="B162" s="129" t="s">
        <v>173</v>
      </c>
      <c r="C162" s="129" t="s">
        <v>386</v>
      </c>
      <c r="D162" s="129" t="s">
        <v>385</v>
      </c>
      <c r="E162" s="157">
        <v>20480</v>
      </c>
      <c r="F162" s="129" t="s">
        <v>383</v>
      </c>
      <c r="G162" s="157">
        <v>1</v>
      </c>
      <c r="H162" s="129"/>
      <c r="I162" s="129" t="s">
        <v>39</v>
      </c>
      <c r="J162" s="129" t="s">
        <v>40</v>
      </c>
      <c r="K162" s="129" t="s">
        <v>46</v>
      </c>
      <c r="L162" s="129"/>
      <c r="M162" s="129" t="s">
        <v>42</v>
      </c>
      <c r="N162" s="129" t="s">
        <v>42</v>
      </c>
    </row>
    <row r="163" spans="1:14" s="21" customFormat="1">
      <c r="A163" s="129" t="s">
        <v>184</v>
      </c>
      <c r="B163" s="129" t="s">
        <v>173</v>
      </c>
      <c r="C163" s="129" t="s">
        <v>384</v>
      </c>
      <c r="D163" s="129" t="s">
        <v>385</v>
      </c>
      <c r="E163" s="157">
        <v>102400</v>
      </c>
      <c r="F163" s="129" t="s">
        <v>383</v>
      </c>
      <c r="G163" s="157">
        <v>0</v>
      </c>
      <c r="H163" s="129"/>
      <c r="I163" s="129" t="s">
        <v>39</v>
      </c>
      <c r="J163" s="129" t="s">
        <v>40</v>
      </c>
      <c r="K163" s="129" t="s">
        <v>46</v>
      </c>
      <c r="L163" s="129"/>
      <c r="M163" s="129" t="s">
        <v>42</v>
      </c>
      <c r="N163" s="129" t="s">
        <v>42</v>
      </c>
    </row>
    <row r="164" spans="1:14" s="21" customFormat="1" hidden="1">
      <c r="A164" s="129" t="s">
        <v>184</v>
      </c>
      <c r="B164" s="129" t="s">
        <v>173</v>
      </c>
      <c r="C164" s="129" t="s">
        <v>382</v>
      </c>
      <c r="D164" s="129"/>
      <c r="E164" s="157">
        <v>102400</v>
      </c>
      <c r="F164" s="129" t="s">
        <v>383</v>
      </c>
      <c r="G164" s="157">
        <v>2</v>
      </c>
      <c r="H164" s="129"/>
      <c r="I164" s="129" t="s">
        <v>39</v>
      </c>
      <c r="J164" s="129" t="s">
        <v>40</v>
      </c>
      <c r="K164" s="129" t="s">
        <v>46</v>
      </c>
      <c r="L164" s="129"/>
      <c r="M164" s="129" t="s">
        <v>42</v>
      </c>
      <c r="N164" s="129" t="s">
        <v>42</v>
      </c>
    </row>
    <row r="165" spans="1:14" s="21" customFormat="1">
      <c r="A165" s="129" t="s">
        <v>185</v>
      </c>
      <c r="B165" s="129" t="s">
        <v>173</v>
      </c>
      <c r="C165" s="129" t="s">
        <v>386</v>
      </c>
      <c r="D165" s="129" t="s">
        <v>385</v>
      </c>
      <c r="E165" s="157">
        <v>20480</v>
      </c>
      <c r="F165" s="129" t="s">
        <v>383</v>
      </c>
      <c r="G165" s="157">
        <v>1</v>
      </c>
      <c r="H165" s="129"/>
      <c r="I165" s="129" t="s">
        <v>39</v>
      </c>
      <c r="J165" s="129" t="s">
        <v>40</v>
      </c>
      <c r="K165" s="129" t="s">
        <v>46</v>
      </c>
      <c r="L165" s="129"/>
      <c r="M165" s="129" t="s">
        <v>42</v>
      </c>
      <c r="N165" s="129" t="s">
        <v>42</v>
      </c>
    </row>
    <row r="166" spans="1:14" s="21" customFormat="1" hidden="1">
      <c r="A166" s="129" t="s">
        <v>185</v>
      </c>
      <c r="B166" s="129" t="s">
        <v>173</v>
      </c>
      <c r="C166" s="129" t="s">
        <v>382</v>
      </c>
      <c r="D166" s="129"/>
      <c r="E166" s="157">
        <v>102400</v>
      </c>
      <c r="F166" s="129" t="s">
        <v>383</v>
      </c>
      <c r="G166" s="157">
        <v>2</v>
      </c>
      <c r="H166" s="129"/>
      <c r="I166" s="129" t="s">
        <v>39</v>
      </c>
      <c r="J166" s="129" t="s">
        <v>40</v>
      </c>
      <c r="K166" s="129" t="s">
        <v>46</v>
      </c>
      <c r="L166" s="129"/>
      <c r="M166" s="129" t="s">
        <v>42</v>
      </c>
      <c r="N166" s="129" t="s">
        <v>42</v>
      </c>
    </row>
    <row r="167" spans="1:14" s="21" customFormat="1">
      <c r="A167" s="129" t="s">
        <v>185</v>
      </c>
      <c r="B167" s="129" t="s">
        <v>173</v>
      </c>
      <c r="C167" s="129" t="s">
        <v>384</v>
      </c>
      <c r="D167" s="129" t="s">
        <v>385</v>
      </c>
      <c r="E167" s="157">
        <v>102400</v>
      </c>
      <c r="F167" s="129" t="s">
        <v>383</v>
      </c>
      <c r="G167" s="157">
        <v>0</v>
      </c>
      <c r="H167" s="129"/>
      <c r="I167" s="129" t="s">
        <v>39</v>
      </c>
      <c r="J167" s="129" t="s">
        <v>40</v>
      </c>
      <c r="K167" s="129" t="s">
        <v>46</v>
      </c>
      <c r="L167" s="129"/>
      <c r="M167" s="129" t="s">
        <v>42</v>
      </c>
      <c r="N167" s="129" t="s">
        <v>42</v>
      </c>
    </row>
    <row r="168" spans="1:14" s="21" customFormat="1">
      <c r="A168" s="129" t="s">
        <v>186</v>
      </c>
      <c r="B168" s="129" t="s">
        <v>29</v>
      </c>
      <c r="C168" s="129" t="s">
        <v>384</v>
      </c>
      <c r="D168" s="129" t="s">
        <v>385</v>
      </c>
      <c r="E168" s="157">
        <v>102400</v>
      </c>
      <c r="F168" s="129" t="s">
        <v>383</v>
      </c>
      <c r="G168" s="157">
        <v>0</v>
      </c>
      <c r="H168" s="129"/>
      <c r="I168" s="129" t="s">
        <v>39</v>
      </c>
      <c r="J168" s="129" t="s">
        <v>40</v>
      </c>
      <c r="K168" s="129" t="s">
        <v>62</v>
      </c>
      <c r="L168" s="129"/>
      <c r="M168" s="129" t="s">
        <v>42</v>
      </c>
      <c r="N168" s="129" t="s">
        <v>42</v>
      </c>
    </row>
    <row r="169" spans="1:14" s="21" customFormat="1" hidden="1">
      <c r="A169" s="129" t="s">
        <v>186</v>
      </c>
      <c r="B169" s="129" t="s">
        <v>29</v>
      </c>
      <c r="C169" s="129" t="s">
        <v>387</v>
      </c>
      <c r="D169" s="129"/>
      <c r="E169" s="157">
        <v>16384</v>
      </c>
      <c r="F169" s="129" t="s">
        <v>383</v>
      </c>
      <c r="G169" s="157">
        <v>3</v>
      </c>
      <c r="H169" s="129"/>
      <c r="I169" s="129" t="s">
        <v>39</v>
      </c>
      <c r="J169" s="129" t="s">
        <v>40</v>
      </c>
      <c r="K169" s="129" t="s">
        <v>62</v>
      </c>
      <c r="L169" s="129"/>
      <c r="M169" s="129" t="s">
        <v>42</v>
      </c>
      <c r="N169" s="129" t="s">
        <v>42</v>
      </c>
    </row>
    <row r="170" spans="1:14" s="21" customFormat="1" hidden="1">
      <c r="A170" s="129" t="s">
        <v>186</v>
      </c>
      <c r="B170" s="129" t="s">
        <v>29</v>
      </c>
      <c r="C170" s="129" t="s">
        <v>382</v>
      </c>
      <c r="D170" s="129"/>
      <c r="E170" s="157">
        <v>102400</v>
      </c>
      <c r="F170" s="129" t="s">
        <v>383</v>
      </c>
      <c r="G170" s="157">
        <v>2</v>
      </c>
      <c r="H170" s="129"/>
      <c r="I170" s="129" t="s">
        <v>39</v>
      </c>
      <c r="J170" s="129" t="s">
        <v>40</v>
      </c>
      <c r="K170" s="129" t="s">
        <v>62</v>
      </c>
      <c r="L170" s="129"/>
      <c r="M170" s="129" t="s">
        <v>42</v>
      </c>
      <c r="N170" s="129" t="s">
        <v>42</v>
      </c>
    </row>
    <row r="171" spans="1:14" s="21" customFormat="1">
      <c r="A171" s="129" t="s">
        <v>186</v>
      </c>
      <c r="B171" s="129" t="s">
        <v>29</v>
      </c>
      <c r="C171" s="129" t="s">
        <v>386</v>
      </c>
      <c r="D171" s="129" t="s">
        <v>385</v>
      </c>
      <c r="E171" s="157">
        <v>20480</v>
      </c>
      <c r="F171" s="129" t="s">
        <v>383</v>
      </c>
      <c r="G171" s="157">
        <v>1</v>
      </c>
      <c r="H171" s="129"/>
      <c r="I171" s="129" t="s">
        <v>39</v>
      </c>
      <c r="J171" s="129" t="s">
        <v>40</v>
      </c>
      <c r="K171" s="129" t="s">
        <v>62</v>
      </c>
      <c r="L171" s="129"/>
      <c r="M171" s="129" t="s">
        <v>42</v>
      </c>
      <c r="N171" s="129" t="s">
        <v>42</v>
      </c>
    </row>
    <row r="172" spans="1:14" s="21" customFormat="1">
      <c r="A172" s="129" t="s">
        <v>188</v>
      </c>
      <c r="B172" s="129" t="s">
        <v>29</v>
      </c>
      <c r="C172" s="129" t="s">
        <v>384</v>
      </c>
      <c r="D172" s="129" t="s">
        <v>385</v>
      </c>
      <c r="E172" s="157">
        <v>102400</v>
      </c>
      <c r="F172" s="129" t="s">
        <v>383</v>
      </c>
      <c r="G172" s="157">
        <v>0</v>
      </c>
      <c r="H172" s="129"/>
      <c r="I172" s="129" t="s">
        <v>39</v>
      </c>
      <c r="J172" s="129" t="s">
        <v>40</v>
      </c>
      <c r="K172" s="129" t="s">
        <v>62</v>
      </c>
      <c r="L172" s="129"/>
      <c r="M172" s="129" t="s">
        <v>42</v>
      </c>
      <c r="N172" s="129" t="s">
        <v>42</v>
      </c>
    </row>
    <row r="173" spans="1:14" s="21" customFormat="1">
      <c r="A173" s="129" t="s">
        <v>188</v>
      </c>
      <c r="B173" s="129" t="s">
        <v>29</v>
      </c>
      <c r="C173" s="129" t="s">
        <v>386</v>
      </c>
      <c r="D173" s="129" t="s">
        <v>385</v>
      </c>
      <c r="E173" s="157">
        <v>20480</v>
      </c>
      <c r="F173" s="129" t="s">
        <v>383</v>
      </c>
      <c r="G173" s="157">
        <v>1</v>
      </c>
      <c r="H173" s="129"/>
      <c r="I173" s="129" t="s">
        <v>39</v>
      </c>
      <c r="J173" s="129" t="s">
        <v>40</v>
      </c>
      <c r="K173" s="129" t="s">
        <v>62</v>
      </c>
      <c r="L173" s="129"/>
      <c r="M173" s="129" t="s">
        <v>42</v>
      </c>
      <c r="N173" s="129" t="s">
        <v>42</v>
      </c>
    </row>
    <row r="174" spans="1:14" s="21" customFormat="1" hidden="1">
      <c r="A174" s="129" t="s">
        <v>188</v>
      </c>
      <c r="B174" s="129" t="s">
        <v>29</v>
      </c>
      <c r="C174" s="129" t="s">
        <v>382</v>
      </c>
      <c r="D174" s="129"/>
      <c r="E174" s="157">
        <v>512000</v>
      </c>
      <c r="F174" s="129" t="s">
        <v>383</v>
      </c>
      <c r="G174" s="157">
        <v>2</v>
      </c>
      <c r="H174" s="129"/>
      <c r="I174" s="129" t="s">
        <v>39</v>
      </c>
      <c r="J174" s="129" t="s">
        <v>40</v>
      </c>
      <c r="K174" s="129" t="s">
        <v>62</v>
      </c>
      <c r="L174" s="129"/>
      <c r="M174" s="129" t="s">
        <v>42</v>
      </c>
      <c r="N174" s="129" t="s">
        <v>42</v>
      </c>
    </row>
    <row r="175" spans="1:14" s="21" customFormat="1" hidden="1">
      <c r="A175" s="129" t="s">
        <v>188</v>
      </c>
      <c r="B175" s="129" t="s">
        <v>29</v>
      </c>
      <c r="C175" s="129" t="s">
        <v>387</v>
      </c>
      <c r="D175" s="129"/>
      <c r="E175" s="157">
        <v>16384</v>
      </c>
      <c r="F175" s="129" t="s">
        <v>383</v>
      </c>
      <c r="G175" s="157">
        <v>3</v>
      </c>
      <c r="H175" s="129"/>
      <c r="I175" s="129" t="s">
        <v>39</v>
      </c>
      <c r="J175" s="129" t="s">
        <v>40</v>
      </c>
      <c r="K175" s="129" t="s">
        <v>62</v>
      </c>
      <c r="L175" s="129"/>
      <c r="M175" s="129" t="s">
        <v>42</v>
      </c>
      <c r="N175" s="129" t="s">
        <v>42</v>
      </c>
    </row>
    <row r="176" spans="1:14" s="21" customFormat="1" hidden="1">
      <c r="A176" s="129" t="s">
        <v>190</v>
      </c>
      <c r="B176" s="129" t="s">
        <v>29</v>
      </c>
      <c r="C176" s="129" t="s">
        <v>387</v>
      </c>
      <c r="D176" s="129"/>
      <c r="E176" s="157">
        <v>16384</v>
      </c>
      <c r="F176" s="129" t="s">
        <v>383</v>
      </c>
      <c r="G176" s="157">
        <v>3</v>
      </c>
      <c r="H176" s="129"/>
      <c r="I176" s="129" t="s">
        <v>39</v>
      </c>
      <c r="J176" s="129" t="s">
        <v>40</v>
      </c>
      <c r="K176" s="129" t="s">
        <v>62</v>
      </c>
      <c r="L176" s="129"/>
      <c r="M176" s="129" t="s">
        <v>42</v>
      </c>
      <c r="N176" s="129" t="s">
        <v>42</v>
      </c>
    </row>
    <row r="177" spans="1:14" s="21" customFormat="1">
      <c r="A177" s="129" t="s">
        <v>190</v>
      </c>
      <c r="B177" s="129" t="s">
        <v>29</v>
      </c>
      <c r="C177" s="129" t="s">
        <v>384</v>
      </c>
      <c r="D177" s="129" t="s">
        <v>385</v>
      </c>
      <c r="E177" s="157">
        <v>102400</v>
      </c>
      <c r="F177" s="129" t="s">
        <v>383</v>
      </c>
      <c r="G177" s="157">
        <v>0</v>
      </c>
      <c r="H177" s="129"/>
      <c r="I177" s="129" t="s">
        <v>39</v>
      </c>
      <c r="J177" s="129" t="s">
        <v>40</v>
      </c>
      <c r="K177" s="129" t="s">
        <v>62</v>
      </c>
      <c r="L177" s="129"/>
      <c r="M177" s="129" t="s">
        <v>42</v>
      </c>
      <c r="N177" s="129" t="s">
        <v>42</v>
      </c>
    </row>
    <row r="178" spans="1:14" s="21" customFormat="1" hidden="1">
      <c r="A178" s="129" t="s">
        <v>190</v>
      </c>
      <c r="B178" s="129" t="s">
        <v>29</v>
      </c>
      <c r="C178" s="129" t="s">
        <v>382</v>
      </c>
      <c r="D178" s="129"/>
      <c r="E178" s="157">
        <v>102400</v>
      </c>
      <c r="F178" s="129" t="s">
        <v>383</v>
      </c>
      <c r="G178" s="157">
        <v>2</v>
      </c>
      <c r="H178" s="129"/>
      <c r="I178" s="129" t="s">
        <v>39</v>
      </c>
      <c r="J178" s="129" t="s">
        <v>40</v>
      </c>
      <c r="K178" s="129" t="s">
        <v>62</v>
      </c>
      <c r="L178" s="129"/>
      <c r="M178" s="129" t="s">
        <v>42</v>
      </c>
      <c r="N178" s="129" t="s">
        <v>42</v>
      </c>
    </row>
    <row r="179" spans="1:14" s="21" customFormat="1">
      <c r="A179" s="129" t="s">
        <v>190</v>
      </c>
      <c r="B179" s="129" t="s">
        <v>29</v>
      </c>
      <c r="C179" s="129" t="s">
        <v>386</v>
      </c>
      <c r="D179" s="129" t="s">
        <v>385</v>
      </c>
      <c r="E179" s="157">
        <v>20480</v>
      </c>
      <c r="F179" s="129" t="s">
        <v>383</v>
      </c>
      <c r="G179" s="157">
        <v>1</v>
      </c>
      <c r="H179" s="129"/>
      <c r="I179" s="129" t="s">
        <v>39</v>
      </c>
      <c r="J179" s="129" t="s">
        <v>40</v>
      </c>
      <c r="K179" s="129" t="s">
        <v>62</v>
      </c>
      <c r="L179" s="129"/>
      <c r="M179" s="129" t="s">
        <v>42</v>
      </c>
      <c r="N179" s="129" t="s">
        <v>42</v>
      </c>
    </row>
    <row r="180" spans="1:14" s="21" customFormat="1">
      <c r="A180" s="129" t="s">
        <v>192</v>
      </c>
      <c r="B180" s="129" t="s">
        <v>29</v>
      </c>
      <c r="C180" s="129" t="s">
        <v>386</v>
      </c>
      <c r="D180" s="129" t="s">
        <v>385</v>
      </c>
      <c r="E180" s="157">
        <v>40960</v>
      </c>
      <c r="F180" s="129" t="s">
        <v>383</v>
      </c>
      <c r="G180" s="157">
        <v>0</v>
      </c>
      <c r="H180" s="129"/>
      <c r="I180" s="129" t="s">
        <v>39</v>
      </c>
      <c r="J180" s="129" t="s">
        <v>40</v>
      </c>
      <c r="K180" s="129" t="s">
        <v>41</v>
      </c>
      <c r="L180" s="129"/>
      <c r="M180" s="129" t="s">
        <v>42</v>
      </c>
      <c r="N180" s="129" t="s">
        <v>42</v>
      </c>
    </row>
    <row r="181" spans="1:14" s="21" customFormat="1">
      <c r="A181" s="129" t="s">
        <v>192</v>
      </c>
      <c r="B181" s="129" t="s">
        <v>29</v>
      </c>
      <c r="C181" s="129" t="s">
        <v>384</v>
      </c>
      <c r="D181" s="129" t="s">
        <v>385</v>
      </c>
      <c r="E181" s="157">
        <v>819200</v>
      </c>
      <c r="F181" s="129" t="s">
        <v>383</v>
      </c>
      <c r="G181" s="157">
        <v>1</v>
      </c>
      <c r="H181" s="129"/>
      <c r="I181" s="129" t="s">
        <v>39</v>
      </c>
      <c r="J181" s="129" t="s">
        <v>40</v>
      </c>
      <c r="K181" s="129" t="s">
        <v>41</v>
      </c>
      <c r="L181" s="129"/>
      <c r="M181" s="129" t="s">
        <v>42</v>
      </c>
      <c r="N181" s="129" t="s">
        <v>42</v>
      </c>
    </row>
    <row r="182" spans="1:14" s="21" customFormat="1">
      <c r="A182" s="129" t="s">
        <v>194</v>
      </c>
      <c r="B182" s="129" t="s">
        <v>29</v>
      </c>
      <c r="C182" s="129" t="s">
        <v>386</v>
      </c>
      <c r="D182" s="129" t="s">
        <v>385</v>
      </c>
      <c r="E182" s="157">
        <v>40960</v>
      </c>
      <c r="F182" s="129" t="s">
        <v>383</v>
      </c>
      <c r="G182" s="157">
        <v>0</v>
      </c>
      <c r="H182" s="129" t="s">
        <v>72</v>
      </c>
      <c r="I182" s="129" t="s">
        <v>39</v>
      </c>
      <c r="J182" s="129" t="s">
        <v>40</v>
      </c>
      <c r="K182" s="129" t="s">
        <v>195</v>
      </c>
      <c r="L182" s="129"/>
      <c r="M182" s="129" t="s">
        <v>42</v>
      </c>
      <c r="N182" s="129" t="s">
        <v>42</v>
      </c>
    </row>
    <row r="183" spans="1:14" s="21" customFormat="1">
      <c r="A183" s="129" t="s">
        <v>194</v>
      </c>
      <c r="B183" s="129" t="s">
        <v>29</v>
      </c>
      <c r="C183" s="129" t="s">
        <v>384</v>
      </c>
      <c r="D183" s="129" t="s">
        <v>385</v>
      </c>
      <c r="E183" s="157">
        <v>819200</v>
      </c>
      <c r="F183" s="129" t="s">
        <v>383</v>
      </c>
      <c r="G183" s="157">
        <v>1</v>
      </c>
      <c r="H183" s="129" t="s">
        <v>72</v>
      </c>
      <c r="I183" s="129" t="s">
        <v>39</v>
      </c>
      <c r="J183" s="129" t="s">
        <v>40</v>
      </c>
      <c r="K183" s="129" t="s">
        <v>195</v>
      </c>
      <c r="L183" s="129"/>
      <c r="M183" s="129" t="s">
        <v>42</v>
      </c>
      <c r="N183" s="129" t="s">
        <v>42</v>
      </c>
    </row>
    <row r="184" spans="1:14" s="21" customFormat="1">
      <c r="A184" s="129" t="s">
        <v>196</v>
      </c>
      <c r="B184" s="129" t="s">
        <v>29</v>
      </c>
      <c r="C184" s="129" t="s">
        <v>386</v>
      </c>
      <c r="D184" s="129" t="s">
        <v>385</v>
      </c>
      <c r="E184" s="157">
        <v>204800</v>
      </c>
      <c r="F184" s="129" t="s">
        <v>383</v>
      </c>
      <c r="G184" s="157">
        <v>0</v>
      </c>
      <c r="H184" s="129" t="s">
        <v>199</v>
      </c>
      <c r="I184" s="129" t="s">
        <v>39</v>
      </c>
      <c r="J184" s="129" t="s">
        <v>40</v>
      </c>
      <c r="K184" s="129" t="s">
        <v>50</v>
      </c>
      <c r="L184" s="129"/>
      <c r="M184" s="129" t="s">
        <v>200</v>
      </c>
      <c r="N184" s="129" t="s">
        <v>200</v>
      </c>
    </row>
    <row r="185" spans="1:14" s="21" customFormat="1">
      <c r="A185" s="129" t="s">
        <v>196</v>
      </c>
      <c r="B185" s="129" t="s">
        <v>29</v>
      </c>
      <c r="C185" s="129" t="s">
        <v>384</v>
      </c>
      <c r="D185" s="129" t="s">
        <v>385</v>
      </c>
      <c r="E185" s="157">
        <v>512000</v>
      </c>
      <c r="F185" s="129" t="s">
        <v>383</v>
      </c>
      <c r="G185" s="157">
        <v>1</v>
      </c>
      <c r="H185" s="129" t="s">
        <v>199</v>
      </c>
      <c r="I185" s="129" t="s">
        <v>39</v>
      </c>
      <c r="J185" s="129" t="s">
        <v>40</v>
      </c>
      <c r="K185" s="129" t="s">
        <v>50</v>
      </c>
      <c r="L185" s="129"/>
      <c r="M185" s="129" t="s">
        <v>200</v>
      </c>
      <c r="N185" s="129" t="s">
        <v>200</v>
      </c>
    </row>
    <row r="186" spans="1:14" s="21" customFormat="1">
      <c r="A186" s="129" t="s">
        <v>201</v>
      </c>
      <c r="B186" s="129" t="s">
        <v>29</v>
      </c>
      <c r="C186" s="129" t="s">
        <v>384</v>
      </c>
      <c r="D186" s="129" t="s">
        <v>385</v>
      </c>
      <c r="E186" s="157">
        <v>307200</v>
      </c>
      <c r="F186" s="129" t="s">
        <v>383</v>
      </c>
      <c r="G186" s="157">
        <v>2</v>
      </c>
      <c r="H186" s="129" t="s">
        <v>203</v>
      </c>
      <c r="I186" s="129" t="s">
        <v>39</v>
      </c>
      <c r="J186" s="129" t="s">
        <v>40</v>
      </c>
      <c r="K186" s="129" t="s">
        <v>50</v>
      </c>
      <c r="L186" s="129"/>
      <c r="M186" s="129" t="s">
        <v>171</v>
      </c>
      <c r="N186" s="129"/>
    </row>
    <row r="187" spans="1:14" s="21" customFormat="1">
      <c r="A187" s="129" t="s">
        <v>201</v>
      </c>
      <c r="B187" s="129" t="s">
        <v>29</v>
      </c>
      <c r="C187" s="129" t="s">
        <v>386</v>
      </c>
      <c r="D187" s="129" t="s">
        <v>385</v>
      </c>
      <c r="E187" s="157">
        <v>61440</v>
      </c>
      <c r="F187" s="129" t="s">
        <v>383</v>
      </c>
      <c r="G187" s="157">
        <v>0</v>
      </c>
      <c r="H187" s="129" t="s">
        <v>203</v>
      </c>
      <c r="I187" s="129" t="s">
        <v>39</v>
      </c>
      <c r="J187" s="129" t="s">
        <v>40</v>
      </c>
      <c r="K187" s="129" t="s">
        <v>50</v>
      </c>
      <c r="L187" s="129"/>
      <c r="M187" s="129" t="s">
        <v>171</v>
      </c>
      <c r="N187" s="129"/>
    </row>
    <row r="188" spans="1:14" s="21" customFormat="1">
      <c r="A188" s="129" t="s">
        <v>204</v>
      </c>
      <c r="B188" s="129" t="s">
        <v>29</v>
      </c>
      <c r="C188" s="129" t="s">
        <v>386</v>
      </c>
      <c r="D188" s="129" t="s">
        <v>385</v>
      </c>
      <c r="E188" s="157">
        <v>61440</v>
      </c>
      <c r="F188" s="129" t="s">
        <v>383</v>
      </c>
      <c r="G188" s="157">
        <v>0</v>
      </c>
      <c r="H188" s="129" t="s">
        <v>203</v>
      </c>
      <c r="I188" s="129" t="s">
        <v>39</v>
      </c>
      <c r="J188" s="129" t="s">
        <v>40</v>
      </c>
      <c r="K188" s="129" t="s">
        <v>73</v>
      </c>
      <c r="L188" s="129"/>
      <c r="M188" s="129" t="s">
        <v>171</v>
      </c>
      <c r="N188" s="129" t="s">
        <v>171</v>
      </c>
    </row>
    <row r="189" spans="1:14" s="21" customFormat="1">
      <c r="A189" s="129" t="s">
        <v>204</v>
      </c>
      <c r="B189" s="129" t="s">
        <v>29</v>
      </c>
      <c r="C189" s="129" t="s">
        <v>384</v>
      </c>
      <c r="D189" s="129" t="s">
        <v>385</v>
      </c>
      <c r="E189" s="157">
        <v>307200</v>
      </c>
      <c r="F189" s="129" t="s">
        <v>383</v>
      </c>
      <c r="G189" s="157">
        <v>2</v>
      </c>
      <c r="H189" s="129" t="s">
        <v>203</v>
      </c>
      <c r="I189" s="129" t="s">
        <v>39</v>
      </c>
      <c r="J189" s="129" t="s">
        <v>40</v>
      </c>
      <c r="K189" s="129" t="s">
        <v>73</v>
      </c>
      <c r="L189" s="129"/>
      <c r="M189" s="129" t="s">
        <v>171</v>
      </c>
      <c r="N189" s="129" t="s">
        <v>171</v>
      </c>
    </row>
    <row r="190" spans="1:14" s="21" customFormat="1">
      <c r="A190" s="129" t="s">
        <v>205</v>
      </c>
      <c r="B190" s="129" t="s">
        <v>29</v>
      </c>
      <c r="C190" s="129" t="s">
        <v>384</v>
      </c>
      <c r="D190" s="129" t="s">
        <v>385</v>
      </c>
      <c r="E190" s="157">
        <v>307200</v>
      </c>
      <c r="F190" s="129" t="s">
        <v>383</v>
      </c>
      <c r="G190" s="157">
        <v>2</v>
      </c>
      <c r="H190" s="129" t="s">
        <v>207</v>
      </c>
      <c r="I190" s="129" t="s">
        <v>39</v>
      </c>
      <c r="J190" s="129" t="s">
        <v>40</v>
      </c>
      <c r="K190" s="129" t="s">
        <v>95</v>
      </c>
      <c r="L190" s="129"/>
      <c r="M190" s="129" t="s">
        <v>171</v>
      </c>
      <c r="N190" s="129" t="s">
        <v>171</v>
      </c>
    </row>
    <row r="191" spans="1:14" s="21" customFormat="1">
      <c r="A191" s="129" t="s">
        <v>205</v>
      </c>
      <c r="B191" s="129" t="s">
        <v>29</v>
      </c>
      <c r="C191" s="129" t="s">
        <v>386</v>
      </c>
      <c r="D191" s="129" t="s">
        <v>385</v>
      </c>
      <c r="E191" s="157">
        <v>61440</v>
      </c>
      <c r="F191" s="129" t="s">
        <v>383</v>
      </c>
      <c r="G191" s="157">
        <v>0</v>
      </c>
      <c r="H191" s="129" t="s">
        <v>207</v>
      </c>
      <c r="I191" s="129" t="s">
        <v>39</v>
      </c>
      <c r="J191" s="129" t="s">
        <v>40</v>
      </c>
      <c r="K191" s="129" t="s">
        <v>95</v>
      </c>
      <c r="L191" s="129"/>
      <c r="M191" s="129" t="s">
        <v>171</v>
      </c>
      <c r="N191" s="129" t="s">
        <v>171</v>
      </c>
    </row>
    <row r="192" spans="1:14" s="21" customFormat="1">
      <c r="A192" s="129" t="s">
        <v>208</v>
      </c>
      <c r="B192" s="129" t="s">
        <v>29</v>
      </c>
      <c r="C192" s="129" t="s">
        <v>386</v>
      </c>
      <c r="D192" s="129" t="s">
        <v>385</v>
      </c>
      <c r="E192" s="157">
        <v>61440</v>
      </c>
      <c r="F192" s="129" t="s">
        <v>383</v>
      </c>
      <c r="G192" s="157">
        <v>0</v>
      </c>
      <c r="H192" s="129" t="s">
        <v>207</v>
      </c>
      <c r="I192" s="129" t="s">
        <v>39</v>
      </c>
      <c r="J192" s="129" t="s">
        <v>40</v>
      </c>
      <c r="K192" s="129" t="s">
        <v>195</v>
      </c>
      <c r="L192" s="129"/>
      <c r="M192" s="129" t="s">
        <v>171</v>
      </c>
      <c r="N192" s="129" t="s">
        <v>171</v>
      </c>
    </row>
    <row r="193" spans="1:14" s="21" customFormat="1">
      <c r="A193" s="129" t="s">
        <v>208</v>
      </c>
      <c r="B193" s="129" t="s">
        <v>29</v>
      </c>
      <c r="C193" s="129" t="s">
        <v>384</v>
      </c>
      <c r="D193" s="129" t="s">
        <v>385</v>
      </c>
      <c r="E193" s="157">
        <v>307200</v>
      </c>
      <c r="F193" s="129" t="s">
        <v>383</v>
      </c>
      <c r="G193" s="157">
        <v>2</v>
      </c>
      <c r="H193" s="129" t="s">
        <v>207</v>
      </c>
      <c r="I193" s="129" t="s">
        <v>39</v>
      </c>
      <c r="J193" s="129" t="s">
        <v>40</v>
      </c>
      <c r="K193" s="129" t="s">
        <v>195</v>
      </c>
      <c r="L193" s="129"/>
      <c r="M193" s="129" t="s">
        <v>171</v>
      </c>
      <c r="N193" s="129" t="s">
        <v>171</v>
      </c>
    </row>
    <row r="194" spans="1:14" s="21" customFormat="1" hidden="1">
      <c r="A194" s="129" t="s">
        <v>209</v>
      </c>
      <c r="B194" s="129" t="s">
        <v>29</v>
      </c>
      <c r="C194" s="129" t="s">
        <v>382</v>
      </c>
      <c r="D194" s="129"/>
      <c r="E194" s="157">
        <v>4194304</v>
      </c>
      <c r="F194" s="129" t="s">
        <v>383</v>
      </c>
      <c r="G194" s="157">
        <v>2</v>
      </c>
      <c r="H194" s="129" t="s">
        <v>212</v>
      </c>
      <c r="I194" s="129" t="s">
        <v>39</v>
      </c>
      <c r="J194" s="129" t="s">
        <v>40</v>
      </c>
      <c r="K194" s="129" t="s">
        <v>99</v>
      </c>
      <c r="L194" s="129"/>
      <c r="M194" s="129" t="s">
        <v>200</v>
      </c>
      <c r="N194" s="129" t="s">
        <v>200</v>
      </c>
    </row>
    <row r="195" spans="1:14" s="21" customFormat="1">
      <c r="A195" s="129" t="s">
        <v>209</v>
      </c>
      <c r="B195" s="129" t="s">
        <v>29</v>
      </c>
      <c r="C195" s="129" t="s">
        <v>386</v>
      </c>
      <c r="D195" s="129" t="s">
        <v>385</v>
      </c>
      <c r="E195" s="157">
        <v>163840</v>
      </c>
      <c r="F195" s="129" t="s">
        <v>383</v>
      </c>
      <c r="G195" s="157">
        <v>0</v>
      </c>
      <c r="H195" s="129" t="s">
        <v>212</v>
      </c>
      <c r="I195" s="129" t="s">
        <v>39</v>
      </c>
      <c r="J195" s="129" t="s">
        <v>40</v>
      </c>
      <c r="K195" s="129" t="s">
        <v>99</v>
      </c>
      <c r="L195" s="129"/>
      <c r="M195" s="129" t="s">
        <v>200</v>
      </c>
      <c r="N195" s="129" t="s">
        <v>200</v>
      </c>
    </row>
    <row r="196" spans="1:14" s="21" customFormat="1">
      <c r="A196" s="129" t="s">
        <v>209</v>
      </c>
      <c r="B196" s="129" t="s">
        <v>29</v>
      </c>
      <c r="C196" s="129" t="s">
        <v>384</v>
      </c>
      <c r="D196" s="129" t="s">
        <v>385</v>
      </c>
      <c r="E196" s="157">
        <v>204800</v>
      </c>
      <c r="F196" s="129" t="s">
        <v>383</v>
      </c>
      <c r="G196" s="157">
        <v>1</v>
      </c>
      <c r="H196" s="129" t="s">
        <v>212</v>
      </c>
      <c r="I196" s="129" t="s">
        <v>39</v>
      </c>
      <c r="J196" s="129" t="s">
        <v>40</v>
      </c>
      <c r="K196" s="129" t="s">
        <v>99</v>
      </c>
      <c r="L196" s="129"/>
      <c r="M196" s="129" t="s">
        <v>200</v>
      </c>
      <c r="N196" s="129" t="s">
        <v>200</v>
      </c>
    </row>
    <row r="197" spans="1:14" s="21" customFormat="1" hidden="1">
      <c r="A197" s="129" t="s">
        <v>213</v>
      </c>
      <c r="B197" s="129" t="s">
        <v>29</v>
      </c>
      <c r="C197" s="129" t="s">
        <v>382</v>
      </c>
      <c r="D197" s="129"/>
      <c r="E197" s="157">
        <v>4194304</v>
      </c>
      <c r="F197" s="129" t="s">
        <v>383</v>
      </c>
      <c r="G197" s="157">
        <v>2</v>
      </c>
      <c r="H197" s="129" t="s">
        <v>212</v>
      </c>
      <c r="I197" s="129" t="s">
        <v>39</v>
      </c>
      <c r="J197" s="129" t="s">
        <v>40</v>
      </c>
      <c r="K197" s="129" t="s">
        <v>195</v>
      </c>
      <c r="L197" s="129"/>
      <c r="M197" s="129" t="s">
        <v>200</v>
      </c>
      <c r="N197" s="129" t="s">
        <v>200</v>
      </c>
    </row>
    <row r="198" spans="1:14" s="21" customFormat="1">
      <c r="A198" s="129" t="s">
        <v>213</v>
      </c>
      <c r="B198" s="129" t="s">
        <v>29</v>
      </c>
      <c r="C198" s="129" t="s">
        <v>386</v>
      </c>
      <c r="D198" s="129" t="s">
        <v>385</v>
      </c>
      <c r="E198" s="157">
        <v>122880</v>
      </c>
      <c r="F198" s="129" t="s">
        <v>383</v>
      </c>
      <c r="G198" s="157">
        <v>0</v>
      </c>
      <c r="H198" s="129" t="s">
        <v>212</v>
      </c>
      <c r="I198" s="129" t="s">
        <v>39</v>
      </c>
      <c r="J198" s="129" t="s">
        <v>40</v>
      </c>
      <c r="K198" s="129" t="s">
        <v>195</v>
      </c>
      <c r="L198" s="129"/>
      <c r="M198" s="129" t="s">
        <v>200</v>
      </c>
      <c r="N198" s="129" t="s">
        <v>200</v>
      </c>
    </row>
    <row r="199" spans="1:14" s="21" customFormat="1">
      <c r="A199" s="129" t="s">
        <v>213</v>
      </c>
      <c r="B199" s="129" t="s">
        <v>29</v>
      </c>
      <c r="C199" s="129" t="s">
        <v>384</v>
      </c>
      <c r="D199" s="129" t="s">
        <v>385</v>
      </c>
      <c r="E199" s="157">
        <v>204800</v>
      </c>
      <c r="F199" s="129" t="s">
        <v>383</v>
      </c>
      <c r="G199" s="157">
        <v>1</v>
      </c>
      <c r="H199" s="129" t="s">
        <v>212</v>
      </c>
      <c r="I199" s="129" t="s">
        <v>39</v>
      </c>
      <c r="J199" s="129" t="s">
        <v>40</v>
      </c>
      <c r="K199" s="129" t="s">
        <v>195</v>
      </c>
      <c r="L199" s="129"/>
      <c r="M199" s="129" t="s">
        <v>200</v>
      </c>
      <c r="N199" s="129" t="s">
        <v>200</v>
      </c>
    </row>
    <row r="200" spans="1:14" s="21" customFormat="1" hidden="1">
      <c r="A200" s="129" t="s">
        <v>215</v>
      </c>
      <c r="B200" s="129" t="s">
        <v>29</v>
      </c>
      <c r="C200" s="129" t="s">
        <v>384</v>
      </c>
      <c r="D200" s="129"/>
      <c r="E200" s="157">
        <v>4194304</v>
      </c>
      <c r="F200" s="129" t="s">
        <v>383</v>
      </c>
      <c r="G200" s="157">
        <v>1</v>
      </c>
      <c r="H200" s="129" t="s">
        <v>212</v>
      </c>
      <c r="I200" s="129" t="s">
        <v>39</v>
      </c>
      <c r="J200" s="129" t="s">
        <v>40</v>
      </c>
      <c r="K200" s="129" t="s">
        <v>113</v>
      </c>
      <c r="L200" s="129"/>
      <c r="M200" s="129" t="s">
        <v>200</v>
      </c>
      <c r="N200" s="129" t="s">
        <v>200</v>
      </c>
    </row>
    <row r="201" spans="1:14" s="21" customFormat="1">
      <c r="A201" s="129" t="s">
        <v>215</v>
      </c>
      <c r="B201" s="129" t="s">
        <v>29</v>
      </c>
      <c r="C201" s="129" t="s">
        <v>386</v>
      </c>
      <c r="D201" s="129" t="s">
        <v>385</v>
      </c>
      <c r="E201" s="157">
        <v>256000</v>
      </c>
      <c r="F201" s="129" t="s">
        <v>383</v>
      </c>
      <c r="G201" s="157">
        <v>0</v>
      </c>
      <c r="H201" s="129" t="s">
        <v>212</v>
      </c>
      <c r="I201" s="129" t="s">
        <v>39</v>
      </c>
      <c r="J201" s="129" t="s">
        <v>40</v>
      </c>
      <c r="K201" s="129" t="s">
        <v>113</v>
      </c>
      <c r="L201" s="129"/>
      <c r="M201" s="129" t="s">
        <v>200</v>
      </c>
      <c r="N201" s="129" t="s">
        <v>200</v>
      </c>
    </row>
    <row r="202" spans="1:14" s="21" customFormat="1">
      <c r="A202" s="129" t="s">
        <v>218</v>
      </c>
      <c r="B202" s="129" t="s">
        <v>29</v>
      </c>
      <c r="C202" s="129" t="s">
        <v>384</v>
      </c>
      <c r="D202" s="129" t="s">
        <v>385</v>
      </c>
      <c r="E202" s="157">
        <v>512000</v>
      </c>
      <c r="F202" s="129" t="s">
        <v>383</v>
      </c>
      <c r="G202" s="157">
        <v>1</v>
      </c>
      <c r="H202" s="129" t="s">
        <v>203</v>
      </c>
      <c r="I202" s="129" t="s">
        <v>39</v>
      </c>
      <c r="J202" s="129" t="s">
        <v>40</v>
      </c>
      <c r="K202" s="129" t="s">
        <v>50</v>
      </c>
      <c r="L202" s="129"/>
      <c r="M202" s="129" t="s">
        <v>171</v>
      </c>
      <c r="N202" s="129"/>
    </row>
    <row r="203" spans="1:14" s="21" customFormat="1">
      <c r="A203" s="129" t="s">
        <v>218</v>
      </c>
      <c r="B203" s="129" t="s">
        <v>29</v>
      </c>
      <c r="C203" s="129" t="s">
        <v>386</v>
      </c>
      <c r="D203" s="129" t="s">
        <v>385</v>
      </c>
      <c r="E203" s="157">
        <v>61440</v>
      </c>
      <c r="F203" s="129" t="s">
        <v>383</v>
      </c>
      <c r="G203" s="157">
        <v>0</v>
      </c>
      <c r="H203" s="129" t="s">
        <v>203</v>
      </c>
      <c r="I203" s="129" t="s">
        <v>39</v>
      </c>
      <c r="J203" s="129" t="s">
        <v>40</v>
      </c>
      <c r="K203" s="129" t="s">
        <v>50</v>
      </c>
      <c r="L203" s="129"/>
      <c r="M203" s="129" t="s">
        <v>171</v>
      </c>
      <c r="N203" s="129"/>
    </row>
    <row r="204" spans="1:14" s="21" customFormat="1">
      <c r="A204" s="129" t="s">
        <v>220</v>
      </c>
      <c r="B204" s="129" t="s">
        <v>29</v>
      </c>
      <c r="C204" s="129" t="s">
        <v>386</v>
      </c>
      <c r="D204" s="129" t="s">
        <v>385</v>
      </c>
      <c r="E204" s="157">
        <v>61440</v>
      </c>
      <c r="F204" s="129" t="s">
        <v>383</v>
      </c>
      <c r="G204" s="157">
        <v>0</v>
      </c>
      <c r="H204" s="129" t="s">
        <v>203</v>
      </c>
      <c r="I204" s="129" t="s">
        <v>39</v>
      </c>
      <c r="J204" s="129" t="s">
        <v>40</v>
      </c>
      <c r="K204" s="129" t="s">
        <v>113</v>
      </c>
      <c r="L204" s="129"/>
      <c r="M204" s="129" t="s">
        <v>171</v>
      </c>
      <c r="N204" s="129" t="s">
        <v>171</v>
      </c>
    </row>
    <row r="205" spans="1:14" s="21" customFormat="1">
      <c r="A205" s="129" t="s">
        <v>220</v>
      </c>
      <c r="B205" s="129" t="s">
        <v>29</v>
      </c>
      <c r="C205" s="129" t="s">
        <v>384</v>
      </c>
      <c r="D205" s="129" t="s">
        <v>385</v>
      </c>
      <c r="E205" s="157">
        <v>512000</v>
      </c>
      <c r="F205" s="129" t="s">
        <v>383</v>
      </c>
      <c r="G205" s="157">
        <v>1</v>
      </c>
      <c r="H205" s="129" t="s">
        <v>203</v>
      </c>
      <c r="I205" s="129" t="s">
        <v>39</v>
      </c>
      <c r="J205" s="129" t="s">
        <v>40</v>
      </c>
      <c r="K205" s="129" t="s">
        <v>113</v>
      </c>
      <c r="L205" s="129"/>
      <c r="M205" s="129" t="s">
        <v>171</v>
      </c>
      <c r="N205" s="129" t="s">
        <v>171</v>
      </c>
    </row>
    <row r="206" spans="1:14" s="21" customFormat="1">
      <c r="A206" s="129" t="s">
        <v>222</v>
      </c>
      <c r="B206" s="129" t="s">
        <v>29</v>
      </c>
      <c r="C206" s="129" t="s">
        <v>384</v>
      </c>
      <c r="D206" s="129" t="s">
        <v>385</v>
      </c>
      <c r="E206" s="157">
        <v>307200</v>
      </c>
      <c r="F206" s="129" t="s">
        <v>383</v>
      </c>
      <c r="G206" s="157">
        <v>2</v>
      </c>
      <c r="H206" s="129"/>
      <c r="I206" s="129" t="s">
        <v>39</v>
      </c>
      <c r="J206" s="129" t="s">
        <v>40</v>
      </c>
      <c r="K206" s="129" t="s">
        <v>95</v>
      </c>
      <c r="L206" s="129"/>
      <c r="M206" s="129" t="s">
        <v>171</v>
      </c>
      <c r="N206" s="129" t="s">
        <v>171</v>
      </c>
    </row>
    <row r="207" spans="1:14" s="21" customFormat="1">
      <c r="A207" s="129" t="s">
        <v>222</v>
      </c>
      <c r="B207" s="129" t="s">
        <v>29</v>
      </c>
      <c r="C207" s="129" t="s">
        <v>386</v>
      </c>
      <c r="D207" s="129" t="s">
        <v>385</v>
      </c>
      <c r="E207" s="157">
        <v>61440</v>
      </c>
      <c r="F207" s="129" t="s">
        <v>383</v>
      </c>
      <c r="G207" s="157">
        <v>0</v>
      </c>
      <c r="H207" s="129"/>
      <c r="I207" s="129" t="s">
        <v>39</v>
      </c>
      <c r="J207" s="129" t="s">
        <v>40</v>
      </c>
      <c r="K207" s="129" t="s">
        <v>95</v>
      </c>
      <c r="L207" s="129"/>
      <c r="M207" s="129" t="s">
        <v>171</v>
      </c>
      <c r="N207" s="129" t="s">
        <v>171</v>
      </c>
    </row>
    <row r="208" spans="1:14" s="21" customFormat="1">
      <c r="A208" s="129" t="s">
        <v>224</v>
      </c>
      <c r="B208" s="129" t="s">
        <v>173</v>
      </c>
      <c r="C208" s="129" t="s">
        <v>386</v>
      </c>
      <c r="D208" s="129" t="s">
        <v>385</v>
      </c>
      <c r="E208" s="157">
        <v>61440</v>
      </c>
      <c r="F208" s="129" t="s">
        <v>383</v>
      </c>
      <c r="G208" s="157">
        <v>0</v>
      </c>
      <c r="H208" s="129" t="s">
        <v>226</v>
      </c>
      <c r="I208" s="129" t="s">
        <v>39</v>
      </c>
      <c r="J208" s="129" t="s">
        <v>40</v>
      </c>
      <c r="K208" s="129" t="s">
        <v>41</v>
      </c>
      <c r="L208" s="129"/>
      <c r="M208" s="129" t="s">
        <v>142</v>
      </c>
      <c r="N208" s="129" t="s">
        <v>142</v>
      </c>
    </row>
    <row r="209" spans="1:14" s="21" customFormat="1" hidden="1">
      <c r="A209" s="129" t="s">
        <v>224</v>
      </c>
      <c r="B209" s="129" t="s">
        <v>173</v>
      </c>
      <c r="C209" s="129" t="s">
        <v>384</v>
      </c>
      <c r="D209" s="129"/>
      <c r="E209" s="157">
        <v>10485760</v>
      </c>
      <c r="F209" s="129" t="s">
        <v>393</v>
      </c>
      <c r="G209" s="157">
        <v>4</v>
      </c>
      <c r="H209" s="129" t="s">
        <v>226</v>
      </c>
      <c r="I209" s="129" t="s">
        <v>39</v>
      </c>
      <c r="J209" s="129" t="s">
        <v>40</v>
      </c>
      <c r="K209" s="129" t="s">
        <v>41</v>
      </c>
      <c r="L209" s="129"/>
      <c r="M209" s="129" t="s">
        <v>142</v>
      </c>
      <c r="N209" s="129" t="s">
        <v>142</v>
      </c>
    </row>
    <row r="210" spans="1:14" s="21" customFormat="1">
      <c r="A210" s="129" t="s">
        <v>227</v>
      </c>
      <c r="B210" s="129" t="s">
        <v>29</v>
      </c>
      <c r="C210" s="129" t="s">
        <v>384</v>
      </c>
      <c r="D210" s="129" t="s">
        <v>385</v>
      </c>
      <c r="E210" s="157">
        <v>307200</v>
      </c>
      <c r="F210" s="129" t="s">
        <v>383</v>
      </c>
      <c r="G210" s="157">
        <v>2</v>
      </c>
      <c r="H210" s="129" t="s">
        <v>229</v>
      </c>
      <c r="I210" s="129" t="s">
        <v>39</v>
      </c>
      <c r="J210" s="129" t="s">
        <v>40</v>
      </c>
      <c r="K210" s="129" t="s">
        <v>73</v>
      </c>
      <c r="L210" s="129"/>
      <c r="M210" s="129" t="s">
        <v>171</v>
      </c>
      <c r="N210" s="129" t="s">
        <v>171</v>
      </c>
    </row>
    <row r="211" spans="1:14" s="21" customFormat="1">
      <c r="A211" s="129" t="s">
        <v>227</v>
      </c>
      <c r="B211" s="129" t="s">
        <v>29</v>
      </c>
      <c r="C211" s="129" t="s">
        <v>386</v>
      </c>
      <c r="D211" s="129" t="s">
        <v>385</v>
      </c>
      <c r="E211" s="157">
        <v>61440</v>
      </c>
      <c r="F211" s="129" t="s">
        <v>383</v>
      </c>
      <c r="G211" s="157">
        <v>0</v>
      </c>
      <c r="H211" s="129" t="s">
        <v>229</v>
      </c>
      <c r="I211" s="129" t="s">
        <v>39</v>
      </c>
      <c r="J211" s="129" t="s">
        <v>40</v>
      </c>
      <c r="K211" s="129" t="s">
        <v>73</v>
      </c>
      <c r="L211" s="129"/>
      <c r="M211" s="129" t="s">
        <v>171</v>
      </c>
      <c r="N211" s="129" t="s">
        <v>171</v>
      </c>
    </row>
    <row r="212" spans="1:14" s="21" customFormat="1"/>
    <row r="213" spans="1:14" s="21" customFormat="1"/>
    <row r="214" spans="1:14" s="21" customFormat="1"/>
    <row r="215" spans="1:14" s="21" customFormat="1"/>
    <row r="216" spans="1:14" s="21" customFormat="1"/>
    <row r="217" spans="1:14" s="21" customFormat="1"/>
    <row r="218" spans="1:14" s="21" customFormat="1"/>
    <row r="219" spans="1:14" s="21" customFormat="1">
      <c r="D219" s="21" t="s">
        <v>403</v>
      </c>
      <c r="E219" s="21">
        <v>268285852</v>
      </c>
    </row>
    <row r="220" spans="1:14" s="21" customFormat="1"/>
    <row r="221" spans="1:14" s="21" customFormat="1"/>
    <row r="222" spans="1:14" s="21" customFormat="1">
      <c r="D222" s="21" t="s">
        <v>385</v>
      </c>
      <c r="E222" s="21">
        <v>21129216</v>
      </c>
      <c r="F222" s="21">
        <f>SUM(E3,E4,E6,E10,E11,E12,E14,E16,E17,E19,E20,E21,E22,E25,E26,E29,E30,E33,E34,E38,E39,E40,E41,E46,E44,E49,E51,E52,E57,E58,E59,E60,E62,E63,E64,E65,E67,E68,E70,E71,E72,E73,E75,E77,E80,E78,E81,E87,E88,E89,E90,E92,E94,E95,E96,E98,E99,E110,E113,E114,E117,E118,E120,E121,E122,E125,E126,E128,E130,E131,E133,E134,E136,E138,E142,E144,E145,E146,E147,E148,E151,E150,E154,E155,E156,E159,E160,E161,E162,E163,E165,E167,E168,E171,E172,E173,E177,E179,E180,E181,E182,E183,E184,E185,E187,E186,E188,E189,E190,E191,E192,E193,E195,E196,E198,E199,E201,E202,E203,E204,E205,E206,E207,E208,E210,E211)</f>
        <v>14837760</v>
      </c>
    </row>
    <row r="223" spans="1:14" s="21" customFormat="1"/>
    <row r="224" spans="1:14" s="21" customFormat="1"/>
    <row r="225" spans="1:5" s="21" customFormat="1">
      <c r="D225" s="21" t="s">
        <v>272</v>
      </c>
      <c r="E225" s="21">
        <v>289415068</v>
      </c>
    </row>
    <row r="230" spans="1:5">
      <c r="A230" s="198" t="s">
        <v>247</v>
      </c>
      <c r="B230" s="33" t="s">
        <v>240</v>
      </c>
      <c r="C230" s="33">
        <v>0.1</v>
      </c>
      <c r="D230" s="42">
        <v>100</v>
      </c>
    </row>
    <row r="231" spans="1:5">
      <c r="A231" s="198"/>
      <c r="B231" s="18" t="s">
        <v>241</v>
      </c>
      <c r="C231" s="33">
        <f>AVERAGE(E21,E22,E25,E26,E29,E30,E38,E39,E41,E44,E46,E49,E51,E52,E57,E58,E147,E148,E150,E151,E154,E155,E156,E159,E168,E171,E172,E173,E177,E179)/100000</f>
        <v>0.54271999999999998</v>
      </c>
      <c r="D231" s="33">
        <v>54</v>
      </c>
    </row>
    <row r="232" spans="1:5">
      <c r="A232" s="198"/>
      <c r="B232" s="33" t="s">
        <v>242</v>
      </c>
      <c r="C232" s="33">
        <f>AVERAGE(E3,E4,E5,E6,E10,E11,E12,E14,E16,E17,E19,E20,E33,E34,E40,E59,E60,E62,E63,E64,E65,E67,E68,E70,E71,E72,E73,E75,E77,E78,E80,E81,E87,E88,E89,E92,E90,E94,E95,E96,E98,E99,E110,E113,E114,E117,E118,E120,E121,E122,E125,E126,E128,E130,E131,E136,E138,E142,E144,E160,E161,E162,E163,E165,E167,E180,E181,E182,E183,E184,E185,E186,E187,E189,E188,E190,E191,E192,E193,E195,E196,E198,E199,E201,E202,E203,E204,E205,E206,E207,E208,E210,E211)/1000000</f>
        <v>0.20671587096774194</v>
      </c>
      <c r="D232" s="42">
        <v>200</v>
      </c>
    </row>
    <row r="233" spans="1:5">
      <c r="A233" s="42"/>
      <c r="B233" s="42"/>
      <c r="D233" s="21">
        <f>AVERAGE(D230:D232)</f>
        <v>118</v>
      </c>
    </row>
    <row r="235" spans="1:5">
      <c r="A235" s="198" t="s">
        <v>248</v>
      </c>
      <c r="B235" s="33" t="s">
        <v>240</v>
      </c>
      <c r="C235" s="23"/>
    </row>
    <row r="236" spans="1:5">
      <c r="A236" s="198"/>
      <c r="B236" s="18" t="s">
        <v>241</v>
      </c>
      <c r="C236" s="23">
        <f>AVERAGE(E23,E24,E27,E28,E31,E32,E35,E36,E37,E42,E43,E45,E47,E48,E50,E53,E54,E55,E56,E149,E152,E153,E157,E158,E169,E170,E174,E175,E176,E178)/1000000</f>
        <v>0.13107199999999999</v>
      </c>
      <c r="D236" s="21" t="s">
        <v>404</v>
      </c>
    </row>
    <row r="237" spans="1:5">
      <c r="A237" s="198"/>
      <c r="B237" s="33" t="s">
        <v>242</v>
      </c>
      <c r="C237" s="23">
        <f>AVERAGE(E2,E7,E8,E9,E13,E15,E18,E66,E69,E74,E76,E79,E82,E83,E84,E85,E86,E91,E93,E97,E100,E101,E102,E103,E104,E105,E106,E107,E108,E109,E111,E112,E115,E116,E119,E123,E124,E127,E129,E135,E137,E139,E140,E141,E143,E164,E166,E194,E197,E200,E209)/1000000</f>
        <v>5.1713586666666673</v>
      </c>
    </row>
    <row r="238" spans="1:5">
      <c r="C238" s="21">
        <f>AVERAGE(C237)</f>
        <v>5.1713586666666673</v>
      </c>
    </row>
  </sheetData>
  <autoFilter ref="A1:XFD211">
    <filterColumn colId="3">
      <filters>
        <filter val="OS"/>
      </filters>
    </filterColumn>
  </autoFilter>
  <mergeCells count="2">
    <mergeCell ref="A230:A232"/>
    <mergeCell ref="A235:A2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EX505"/>
  <sheetViews>
    <sheetView topLeftCell="A477" workbookViewId="0">
      <selection activeCell="G508" sqref="G508"/>
    </sheetView>
  </sheetViews>
  <sheetFormatPr defaultColWidth="9" defaultRowHeight="15"/>
  <cols>
    <col min="1" max="1" width="29.28515625" style="21" customWidth="1"/>
    <col min="2" max="2" width="15.42578125" style="21" customWidth="1"/>
    <col min="3" max="3" width="16.42578125" style="21" customWidth="1"/>
    <col min="4" max="4" width="12.5703125" style="21"/>
    <col min="5" max="5" width="35.42578125" style="21" customWidth="1"/>
    <col min="6" max="6" width="27.42578125" style="21" customWidth="1"/>
    <col min="7" max="7" width="29" style="21" customWidth="1"/>
    <col min="8" max="8" width="22.5703125" style="21" customWidth="1"/>
    <col min="9" max="9" width="21.42578125" style="21" customWidth="1"/>
    <col min="10" max="10" width="14.7109375" style="21" customWidth="1"/>
    <col min="11" max="11" width="27" style="21" customWidth="1"/>
    <col min="12" max="12" width="16" style="21" customWidth="1"/>
    <col min="13" max="13" width="9.42578125" style="21" customWidth="1"/>
    <col min="14" max="14" width="21.28515625" style="21" customWidth="1"/>
    <col min="15" max="15" width="28.28515625" style="21" customWidth="1"/>
    <col min="16" max="17" width="39.42578125" style="21" customWidth="1"/>
    <col min="18" max="18" width="10.5703125" style="21" customWidth="1"/>
    <col min="19" max="19" width="38.7109375" style="21" customWidth="1"/>
    <col min="20" max="16378" width="9" style="21"/>
  </cols>
  <sheetData>
    <row r="1" spans="1:20" s="165" customFormat="1">
      <c r="A1" s="167" t="s">
        <v>0</v>
      </c>
      <c r="B1" s="167" t="s">
        <v>1</v>
      </c>
      <c r="C1" s="167" t="s">
        <v>405</v>
      </c>
      <c r="D1" s="167" t="s">
        <v>406</v>
      </c>
      <c r="E1" s="167" t="s">
        <v>375</v>
      </c>
      <c r="F1" s="167" t="s">
        <v>377</v>
      </c>
      <c r="G1" s="167" t="s">
        <v>407</v>
      </c>
      <c r="H1" s="167" t="s">
        <v>408</v>
      </c>
      <c r="I1" s="167" t="s">
        <v>409</v>
      </c>
      <c r="J1" s="167" t="s">
        <v>410</v>
      </c>
      <c r="K1" s="167" t="s">
        <v>23</v>
      </c>
      <c r="L1" s="167" t="s">
        <v>24</v>
      </c>
      <c r="M1" s="167" t="s">
        <v>25</v>
      </c>
      <c r="N1" s="167" t="s">
        <v>26</v>
      </c>
      <c r="O1" s="167" t="s">
        <v>380</v>
      </c>
      <c r="P1" s="167" t="s">
        <v>27</v>
      </c>
      <c r="Q1" s="167" t="s">
        <v>381</v>
      </c>
      <c r="R1" s="167" t="s">
        <v>411</v>
      </c>
      <c r="S1" s="167" t="s">
        <v>412</v>
      </c>
      <c r="T1" s="167" t="s">
        <v>413</v>
      </c>
    </row>
    <row r="2" spans="1:20" s="21" customFormat="1">
      <c r="A2" s="129" t="s">
        <v>28</v>
      </c>
      <c r="B2" s="129" t="s">
        <v>29</v>
      </c>
      <c r="C2" s="129" t="s">
        <v>34</v>
      </c>
      <c r="D2" s="129" t="s">
        <v>385</v>
      </c>
      <c r="E2" s="129" t="s">
        <v>414</v>
      </c>
      <c r="F2" s="157">
        <v>28031</v>
      </c>
      <c r="G2" s="157">
        <v>6023</v>
      </c>
      <c r="H2" s="157">
        <v>22008</v>
      </c>
      <c r="I2" s="157">
        <v>78</v>
      </c>
      <c r="J2" s="129"/>
      <c r="K2" s="129" t="s">
        <v>38</v>
      </c>
      <c r="L2" s="129" t="s">
        <v>39</v>
      </c>
      <c r="M2" s="129" t="s">
        <v>40</v>
      </c>
      <c r="N2" s="129" t="s">
        <v>41</v>
      </c>
      <c r="O2" s="129" t="s">
        <v>415</v>
      </c>
      <c r="P2" s="129" t="s">
        <v>42</v>
      </c>
      <c r="Q2" s="129" t="s">
        <v>42</v>
      </c>
      <c r="R2" s="129" t="s">
        <v>416</v>
      </c>
      <c r="S2" s="129" t="s">
        <v>417</v>
      </c>
      <c r="T2" s="129" t="s">
        <v>418</v>
      </c>
    </row>
    <row r="3" spans="1:20" s="21" customFormat="1">
      <c r="A3" s="129" t="s">
        <v>28</v>
      </c>
      <c r="B3" s="129" t="s">
        <v>29</v>
      </c>
      <c r="C3" s="129" t="s">
        <v>34</v>
      </c>
      <c r="D3" s="129" t="s">
        <v>403</v>
      </c>
      <c r="E3" s="129" t="s">
        <v>419</v>
      </c>
      <c r="F3" s="157">
        <v>1031991</v>
      </c>
      <c r="G3" s="157">
        <v>69207</v>
      </c>
      <c r="H3" s="157">
        <v>962784</v>
      </c>
      <c r="I3" s="157">
        <v>93</v>
      </c>
      <c r="J3" s="129"/>
      <c r="K3" s="129" t="s">
        <v>38</v>
      </c>
      <c r="L3" s="129" t="s">
        <v>39</v>
      </c>
      <c r="M3" s="129" t="s">
        <v>40</v>
      </c>
      <c r="N3" s="129" t="s">
        <v>41</v>
      </c>
      <c r="O3" s="129" t="s">
        <v>415</v>
      </c>
      <c r="P3" s="129" t="s">
        <v>42</v>
      </c>
      <c r="Q3" s="129" t="s">
        <v>42</v>
      </c>
      <c r="R3" s="129" t="s">
        <v>416</v>
      </c>
      <c r="S3" s="129" t="s">
        <v>417</v>
      </c>
      <c r="T3" s="129" t="s">
        <v>418</v>
      </c>
    </row>
    <row r="4" spans="1:20" s="21" customFormat="1">
      <c r="A4" s="129" t="s">
        <v>28</v>
      </c>
      <c r="B4" s="129" t="s">
        <v>29</v>
      </c>
      <c r="C4" s="129" t="s">
        <v>34</v>
      </c>
      <c r="D4" s="129" t="s">
        <v>385</v>
      </c>
      <c r="E4" s="129" t="s">
        <v>420</v>
      </c>
      <c r="F4" s="157">
        <v>18644</v>
      </c>
      <c r="G4" s="157">
        <v>8938</v>
      </c>
      <c r="H4" s="157">
        <v>9706</v>
      </c>
      <c r="I4" s="157">
        <v>52</v>
      </c>
      <c r="J4" s="129"/>
      <c r="K4" s="129" t="s">
        <v>38</v>
      </c>
      <c r="L4" s="129" t="s">
        <v>39</v>
      </c>
      <c r="M4" s="129" t="s">
        <v>40</v>
      </c>
      <c r="N4" s="129" t="s">
        <v>41</v>
      </c>
      <c r="O4" s="129" t="s">
        <v>415</v>
      </c>
      <c r="P4" s="129" t="s">
        <v>42</v>
      </c>
      <c r="Q4" s="129" t="s">
        <v>42</v>
      </c>
      <c r="R4" s="129" t="s">
        <v>416</v>
      </c>
      <c r="S4" s="129" t="s">
        <v>417</v>
      </c>
      <c r="T4" s="129" t="s">
        <v>418</v>
      </c>
    </row>
    <row r="5" spans="1:20" s="21" customFormat="1">
      <c r="A5" s="129" t="s">
        <v>28</v>
      </c>
      <c r="B5" s="129" t="s">
        <v>29</v>
      </c>
      <c r="C5" s="129" t="s">
        <v>34</v>
      </c>
      <c r="D5" s="129" t="s">
        <v>385</v>
      </c>
      <c r="E5" s="129" t="s">
        <v>421</v>
      </c>
      <c r="F5" s="157">
        <v>9259</v>
      </c>
      <c r="G5" s="157">
        <v>843</v>
      </c>
      <c r="H5" s="157">
        <v>8416</v>
      </c>
      <c r="I5" s="157">
        <v>90</v>
      </c>
      <c r="J5" s="129"/>
      <c r="K5" s="129" t="s">
        <v>38</v>
      </c>
      <c r="L5" s="129" t="s">
        <v>39</v>
      </c>
      <c r="M5" s="129" t="s">
        <v>40</v>
      </c>
      <c r="N5" s="129" t="s">
        <v>41</v>
      </c>
      <c r="O5" s="129" t="s">
        <v>415</v>
      </c>
      <c r="P5" s="129" t="s">
        <v>42</v>
      </c>
      <c r="Q5" s="129" t="s">
        <v>42</v>
      </c>
      <c r="R5" s="129" t="s">
        <v>416</v>
      </c>
      <c r="S5" s="129" t="s">
        <v>417</v>
      </c>
      <c r="T5" s="129" t="s">
        <v>418</v>
      </c>
    </row>
    <row r="6" spans="1:20" s="21" customFormat="1">
      <c r="A6" s="129" t="s">
        <v>28</v>
      </c>
      <c r="B6" s="129" t="s">
        <v>29</v>
      </c>
      <c r="C6" s="129" t="s">
        <v>34</v>
      </c>
      <c r="D6" s="129" t="s">
        <v>385</v>
      </c>
      <c r="E6" s="129" t="s">
        <v>422</v>
      </c>
      <c r="F6" s="157">
        <v>4911</v>
      </c>
      <c r="G6" s="157">
        <v>1523</v>
      </c>
      <c r="H6" s="157">
        <v>3388</v>
      </c>
      <c r="I6" s="157">
        <v>68</v>
      </c>
      <c r="J6" s="129"/>
      <c r="K6" s="129" t="s">
        <v>38</v>
      </c>
      <c r="L6" s="129" t="s">
        <v>39</v>
      </c>
      <c r="M6" s="129" t="s">
        <v>40</v>
      </c>
      <c r="N6" s="129" t="s">
        <v>41</v>
      </c>
      <c r="O6" s="129" t="s">
        <v>415</v>
      </c>
      <c r="P6" s="129" t="s">
        <v>42</v>
      </c>
      <c r="Q6" s="129" t="s">
        <v>42</v>
      </c>
      <c r="R6" s="129" t="s">
        <v>416</v>
      </c>
      <c r="S6" s="129" t="s">
        <v>417</v>
      </c>
      <c r="T6" s="129" t="s">
        <v>418</v>
      </c>
    </row>
    <row r="7" spans="1:20" s="21" customFormat="1">
      <c r="A7" s="129" t="s">
        <v>28</v>
      </c>
      <c r="B7" s="129" t="s">
        <v>29</v>
      </c>
      <c r="C7" s="129" t="s">
        <v>34</v>
      </c>
      <c r="D7" s="129" t="s">
        <v>385</v>
      </c>
      <c r="E7" s="129" t="s">
        <v>423</v>
      </c>
      <c r="F7" s="157">
        <v>9950</v>
      </c>
      <c r="G7" s="157">
        <v>9416</v>
      </c>
      <c r="H7" s="157">
        <v>534</v>
      </c>
      <c r="I7" s="157">
        <v>5</v>
      </c>
      <c r="J7" s="129"/>
      <c r="K7" s="129" t="s">
        <v>38</v>
      </c>
      <c r="L7" s="129" t="s">
        <v>39</v>
      </c>
      <c r="M7" s="129" t="s">
        <v>40</v>
      </c>
      <c r="N7" s="129" t="s">
        <v>41</v>
      </c>
      <c r="O7" s="129" t="s">
        <v>415</v>
      </c>
      <c r="P7" s="129" t="s">
        <v>42</v>
      </c>
      <c r="Q7" s="129" t="s">
        <v>42</v>
      </c>
      <c r="R7" s="129" t="s">
        <v>416</v>
      </c>
      <c r="S7" s="129" t="s">
        <v>417</v>
      </c>
      <c r="T7" s="129" t="s">
        <v>418</v>
      </c>
    </row>
    <row r="8" spans="1:20" s="21" customFormat="1">
      <c r="A8" s="168" t="s">
        <v>43</v>
      </c>
      <c r="B8" s="168" t="s">
        <v>29</v>
      </c>
      <c r="C8" s="168" t="s">
        <v>34</v>
      </c>
      <c r="D8" s="168" t="s">
        <v>385</v>
      </c>
      <c r="E8" s="168" t="s">
        <v>414</v>
      </c>
      <c r="F8" s="169">
        <v>28031</v>
      </c>
      <c r="G8" s="157">
        <v>3844</v>
      </c>
      <c r="H8" s="157">
        <v>24187</v>
      </c>
      <c r="I8" s="157">
        <v>86</v>
      </c>
      <c r="J8" s="129"/>
      <c r="K8" s="129" t="s">
        <v>38</v>
      </c>
      <c r="L8" s="129" t="s">
        <v>39</v>
      </c>
      <c r="M8" s="129" t="s">
        <v>40</v>
      </c>
      <c r="N8" s="129" t="s">
        <v>46</v>
      </c>
      <c r="O8" s="129" t="s">
        <v>415</v>
      </c>
      <c r="P8" s="129" t="s">
        <v>42</v>
      </c>
      <c r="Q8" s="129" t="s">
        <v>42</v>
      </c>
      <c r="R8" s="129" t="s">
        <v>424</v>
      </c>
      <c r="S8" s="129" t="s">
        <v>425</v>
      </c>
      <c r="T8" s="129" t="s">
        <v>418</v>
      </c>
    </row>
    <row r="9" spans="1:20" s="21" customFormat="1">
      <c r="A9" s="168" t="s">
        <v>43</v>
      </c>
      <c r="B9" s="168" t="s">
        <v>29</v>
      </c>
      <c r="C9" s="168" t="s">
        <v>34</v>
      </c>
      <c r="D9" s="168" t="s">
        <v>385</v>
      </c>
      <c r="E9" s="168" t="s">
        <v>421</v>
      </c>
      <c r="F9" s="169">
        <v>9259</v>
      </c>
      <c r="G9" s="157">
        <v>3840</v>
      </c>
      <c r="H9" s="157">
        <v>5419</v>
      </c>
      <c r="I9" s="157">
        <v>58</v>
      </c>
      <c r="J9" s="129"/>
      <c r="K9" s="129" t="s">
        <v>38</v>
      </c>
      <c r="L9" s="129" t="s">
        <v>39</v>
      </c>
      <c r="M9" s="129" t="s">
        <v>40</v>
      </c>
      <c r="N9" s="129" t="s">
        <v>46</v>
      </c>
      <c r="O9" s="129" t="s">
        <v>415</v>
      </c>
      <c r="P9" s="129" t="s">
        <v>42</v>
      </c>
      <c r="Q9" s="129" t="s">
        <v>42</v>
      </c>
      <c r="R9" s="129" t="s">
        <v>424</v>
      </c>
      <c r="S9" s="129" t="s">
        <v>425</v>
      </c>
      <c r="T9" s="129" t="s">
        <v>418</v>
      </c>
    </row>
    <row r="10" spans="1:20" s="21" customFormat="1">
      <c r="A10" s="168" t="s">
        <v>43</v>
      </c>
      <c r="B10" s="168" t="s">
        <v>29</v>
      </c>
      <c r="C10" s="168" t="s">
        <v>34</v>
      </c>
      <c r="D10" s="168" t="s">
        <v>403</v>
      </c>
      <c r="E10" s="168" t="s">
        <v>419</v>
      </c>
      <c r="F10" s="169">
        <v>6241754</v>
      </c>
      <c r="G10" s="157">
        <v>5229674</v>
      </c>
      <c r="H10" s="157">
        <v>1012080</v>
      </c>
      <c r="I10" s="157">
        <v>16</v>
      </c>
      <c r="J10" s="129"/>
      <c r="K10" s="129" t="s">
        <v>38</v>
      </c>
      <c r="L10" s="129" t="s">
        <v>39</v>
      </c>
      <c r="M10" s="129" t="s">
        <v>40</v>
      </c>
      <c r="N10" s="129" t="s">
        <v>46</v>
      </c>
      <c r="O10" s="129" t="s">
        <v>415</v>
      </c>
      <c r="P10" s="129" t="s">
        <v>42</v>
      </c>
      <c r="Q10" s="129" t="s">
        <v>42</v>
      </c>
      <c r="R10" s="129" t="s">
        <v>424</v>
      </c>
      <c r="S10" s="129" t="s">
        <v>425</v>
      </c>
      <c r="T10" s="129" t="s">
        <v>418</v>
      </c>
    </row>
    <row r="11" spans="1:20" s="21" customFormat="1">
      <c r="A11" s="168" t="s">
        <v>43</v>
      </c>
      <c r="B11" s="168" t="s">
        <v>29</v>
      </c>
      <c r="C11" s="168" t="s">
        <v>34</v>
      </c>
      <c r="D11" s="168" t="s">
        <v>403</v>
      </c>
      <c r="E11" s="168" t="s">
        <v>426</v>
      </c>
      <c r="F11" s="169">
        <v>15994</v>
      </c>
      <c r="G11" s="157">
        <v>8476</v>
      </c>
      <c r="H11" s="157">
        <v>7518</v>
      </c>
      <c r="I11" s="157">
        <v>47</v>
      </c>
      <c r="J11" s="129"/>
      <c r="K11" s="129" t="s">
        <v>38</v>
      </c>
      <c r="L11" s="129" t="s">
        <v>39</v>
      </c>
      <c r="M11" s="129" t="s">
        <v>40</v>
      </c>
      <c r="N11" s="129" t="s">
        <v>46</v>
      </c>
      <c r="O11" s="129" t="s">
        <v>415</v>
      </c>
      <c r="P11" s="129" t="s">
        <v>42</v>
      </c>
      <c r="Q11" s="129" t="s">
        <v>42</v>
      </c>
      <c r="R11" s="129" t="s">
        <v>424</v>
      </c>
      <c r="S11" s="129" t="s">
        <v>425</v>
      </c>
      <c r="T11" s="129" t="s">
        <v>418</v>
      </c>
    </row>
    <row r="12" spans="1:20" s="21" customFormat="1">
      <c r="A12" s="129" t="s">
        <v>43</v>
      </c>
      <c r="B12" s="129" t="s">
        <v>29</v>
      </c>
      <c r="C12" s="129" t="s">
        <v>34</v>
      </c>
      <c r="D12" s="129" t="s">
        <v>385</v>
      </c>
      <c r="E12" s="129" t="s">
        <v>420</v>
      </c>
      <c r="F12" s="157">
        <v>18644</v>
      </c>
      <c r="G12" s="157">
        <v>294</v>
      </c>
      <c r="H12" s="157">
        <v>18350</v>
      </c>
      <c r="I12" s="157">
        <v>98</v>
      </c>
      <c r="J12" s="129"/>
      <c r="K12" s="129" t="s">
        <v>38</v>
      </c>
      <c r="L12" s="129" t="s">
        <v>39</v>
      </c>
      <c r="M12" s="129" t="s">
        <v>40</v>
      </c>
      <c r="N12" s="129" t="s">
        <v>46</v>
      </c>
      <c r="O12" s="129" t="s">
        <v>415</v>
      </c>
      <c r="P12" s="129" t="s">
        <v>42</v>
      </c>
      <c r="Q12" s="129" t="s">
        <v>42</v>
      </c>
      <c r="R12" s="129" t="s">
        <v>424</v>
      </c>
      <c r="S12" s="129" t="s">
        <v>425</v>
      </c>
      <c r="T12" s="129" t="s">
        <v>418</v>
      </c>
    </row>
    <row r="13" spans="1:20" s="21" customFormat="1">
      <c r="A13" s="129" t="s">
        <v>47</v>
      </c>
      <c r="B13" s="129" t="s">
        <v>29</v>
      </c>
      <c r="C13" s="129" t="s">
        <v>34</v>
      </c>
      <c r="D13" s="129" t="s">
        <v>403</v>
      </c>
      <c r="E13" s="129" t="s">
        <v>427</v>
      </c>
      <c r="F13" s="157">
        <v>5201436</v>
      </c>
      <c r="G13" s="157">
        <v>61</v>
      </c>
      <c r="H13" s="157">
        <v>5201375</v>
      </c>
      <c r="I13" s="157">
        <v>99</v>
      </c>
      <c r="J13" s="129"/>
      <c r="K13" s="129" t="s">
        <v>49</v>
      </c>
      <c r="L13" s="129" t="s">
        <v>39</v>
      </c>
      <c r="M13" s="129" t="s">
        <v>40</v>
      </c>
      <c r="N13" s="129" t="s">
        <v>50</v>
      </c>
      <c r="O13" s="129" t="s">
        <v>415</v>
      </c>
      <c r="P13" s="129" t="s">
        <v>42</v>
      </c>
      <c r="Q13" s="129" t="s">
        <v>42</v>
      </c>
      <c r="R13" s="129" t="s">
        <v>428</v>
      </c>
      <c r="S13" s="129" t="s">
        <v>429</v>
      </c>
      <c r="T13" s="129" t="s">
        <v>418</v>
      </c>
    </row>
    <row r="14" spans="1:20" s="21" customFormat="1">
      <c r="A14" s="129" t="s">
        <v>47</v>
      </c>
      <c r="B14" s="129" t="s">
        <v>29</v>
      </c>
      <c r="C14" s="129" t="s">
        <v>34</v>
      </c>
      <c r="D14" s="129" t="s">
        <v>385</v>
      </c>
      <c r="E14" s="129" t="s">
        <v>414</v>
      </c>
      <c r="F14" s="157">
        <v>65535</v>
      </c>
      <c r="G14" s="157">
        <v>5729</v>
      </c>
      <c r="H14" s="157">
        <v>59806</v>
      </c>
      <c r="I14" s="157">
        <v>91</v>
      </c>
      <c r="J14" s="129"/>
      <c r="K14" s="129" t="s">
        <v>49</v>
      </c>
      <c r="L14" s="129" t="s">
        <v>39</v>
      </c>
      <c r="M14" s="129" t="s">
        <v>40</v>
      </c>
      <c r="N14" s="129" t="s">
        <v>50</v>
      </c>
      <c r="O14" s="129" t="s">
        <v>415</v>
      </c>
      <c r="P14" s="129" t="s">
        <v>42</v>
      </c>
      <c r="Q14" s="129" t="s">
        <v>42</v>
      </c>
      <c r="R14" s="129" t="s">
        <v>428</v>
      </c>
      <c r="S14" s="129" t="s">
        <v>429</v>
      </c>
      <c r="T14" s="129" t="s">
        <v>418</v>
      </c>
    </row>
    <row r="15" spans="1:20" s="21" customFormat="1">
      <c r="A15" s="129" t="s">
        <v>47</v>
      </c>
      <c r="B15" s="129" t="s">
        <v>29</v>
      </c>
      <c r="C15" s="129" t="s">
        <v>34</v>
      </c>
      <c r="D15" s="129" t="s">
        <v>385</v>
      </c>
      <c r="E15" s="129" t="s">
        <v>420</v>
      </c>
      <c r="F15" s="157">
        <v>19093</v>
      </c>
      <c r="G15" s="157">
        <v>44</v>
      </c>
      <c r="H15" s="157">
        <v>19049</v>
      </c>
      <c r="I15" s="157">
        <v>99</v>
      </c>
      <c r="J15" s="129"/>
      <c r="K15" s="129" t="s">
        <v>49</v>
      </c>
      <c r="L15" s="129" t="s">
        <v>39</v>
      </c>
      <c r="M15" s="129" t="s">
        <v>40</v>
      </c>
      <c r="N15" s="129" t="s">
        <v>50</v>
      </c>
      <c r="O15" s="129" t="s">
        <v>415</v>
      </c>
      <c r="P15" s="129" t="s">
        <v>42</v>
      </c>
      <c r="Q15" s="129" t="s">
        <v>42</v>
      </c>
      <c r="R15" s="129" t="s">
        <v>428</v>
      </c>
      <c r="S15" s="129" t="s">
        <v>429</v>
      </c>
      <c r="T15" s="129" t="s">
        <v>418</v>
      </c>
    </row>
    <row r="16" spans="1:20" s="21" customFormat="1">
      <c r="A16" s="129" t="s">
        <v>47</v>
      </c>
      <c r="B16" s="129" t="s">
        <v>29</v>
      </c>
      <c r="C16" s="129" t="s">
        <v>34</v>
      </c>
      <c r="D16" s="129" t="s">
        <v>385</v>
      </c>
      <c r="E16" s="129" t="s">
        <v>421</v>
      </c>
      <c r="F16" s="157">
        <v>9482</v>
      </c>
      <c r="G16" s="157">
        <v>8158</v>
      </c>
      <c r="H16" s="157">
        <v>1324</v>
      </c>
      <c r="I16" s="157">
        <v>13</v>
      </c>
      <c r="J16" s="129"/>
      <c r="K16" s="129" t="s">
        <v>49</v>
      </c>
      <c r="L16" s="129" t="s">
        <v>39</v>
      </c>
      <c r="M16" s="129" t="s">
        <v>40</v>
      </c>
      <c r="N16" s="129" t="s">
        <v>50</v>
      </c>
      <c r="O16" s="129" t="s">
        <v>415</v>
      </c>
      <c r="P16" s="129" t="s">
        <v>42</v>
      </c>
      <c r="Q16" s="129" t="s">
        <v>42</v>
      </c>
      <c r="R16" s="129" t="s">
        <v>428</v>
      </c>
      <c r="S16" s="129" t="s">
        <v>429</v>
      </c>
      <c r="T16" s="129" t="s">
        <v>418</v>
      </c>
    </row>
    <row r="17" spans="1:20" s="21" customFormat="1">
      <c r="A17" s="129" t="s">
        <v>47</v>
      </c>
      <c r="B17" s="129" t="s">
        <v>29</v>
      </c>
      <c r="C17" s="129" t="s">
        <v>34</v>
      </c>
      <c r="D17" s="129" t="s">
        <v>385</v>
      </c>
      <c r="E17" s="129" t="s">
        <v>422</v>
      </c>
      <c r="F17" s="157">
        <v>4675</v>
      </c>
      <c r="G17" s="157">
        <v>10</v>
      </c>
      <c r="H17" s="157">
        <v>4665</v>
      </c>
      <c r="I17" s="157">
        <v>99</v>
      </c>
      <c r="J17" s="129"/>
      <c r="K17" s="129" t="s">
        <v>49</v>
      </c>
      <c r="L17" s="129" t="s">
        <v>39</v>
      </c>
      <c r="M17" s="129" t="s">
        <v>40</v>
      </c>
      <c r="N17" s="129" t="s">
        <v>50</v>
      </c>
      <c r="O17" s="129" t="s">
        <v>415</v>
      </c>
      <c r="P17" s="129" t="s">
        <v>42</v>
      </c>
      <c r="Q17" s="129" t="s">
        <v>42</v>
      </c>
      <c r="R17" s="129" t="s">
        <v>428</v>
      </c>
      <c r="S17" s="129" t="s">
        <v>429</v>
      </c>
      <c r="T17" s="129" t="s">
        <v>418</v>
      </c>
    </row>
    <row r="18" spans="1:20" s="21" customFormat="1">
      <c r="A18" s="129" t="s">
        <v>47</v>
      </c>
      <c r="B18" s="129" t="s">
        <v>29</v>
      </c>
      <c r="C18" s="129" t="s">
        <v>34</v>
      </c>
      <c r="D18" s="129" t="s">
        <v>385</v>
      </c>
      <c r="E18" s="129" t="s">
        <v>430</v>
      </c>
      <c r="F18" s="157">
        <v>471</v>
      </c>
      <c r="G18" s="157">
        <v>471</v>
      </c>
      <c r="H18" s="157">
        <v>0</v>
      </c>
      <c r="I18" s="157">
        <v>0</v>
      </c>
      <c r="J18" s="129"/>
      <c r="K18" s="129" t="s">
        <v>49</v>
      </c>
      <c r="L18" s="129" t="s">
        <v>39</v>
      </c>
      <c r="M18" s="129" t="s">
        <v>40</v>
      </c>
      <c r="N18" s="129" t="s">
        <v>50</v>
      </c>
      <c r="O18" s="129" t="s">
        <v>415</v>
      </c>
      <c r="P18" s="129" t="s">
        <v>42</v>
      </c>
      <c r="Q18" s="129" t="s">
        <v>42</v>
      </c>
      <c r="R18" s="129" t="s">
        <v>428</v>
      </c>
      <c r="S18" s="129" t="s">
        <v>429</v>
      </c>
      <c r="T18" s="129" t="s">
        <v>418</v>
      </c>
    </row>
    <row r="19" spans="1:20" s="21" customFormat="1">
      <c r="A19" s="129" t="s">
        <v>51</v>
      </c>
      <c r="B19" s="129" t="s">
        <v>29</v>
      </c>
      <c r="C19" s="129" t="s">
        <v>34</v>
      </c>
      <c r="D19" s="129" t="s">
        <v>385</v>
      </c>
      <c r="E19" s="129" t="s">
        <v>422</v>
      </c>
      <c r="F19" s="157">
        <v>4675</v>
      </c>
      <c r="G19" s="157">
        <v>10</v>
      </c>
      <c r="H19" s="157">
        <v>4665</v>
      </c>
      <c r="I19" s="157">
        <v>99</v>
      </c>
      <c r="J19" s="129"/>
      <c r="K19" s="129" t="s">
        <v>49</v>
      </c>
      <c r="L19" s="129" t="s">
        <v>39</v>
      </c>
      <c r="M19" s="129" t="s">
        <v>40</v>
      </c>
      <c r="N19" s="129" t="s">
        <v>50</v>
      </c>
      <c r="O19" s="129" t="s">
        <v>415</v>
      </c>
      <c r="P19" s="129" t="s">
        <v>42</v>
      </c>
      <c r="Q19" s="129" t="s">
        <v>42</v>
      </c>
      <c r="R19" s="129" t="s">
        <v>431</v>
      </c>
      <c r="S19" s="129" t="s">
        <v>432</v>
      </c>
      <c r="T19" s="129" t="s">
        <v>418</v>
      </c>
    </row>
    <row r="20" spans="1:20" s="21" customFormat="1">
      <c r="A20" s="129" t="s">
        <v>51</v>
      </c>
      <c r="B20" s="129" t="s">
        <v>29</v>
      </c>
      <c r="C20" s="129" t="s">
        <v>34</v>
      </c>
      <c r="D20" s="129" t="s">
        <v>385</v>
      </c>
      <c r="E20" s="129" t="s">
        <v>430</v>
      </c>
      <c r="F20" s="157">
        <v>471</v>
      </c>
      <c r="G20" s="157">
        <v>461</v>
      </c>
      <c r="H20" s="157">
        <v>10</v>
      </c>
      <c r="I20" s="157">
        <v>2</v>
      </c>
      <c r="J20" s="129"/>
      <c r="K20" s="129" t="s">
        <v>49</v>
      </c>
      <c r="L20" s="129" t="s">
        <v>39</v>
      </c>
      <c r="M20" s="129" t="s">
        <v>40</v>
      </c>
      <c r="N20" s="129" t="s">
        <v>50</v>
      </c>
      <c r="O20" s="129" t="s">
        <v>415</v>
      </c>
      <c r="P20" s="129" t="s">
        <v>42</v>
      </c>
      <c r="Q20" s="129" t="s">
        <v>42</v>
      </c>
      <c r="R20" s="129" t="s">
        <v>431</v>
      </c>
      <c r="S20" s="129" t="s">
        <v>432</v>
      </c>
      <c r="T20" s="129" t="s">
        <v>418</v>
      </c>
    </row>
    <row r="21" spans="1:20" s="21" customFormat="1">
      <c r="A21" s="129" t="s">
        <v>51</v>
      </c>
      <c r="B21" s="129" t="s">
        <v>29</v>
      </c>
      <c r="C21" s="129" t="s">
        <v>34</v>
      </c>
      <c r="D21" s="129" t="s">
        <v>403</v>
      </c>
      <c r="E21" s="129" t="s">
        <v>433</v>
      </c>
      <c r="F21" s="157">
        <v>503834</v>
      </c>
      <c r="G21" s="157">
        <v>177</v>
      </c>
      <c r="H21" s="157">
        <v>503657</v>
      </c>
      <c r="I21" s="157">
        <v>99</v>
      </c>
      <c r="J21" s="129"/>
      <c r="K21" s="129" t="s">
        <v>49</v>
      </c>
      <c r="L21" s="129" t="s">
        <v>39</v>
      </c>
      <c r="M21" s="129" t="s">
        <v>40</v>
      </c>
      <c r="N21" s="129" t="s">
        <v>50</v>
      </c>
      <c r="O21" s="129" t="s">
        <v>415</v>
      </c>
      <c r="P21" s="129" t="s">
        <v>42</v>
      </c>
      <c r="Q21" s="129" t="s">
        <v>42</v>
      </c>
      <c r="R21" s="129" t="s">
        <v>431</v>
      </c>
      <c r="S21" s="129" t="s">
        <v>432</v>
      </c>
      <c r="T21" s="129" t="s">
        <v>418</v>
      </c>
    </row>
    <row r="22" spans="1:20" s="21" customFormat="1">
      <c r="A22" s="129" t="s">
        <v>51</v>
      </c>
      <c r="B22" s="129" t="s">
        <v>29</v>
      </c>
      <c r="C22" s="129" t="s">
        <v>34</v>
      </c>
      <c r="D22" s="129" t="s">
        <v>385</v>
      </c>
      <c r="E22" s="129" t="s">
        <v>421</v>
      </c>
      <c r="F22" s="157">
        <v>9482</v>
      </c>
      <c r="G22" s="157">
        <v>6317</v>
      </c>
      <c r="H22" s="157">
        <v>3165</v>
      </c>
      <c r="I22" s="157">
        <v>33</v>
      </c>
      <c r="J22" s="129"/>
      <c r="K22" s="129" t="s">
        <v>49</v>
      </c>
      <c r="L22" s="129" t="s">
        <v>39</v>
      </c>
      <c r="M22" s="129" t="s">
        <v>40</v>
      </c>
      <c r="N22" s="129" t="s">
        <v>50</v>
      </c>
      <c r="O22" s="129" t="s">
        <v>415</v>
      </c>
      <c r="P22" s="129" t="s">
        <v>42</v>
      </c>
      <c r="Q22" s="129" t="s">
        <v>42</v>
      </c>
      <c r="R22" s="129" t="s">
        <v>431</v>
      </c>
      <c r="S22" s="129" t="s">
        <v>432</v>
      </c>
      <c r="T22" s="129" t="s">
        <v>418</v>
      </c>
    </row>
    <row r="23" spans="1:20" s="21" customFormat="1">
      <c r="A23" s="129" t="s">
        <v>51</v>
      </c>
      <c r="B23" s="129" t="s">
        <v>29</v>
      </c>
      <c r="C23" s="129" t="s">
        <v>34</v>
      </c>
      <c r="D23" s="129" t="s">
        <v>385</v>
      </c>
      <c r="E23" s="129" t="s">
        <v>420</v>
      </c>
      <c r="F23" s="157">
        <v>19093</v>
      </c>
      <c r="G23" s="157">
        <v>44</v>
      </c>
      <c r="H23" s="157">
        <v>19049</v>
      </c>
      <c r="I23" s="157">
        <v>99</v>
      </c>
      <c r="J23" s="129"/>
      <c r="K23" s="129" t="s">
        <v>49</v>
      </c>
      <c r="L23" s="129" t="s">
        <v>39</v>
      </c>
      <c r="M23" s="129" t="s">
        <v>40</v>
      </c>
      <c r="N23" s="129" t="s">
        <v>50</v>
      </c>
      <c r="O23" s="129" t="s">
        <v>415</v>
      </c>
      <c r="P23" s="129" t="s">
        <v>42</v>
      </c>
      <c r="Q23" s="129" t="s">
        <v>42</v>
      </c>
      <c r="R23" s="129" t="s">
        <v>431</v>
      </c>
      <c r="S23" s="129" t="s">
        <v>432</v>
      </c>
      <c r="T23" s="129" t="s">
        <v>418</v>
      </c>
    </row>
    <row r="24" spans="1:20" s="21" customFormat="1">
      <c r="A24" s="129" t="s">
        <v>51</v>
      </c>
      <c r="B24" s="129" t="s">
        <v>29</v>
      </c>
      <c r="C24" s="129" t="s">
        <v>34</v>
      </c>
      <c r="D24" s="129" t="s">
        <v>385</v>
      </c>
      <c r="E24" s="129" t="s">
        <v>414</v>
      </c>
      <c r="F24" s="157">
        <v>65535</v>
      </c>
      <c r="G24" s="157">
        <v>5420</v>
      </c>
      <c r="H24" s="157">
        <v>60115</v>
      </c>
      <c r="I24" s="157">
        <v>91</v>
      </c>
      <c r="J24" s="129"/>
      <c r="K24" s="129" t="s">
        <v>49</v>
      </c>
      <c r="L24" s="129" t="s">
        <v>39</v>
      </c>
      <c r="M24" s="129" t="s">
        <v>40</v>
      </c>
      <c r="N24" s="129" t="s">
        <v>50</v>
      </c>
      <c r="O24" s="129" t="s">
        <v>415</v>
      </c>
      <c r="P24" s="129" t="s">
        <v>42</v>
      </c>
      <c r="Q24" s="129" t="s">
        <v>42</v>
      </c>
      <c r="R24" s="129" t="s">
        <v>431</v>
      </c>
      <c r="S24" s="129" t="s">
        <v>432</v>
      </c>
      <c r="T24" s="129" t="s">
        <v>418</v>
      </c>
    </row>
    <row r="25" spans="1:20" s="21" customFormat="1">
      <c r="A25" s="129" t="s">
        <v>54</v>
      </c>
      <c r="B25" s="129" t="s">
        <v>29</v>
      </c>
      <c r="C25" s="129" t="s">
        <v>34</v>
      </c>
      <c r="D25" s="129" t="s">
        <v>385</v>
      </c>
      <c r="E25" s="129" t="s">
        <v>430</v>
      </c>
      <c r="F25" s="157">
        <v>471</v>
      </c>
      <c r="G25" s="157">
        <v>468</v>
      </c>
      <c r="H25" s="157">
        <v>3</v>
      </c>
      <c r="I25" s="157">
        <v>0</v>
      </c>
      <c r="J25" s="129"/>
      <c r="K25" s="129" t="s">
        <v>49</v>
      </c>
      <c r="L25" s="129" t="s">
        <v>39</v>
      </c>
      <c r="M25" s="129" t="s">
        <v>40</v>
      </c>
      <c r="N25" s="129" t="s">
        <v>50</v>
      </c>
      <c r="O25" s="129" t="s">
        <v>415</v>
      </c>
      <c r="P25" s="129" t="s">
        <v>42</v>
      </c>
      <c r="Q25" s="129" t="s">
        <v>42</v>
      </c>
      <c r="R25" s="129" t="s">
        <v>434</v>
      </c>
      <c r="S25" s="129" t="s">
        <v>435</v>
      </c>
      <c r="T25" s="129" t="s">
        <v>418</v>
      </c>
    </row>
    <row r="26" spans="1:20" s="21" customFormat="1">
      <c r="A26" s="129" t="s">
        <v>54</v>
      </c>
      <c r="B26" s="129" t="s">
        <v>29</v>
      </c>
      <c r="C26" s="129" t="s">
        <v>34</v>
      </c>
      <c r="D26" s="129" t="s">
        <v>385</v>
      </c>
      <c r="E26" s="129" t="s">
        <v>422</v>
      </c>
      <c r="F26" s="157">
        <v>4675</v>
      </c>
      <c r="G26" s="157">
        <v>10</v>
      </c>
      <c r="H26" s="157">
        <v>4665</v>
      </c>
      <c r="I26" s="157">
        <v>99</v>
      </c>
      <c r="J26" s="129"/>
      <c r="K26" s="129" t="s">
        <v>49</v>
      </c>
      <c r="L26" s="129" t="s">
        <v>39</v>
      </c>
      <c r="M26" s="129" t="s">
        <v>40</v>
      </c>
      <c r="N26" s="129" t="s">
        <v>50</v>
      </c>
      <c r="O26" s="129" t="s">
        <v>415</v>
      </c>
      <c r="P26" s="129" t="s">
        <v>42</v>
      </c>
      <c r="Q26" s="129" t="s">
        <v>42</v>
      </c>
      <c r="R26" s="129" t="s">
        <v>434</v>
      </c>
      <c r="S26" s="129" t="s">
        <v>435</v>
      </c>
      <c r="T26" s="129" t="s">
        <v>418</v>
      </c>
    </row>
    <row r="27" spans="1:20" s="21" customFormat="1">
      <c r="A27" s="129" t="s">
        <v>54</v>
      </c>
      <c r="B27" s="129" t="s">
        <v>29</v>
      </c>
      <c r="C27" s="129" t="s">
        <v>34</v>
      </c>
      <c r="D27" s="129" t="s">
        <v>403</v>
      </c>
      <c r="E27" s="129" t="s">
        <v>433</v>
      </c>
      <c r="F27" s="157">
        <v>503834</v>
      </c>
      <c r="G27" s="157">
        <v>202</v>
      </c>
      <c r="H27" s="157">
        <v>503632</v>
      </c>
      <c r="I27" s="157">
        <v>99</v>
      </c>
      <c r="J27" s="129"/>
      <c r="K27" s="129" t="s">
        <v>49</v>
      </c>
      <c r="L27" s="129" t="s">
        <v>39</v>
      </c>
      <c r="M27" s="129" t="s">
        <v>40</v>
      </c>
      <c r="N27" s="129" t="s">
        <v>50</v>
      </c>
      <c r="O27" s="129" t="s">
        <v>415</v>
      </c>
      <c r="P27" s="129" t="s">
        <v>42</v>
      </c>
      <c r="Q27" s="129" t="s">
        <v>42</v>
      </c>
      <c r="R27" s="129" t="s">
        <v>434</v>
      </c>
      <c r="S27" s="129" t="s">
        <v>435</v>
      </c>
      <c r="T27" s="129" t="s">
        <v>418</v>
      </c>
    </row>
    <row r="28" spans="1:20" s="21" customFormat="1">
      <c r="A28" s="129" t="s">
        <v>54</v>
      </c>
      <c r="B28" s="129" t="s">
        <v>29</v>
      </c>
      <c r="C28" s="129" t="s">
        <v>34</v>
      </c>
      <c r="D28" s="129" t="s">
        <v>385</v>
      </c>
      <c r="E28" s="129" t="s">
        <v>421</v>
      </c>
      <c r="F28" s="157">
        <v>9482</v>
      </c>
      <c r="G28" s="157">
        <v>9282</v>
      </c>
      <c r="H28" s="157">
        <v>200</v>
      </c>
      <c r="I28" s="157">
        <v>2</v>
      </c>
      <c r="J28" s="129"/>
      <c r="K28" s="129" t="s">
        <v>49</v>
      </c>
      <c r="L28" s="129" t="s">
        <v>39</v>
      </c>
      <c r="M28" s="129" t="s">
        <v>40</v>
      </c>
      <c r="N28" s="129" t="s">
        <v>50</v>
      </c>
      <c r="O28" s="129" t="s">
        <v>415</v>
      </c>
      <c r="P28" s="129" t="s">
        <v>42</v>
      </c>
      <c r="Q28" s="129" t="s">
        <v>42</v>
      </c>
      <c r="R28" s="129" t="s">
        <v>434</v>
      </c>
      <c r="S28" s="129" t="s">
        <v>435</v>
      </c>
      <c r="T28" s="129" t="s">
        <v>418</v>
      </c>
    </row>
    <row r="29" spans="1:20" s="21" customFormat="1">
      <c r="A29" s="129" t="s">
        <v>54</v>
      </c>
      <c r="B29" s="129" t="s">
        <v>29</v>
      </c>
      <c r="C29" s="129" t="s">
        <v>34</v>
      </c>
      <c r="D29" s="129" t="s">
        <v>385</v>
      </c>
      <c r="E29" s="129" t="s">
        <v>420</v>
      </c>
      <c r="F29" s="157">
        <v>19093</v>
      </c>
      <c r="G29" s="157">
        <v>44</v>
      </c>
      <c r="H29" s="157">
        <v>19049</v>
      </c>
      <c r="I29" s="157">
        <v>99</v>
      </c>
      <c r="J29" s="129"/>
      <c r="K29" s="129" t="s">
        <v>49</v>
      </c>
      <c r="L29" s="129" t="s">
        <v>39</v>
      </c>
      <c r="M29" s="129" t="s">
        <v>40</v>
      </c>
      <c r="N29" s="129" t="s">
        <v>50</v>
      </c>
      <c r="O29" s="129" t="s">
        <v>415</v>
      </c>
      <c r="P29" s="129" t="s">
        <v>42</v>
      </c>
      <c r="Q29" s="129" t="s">
        <v>42</v>
      </c>
      <c r="R29" s="129" t="s">
        <v>434</v>
      </c>
      <c r="S29" s="129" t="s">
        <v>435</v>
      </c>
      <c r="T29" s="129" t="s">
        <v>418</v>
      </c>
    </row>
    <row r="30" spans="1:20" s="21" customFormat="1">
      <c r="A30" s="129" t="s">
        <v>54</v>
      </c>
      <c r="B30" s="129" t="s">
        <v>29</v>
      </c>
      <c r="C30" s="129" t="s">
        <v>34</v>
      </c>
      <c r="D30" s="129" t="s">
        <v>385</v>
      </c>
      <c r="E30" s="129" t="s">
        <v>414</v>
      </c>
      <c r="F30" s="157">
        <v>65535</v>
      </c>
      <c r="G30" s="157">
        <v>5890</v>
      </c>
      <c r="H30" s="157">
        <v>59645</v>
      </c>
      <c r="I30" s="157">
        <v>91</v>
      </c>
      <c r="J30" s="129"/>
      <c r="K30" s="129" t="s">
        <v>49</v>
      </c>
      <c r="L30" s="129" t="s">
        <v>39</v>
      </c>
      <c r="M30" s="129" t="s">
        <v>40</v>
      </c>
      <c r="N30" s="129" t="s">
        <v>50</v>
      </c>
      <c r="O30" s="129" t="s">
        <v>415</v>
      </c>
      <c r="P30" s="129" t="s">
        <v>42</v>
      </c>
      <c r="Q30" s="129" t="s">
        <v>42</v>
      </c>
      <c r="R30" s="129" t="s">
        <v>434</v>
      </c>
      <c r="S30" s="129" t="s">
        <v>435</v>
      </c>
      <c r="T30" s="129" t="s">
        <v>418</v>
      </c>
    </row>
    <row r="31" spans="1:20" s="21" customFormat="1">
      <c r="A31" s="129" t="s">
        <v>56</v>
      </c>
      <c r="B31" s="129" t="s">
        <v>29</v>
      </c>
      <c r="C31" s="129" t="s">
        <v>34</v>
      </c>
      <c r="D31" s="129" t="s">
        <v>385</v>
      </c>
      <c r="E31" s="129" t="s">
        <v>421</v>
      </c>
      <c r="F31" s="157">
        <v>9482</v>
      </c>
      <c r="G31" s="157">
        <v>4819</v>
      </c>
      <c r="H31" s="157">
        <v>4663</v>
      </c>
      <c r="I31" s="157">
        <v>49</v>
      </c>
      <c r="J31" s="129"/>
      <c r="K31" s="129" t="s">
        <v>49</v>
      </c>
      <c r="L31" s="129" t="s">
        <v>39</v>
      </c>
      <c r="M31" s="129" t="s">
        <v>40</v>
      </c>
      <c r="N31" s="129" t="s">
        <v>50</v>
      </c>
      <c r="O31" s="129" t="s">
        <v>415</v>
      </c>
      <c r="P31" s="129" t="s">
        <v>42</v>
      </c>
      <c r="Q31" s="129" t="s">
        <v>42</v>
      </c>
      <c r="R31" s="129" t="s">
        <v>436</v>
      </c>
      <c r="S31" s="129" t="s">
        <v>437</v>
      </c>
      <c r="T31" s="129" t="s">
        <v>418</v>
      </c>
    </row>
    <row r="32" spans="1:20" s="21" customFormat="1">
      <c r="A32" s="129" t="s">
        <v>56</v>
      </c>
      <c r="B32" s="129" t="s">
        <v>29</v>
      </c>
      <c r="C32" s="129" t="s">
        <v>34</v>
      </c>
      <c r="D32" s="129" t="s">
        <v>403</v>
      </c>
      <c r="E32" s="129" t="s">
        <v>433</v>
      </c>
      <c r="F32" s="157">
        <v>503834</v>
      </c>
      <c r="G32" s="157">
        <v>177</v>
      </c>
      <c r="H32" s="157">
        <v>503657</v>
      </c>
      <c r="I32" s="157">
        <v>99</v>
      </c>
      <c r="J32" s="129"/>
      <c r="K32" s="129" t="s">
        <v>49</v>
      </c>
      <c r="L32" s="129" t="s">
        <v>39</v>
      </c>
      <c r="M32" s="129" t="s">
        <v>40</v>
      </c>
      <c r="N32" s="129" t="s">
        <v>50</v>
      </c>
      <c r="O32" s="129" t="s">
        <v>415</v>
      </c>
      <c r="P32" s="129" t="s">
        <v>42</v>
      </c>
      <c r="Q32" s="129" t="s">
        <v>42</v>
      </c>
      <c r="R32" s="129" t="s">
        <v>436</v>
      </c>
      <c r="S32" s="129" t="s">
        <v>437</v>
      </c>
      <c r="T32" s="129" t="s">
        <v>418</v>
      </c>
    </row>
    <row r="33" spans="1:20" s="21" customFormat="1">
      <c r="A33" s="129" t="s">
        <v>56</v>
      </c>
      <c r="B33" s="129" t="s">
        <v>29</v>
      </c>
      <c r="C33" s="129" t="s">
        <v>34</v>
      </c>
      <c r="D33" s="129" t="s">
        <v>385</v>
      </c>
      <c r="E33" s="129" t="s">
        <v>420</v>
      </c>
      <c r="F33" s="157">
        <v>19093</v>
      </c>
      <c r="G33" s="157">
        <v>44</v>
      </c>
      <c r="H33" s="157">
        <v>19049</v>
      </c>
      <c r="I33" s="157">
        <v>99</v>
      </c>
      <c r="J33" s="129"/>
      <c r="K33" s="129" t="s">
        <v>49</v>
      </c>
      <c r="L33" s="129" t="s">
        <v>39</v>
      </c>
      <c r="M33" s="129" t="s">
        <v>40</v>
      </c>
      <c r="N33" s="129" t="s">
        <v>50</v>
      </c>
      <c r="O33" s="129" t="s">
        <v>415</v>
      </c>
      <c r="P33" s="129" t="s">
        <v>42</v>
      </c>
      <c r="Q33" s="129" t="s">
        <v>42</v>
      </c>
      <c r="R33" s="129" t="s">
        <v>436</v>
      </c>
      <c r="S33" s="129" t="s">
        <v>437</v>
      </c>
      <c r="T33" s="129" t="s">
        <v>418</v>
      </c>
    </row>
    <row r="34" spans="1:20" s="21" customFormat="1">
      <c r="A34" s="129" t="s">
        <v>56</v>
      </c>
      <c r="B34" s="129" t="s">
        <v>29</v>
      </c>
      <c r="C34" s="129" t="s">
        <v>34</v>
      </c>
      <c r="D34" s="129" t="s">
        <v>385</v>
      </c>
      <c r="E34" s="129" t="s">
        <v>422</v>
      </c>
      <c r="F34" s="157">
        <v>4675</v>
      </c>
      <c r="G34" s="157">
        <v>10</v>
      </c>
      <c r="H34" s="157">
        <v>4665</v>
      </c>
      <c r="I34" s="157">
        <v>99</v>
      </c>
      <c r="J34" s="129"/>
      <c r="K34" s="129" t="s">
        <v>49</v>
      </c>
      <c r="L34" s="129" t="s">
        <v>39</v>
      </c>
      <c r="M34" s="129" t="s">
        <v>40</v>
      </c>
      <c r="N34" s="129" t="s">
        <v>50</v>
      </c>
      <c r="O34" s="129" t="s">
        <v>415</v>
      </c>
      <c r="P34" s="129" t="s">
        <v>42</v>
      </c>
      <c r="Q34" s="129" t="s">
        <v>42</v>
      </c>
      <c r="R34" s="129" t="s">
        <v>436</v>
      </c>
      <c r="S34" s="129" t="s">
        <v>437</v>
      </c>
      <c r="T34" s="129" t="s">
        <v>418</v>
      </c>
    </row>
    <row r="35" spans="1:20" s="21" customFormat="1">
      <c r="A35" s="129" t="s">
        <v>56</v>
      </c>
      <c r="B35" s="129" t="s">
        <v>29</v>
      </c>
      <c r="C35" s="129" t="s">
        <v>34</v>
      </c>
      <c r="D35" s="129" t="s">
        <v>385</v>
      </c>
      <c r="E35" s="129" t="s">
        <v>430</v>
      </c>
      <c r="F35" s="157">
        <v>471</v>
      </c>
      <c r="G35" s="157">
        <v>466</v>
      </c>
      <c r="H35" s="157">
        <v>5</v>
      </c>
      <c r="I35" s="157">
        <v>1</v>
      </c>
      <c r="J35" s="129"/>
      <c r="K35" s="129" t="s">
        <v>49</v>
      </c>
      <c r="L35" s="129" t="s">
        <v>39</v>
      </c>
      <c r="M35" s="129" t="s">
        <v>40</v>
      </c>
      <c r="N35" s="129" t="s">
        <v>50</v>
      </c>
      <c r="O35" s="129" t="s">
        <v>415</v>
      </c>
      <c r="P35" s="129" t="s">
        <v>42</v>
      </c>
      <c r="Q35" s="129" t="s">
        <v>42</v>
      </c>
      <c r="R35" s="129" t="s">
        <v>436</v>
      </c>
      <c r="S35" s="129" t="s">
        <v>437</v>
      </c>
      <c r="T35" s="129" t="s">
        <v>418</v>
      </c>
    </row>
    <row r="36" spans="1:20" s="21" customFormat="1">
      <c r="A36" s="129" t="s">
        <v>56</v>
      </c>
      <c r="B36" s="129" t="s">
        <v>29</v>
      </c>
      <c r="C36" s="129" t="s">
        <v>34</v>
      </c>
      <c r="D36" s="129" t="s">
        <v>385</v>
      </c>
      <c r="E36" s="129" t="s">
        <v>414</v>
      </c>
      <c r="F36" s="157">
        <v>65535</v>
      </c>
      <c r="G36" s="157">
        <v>5986</v>
      </c>
      <c r="H36" s="157">
        <v>59549</v>
      </c>
      <c r="I36" s="157">
        <v>90</v>
      </c>
      <c r="J36" s="129"/>
      <c r="K36" s="129" t="s">
        <v>49</v>
      </c>
      <c r="L36" s="129" t="s">
        <v>39</v>
      </c>
      <c r="M36" s="129" t="s">
        <v>40</v>
      </c>
      <c r="N36" s="129" t="s">
        <v>50</v>
      </c>
      <c r="O36" s="129" t="s">
        <v>415</v>
      </c>
      <c r="P36" s="129" t="s">
        <v>42</v>
      </c>
      <c r="Q36" s="129" t="s">
        <v>42</v>
      </c>
      <c r="R36" s="129" t="s">
        <v>436</v>
      </c>
      <c r="S36" s="129" t="s">
        <v>437</v>
      </c>
      <c r="T36" s="129" t="s">
        <v>418</v>
      </c>
    </row>
    <row r="37" spans="1:20" s="21" customFormat="1">
      <c r="A37" s="129" t="s">
        <v>58</v>
      </c>
      <c r="B37" s="129" t="s">
        <v>29</v>
      </c>
      <c r="C37" s="129" t="s">
        <v>34</v>
      </c>
      <c r="D37" s="129" t="s">
        <v>385</v>
      </c>
      <c r="E37" s="129" t="s">
        <v>420</v>
      </c>
      <c r="F37" s="157">
        <v>19093</v>
      </c>
      <c r="G37" s="157">
        <v>964</v>
      </c>
      <c r="H37" s="157">
        <v>18129</v>
      </c>
      <c r="I37" s="157">
        <v>94</v>
      </c>
      <c r="J37" s="129"/>
      <c r="K37" s="129"/>
      <c r="L37" s="129" t="s">
        <v>39</v>
      </c>
      <c r="M37" s="129" t="s">
        <v>40</v>
      </c>
      <c r="N37" s="129" t="s">
        <v>62</v>
      </c>
      <c r="O37" s="129" t="s">
        <v>438</v>
      </c>
      <c r="P37" s="129" t="s">
        <v>42</v>
      </c>
      <c r="Q37" s="129" t="s">
        <v>42</v>
      </c>
      <c r="R37" s="129" t="s">
        <v>439</v>
      </c>
      <c r="S37" s="129" t="s">
        <v>440</v>
      </c>
      <c r="T37" s="129" t="s">
        <v>418</v>
      </c>
    </row>
    <row r="38" spans="1:20" s="21" customFormat="1">
      <c r="A38" s="129" t="s">
        <v>58</v>
      </c>
      <c r="B38" s="129" t="s">
        <v>29</v>
      </c>
      <c r="C38" s="129" t="s">
        <v>34</v>
      </c>
      <c r="D38" s="129" t="s">
        <v>385</v>
      </c>
      <c r="E38" s="129" t="s">
        <v>421</v>
      </c>
      <c r="F38" s="157">
        <v>9482</v>
      </c>
      <c r="G38" s="157">
        <v>4323</v>
      </c>
      <c r="H38" s="157">
        <v>5159</v>
      </c>
      <c r="I38" s="157">
        <v>54</v>
      </c>
      <c r="J38" s="129"/>
      <c r="K38" s="129"/>
      <c r="L38" s="129" t="s">
        <v>39</v>
      </c>
      <c r="M38" s="129" t="s">
        <v>40</v>
      </c>
      <c r="N38" s="129" t="s">
        <v>62</v>
      </c>
      <c r="O38" s="129" t="s">
        <v>438</v>
      </c>
      <c r="P38" s="129" t="s">
        <v>42</v>
      </c>
      <c r="Q38" s="129" t="s">
        <v>42</v>
      </c>
      <c r="R38" s="129" t="s">
        <v>439</v>
      </c>
      <c r="S38" s="129" t="s">
        <v>440</v>
      </c>
      <c r="T38" s="129" t="s">
        <v>418</v>
      </c>
    </row>
    <row r="39" spans="1:20" s="21" customFormat="1">
      <c r="A39" s="129" t="s">
        <v>58</v>
      </c>
      <c r="B39" s="129" t="s">
        <v>29</v>
      </c>
      <c r="C39" s="129" t="s">
        <v>34</v>
      </c>
      <c r="D39" s="129" t="s">
        <v>403</v>
      </c>
      <c r="E39" s="129" t="s">
        <v>419</v>
      </c>
      <c r="F39" s="157">
        <v>503834</v>
      </c>
      <c r="G39" s="157">
        <v>486314</v>
      </c>
      <c r="H39" s="157">
        <v>17520</v>
      </c>
      <c r="I39" s="157">
        <v>3</v>
      </c>
      <c r="J39" s="129"/>
      <c r="K39" s="129"/>
      <c r="L39" s="129" t="s">
        <v>39</v>
      </c>
      <c r="M39" s="129" t="s">
        <v>40</v>
      </c>
      <c r="N39" s="129" t="s">
        <v>62</v>
      </c>
      <c r="O39" s="129" t="s">
        <v>438</v>
      </c>
      <c r="P39" s="129" t="s">
        <v>42</v>
      </c>
      <c r="Q39" s="129" t="s">
        <v>42</v>
      </c>
      <c r="R39" s="129" t="s">
        <v>439</v>
      </c>
      <c r="S39" s="129" t="s">
        <v>440</v>
      </c>
      <c r="T39" s="129" t="s">
        <v>418</v>
      </c>
    </row>
    <row r="40" spans="1:20" s="21" customFormat="1">
      <c r="A40" s="129" t="s">
        <v>58</v>
      </c>
      <c r="B40" s="129" t="s">
        <v>29</v>
      </c>
      <c r="C40" s="129" t="s">
        <v>34</v>
      </c>
      <c r="D40" s="129" t="s">
        <v>385</v>
      </c>
      <c r="E40" s="129" t="s">
        <v>430</v>
      </c>
      <c r="F40" s="157">
        <v>471</v>
      </c>
      <c r="G40" s="157">
        <v>464</v>
      </c>
      <c r="H40" s="157">
        <v>7</v>
      </c>
      <c r="I40" s="157">
        <v>1</v>
      </c>
      <c r="J40" s="129"/>
      <c r="K40" s="129"/>
      <c r="L40" s="129" t="s">
        <v>39</v>
      </c>
      <c r="M40" s="129" t="s">
        <v>40</v>
      </c>
      <c r="N40" s="129" t="s">
        <v>62</v>
      </c>
      <c r="O40" s="129" t="s">
        <v>438</v>
      </c>
      <c r="P40" s="129" t="s">
        <v>42</v>
      </c>
      <c r="Q40" s="129" t="s">
        <v>42</v>
      </c>
      <c r="R40" s="129" t="s">
        <v>439</v>
      </c>
      <c r="S40" s="129" t="s">
        <v>440</v>
      </c>
      <c r="T40" s="129" t="s">
        <v>418</v>
      </c>
    </row>
    <row r="41" spans="1:20" s="21" customFormat="1">
      <c r="A41" s="129" t="s">
        <v>58</v>
      </c>
      <c r="B41" s="129" t="s">
        <v>29</v>
      </c>
      <c r="C41" s="129" t="s">
        <v>34</v>
      </c>
      <c r="D41" s="129" t="s">
        <v>403</v>
      </c>
      <c r="E41" s="129" t="s">
        <v>426</v>
      </c>
      <c r="F41" s="157">
        <v>15994</v>
      </c>
      <c r="G41" s="157">
        <v>3798</v>
      </c>
      <c r="H41" s="157">
        <v>12196</v>
      </c>
      <c r="I41" s="157">
        <v>76</v>
      </c>
      <c r="J41" s="129"/>
      <c r="K41" s="129"/>
      <c r="L41" s="129" t="s">
        <v>39</v>
      </c>
      <c r="M41" s="129" t="s">
        <v>40</v>
      </c>
      <c r="N41" s="129" t="s">
        <v>62</v>
      </c>
      <c r="O41" s="129" t="s">
        <v>438</v>
      </c>
      <c r="P41" s="129" t="s">
        <v>42</v>
      </c>
      <c r="Q41" s="129" t="s">
        <v>42</v>
      </c>
      <c r="R41" s="129" t="s">
        <v>439</v>
      </c>
      <c r="S41" s="129" t="s">
        <v>440</v>
      </c>
      <c r="T41" s="129" t="s">
        <v>418</v>
      </c>
    </row>
    <row r="42" spans="1:20" s="21" customFormat="1">
      <c r="A42" s="129" t="s">
        <v>58</v>
      </c>
      <c r="B42" s="129" t="s">
        <v>29</v>
      </c>
      <c r="C42" s="129" t="s">
        <v>34</v>
      </c>
      <c r="D42" s="129" t="s">
        <v>385</v>
      </c>
      <c r="E42" s="129" t="s">
        <v>422</v>
      </c>
      <c r="F42" s="157">
        <v>4675</v>
      </c>
      <c r="G42" s="157">
        <v>1936</v>
      </c>
      <c r="H42" s="157">
        <v>2739</v>
      </c>
      <c r="I42" s="157">
        <v>58</v>
      </c>
      <c r="J42" s="129"/>
      <c r="K42" s="129"/>
      <c r="L42" s="129" t="s">
        <v>39</v>
      </c>
      <c r="M42" s="129" t="s">
        <v>40</v>
      </c>
      <c r="N42" s="129" t="s">
        <v>62</v>
      </c>
      <c r="O42" s="129" t="s">
        <v>438</v>
      </c>
      <c r="P42" s="129" t="s">
        <v>42</v>
      </c>
      <c r="Q42" s="129" t="s">
        <v>42</v>
      </c>
      <c r="R42" s="129" t="s">
        <v>439</v>
      </c>
      <c r="S42" s="129" t="s">
        <v>440</v>
      </c>
      <c r="T42" s="129" t="s">
        <v>418</v>
      </c>
    </row>
    <row r="43" spans="1:20" s="21" customFormat="1">
      <c r="A43" s="129" t="s">
        <v>58</v>
      </c>
      <c r="B43" s="129" t="s">
        <v>29</v>
      </c>
      <c r="C43" s="129" t="s">
        <v>34</v>
      </c>
      <c r="D43" s="129" t="s">
        <v>385</v>
      </c>
      <c r="E43" s="129" t="s">
        <v>414</v>
      </c>
      <c r="F43" s="157">
        <v>65535</v>
      </c>
      <c r="G43" s="157">
        <v>59184</v>
      </c>
      <c r="H43" s="157">
        <v>6351</v>
      </c>
      <c r="I43" s="157">
        <v>9</v>
      </c>
      <c r="J43" s="129"/>
      <c r="K43" s="129"/>
      <c r="L43" s="129" t="s">
        <v>39</v>
      </c>
      <c r="M43" s="129" t="s">
        <v>40</v>
      </c>
      <c r="N43" s="129" t="s">
        <v>62</v>
      </c>
      <c r="O43" s="129" t="s">
        <v>438</v>
      </c>
      <c r="P43" s="129" t="s">
        <v>42</v>
      </c>
      <c r="Q43" s="129" t="s">
        <v>42</v>
      </c>
      <c r="R43" s="129" t="s">
        <v>439</v>
      </c>
      <c r="S43" s="129" t="s">
        <v>440</v>
      </c>
      <c r="T43" s="129" t="s">
        <v>418</v>
      </c>
    </row>
    <row r="44" spans="1:20" s="21" customFormat="1">
      <c r="A44" s="129" t="s">
        <v>63</v>
      </c>
      <c r="B44" s="129" t="s">
        <v>29</v>
      </c>
      <c r="C44" s="129" t="s">
        <v>34</v>
      </c>
      <c r="D44" s="129" t="s">
        <v>385</v>
      </c>
      <c r="E44" s="129" t="s">
        <v>414</v>
      </c>
      <c r="F44" s="157">
        <v>65535</v>
      </c>
      <c r="G44" s="157">
        <v>10442</v>
      </c>
      <c r="H44" s="157">
        <v>55093</v>
      </c>
      <c r="I44" s="157">
        <v>84</v>
      </c>
      <c r="J44" s="129"/>
      <c r="K44" s="129"/>
      <c r="L44" s="129" t="s">
        <v>39</v>
      </c>
      <c r="M44" s="129" t="s">
        <v>40</v>
      </c>
      <c r="N44" s="129" t="s">
        <v>62</v>
      </c>
      <c r="O44" s="129" t="s">
        <v>438</v>
      </c>
      <c r="P44" s="129" t="s">
        <v>42</v>
      </c>
      <c r="Q44" s="129" t="s">
        <v>42</v>
      </c>
      <c r="R44" s="129" t="s">
        <v>441</v>
      </c>
      <c r="S44" s="129" t="s">
        <v>442</v>
      </c>
      <c r="T44" s="129" t="s">
        <v>418</v>
      </c>
    </row>
    <row r="45" spans="1:20" s="21" customFormat="1">
      <c r="A45" s="129" t="s">
        <v>63</v>
      </c>
      <c r="B45" s="129" t="s">
        <v>29</v>
      </c>
      <c r="C45" s="129" t="s">
        <v>34</v>
      </c>
      <c r="D45" s="129" t="s">
        <v>385</v>
      </c>
      <c r="E45" s="129" t="s">
        <v>430</v>
      </c>
      <c r="F45" s="157">
        <v>471</v>
      </c>
      <c r="G45" s="157">
        <v>468</v>
      </c>
      <c r="H45" s="157">
        <v>3</v>
      </c>
      <c r="I45" s="157">
        <v>0</v>
      </c>
      <c r="J45" s="129"/>
      <c r="K45" s="129"/>
      <c r="L45" s="129" t="s">
        <v>39</v>
      </c>
      <c r="M45" s="129" t="s">
        <v>40</v>
      </c>
      <c r="N45" s="129" t="s">
        <v>62</v>
      </c>
      <c r="O45" s="129" t="s">
        <v>438</v>
      </c>
      <c r="P45" s="129" t="s">
        <v>42</v>
      </c>
      <c r="Q45" s="129" t="s">
        <v>42</v>
      </c>
      <c r="R45" s="129" t="s">
        <v>441</v>
      </c>
      <c r="S45" s="129" t="s">
        <v>442</v>
      </c>
      <c r="T45" s="129" t="s">
        <v>418</v>
      </c>
    </row>
    <row r="46" spans="1:20" s="21" customFormat="1">
      <c r="A46" s="129" t="s">
        <v>63</v>
      </c>
      <c r="B46" s="129" t="s">
        <v>29</v>
      </c>
      <c r="C46" s="129" t="s">
        <v>34</v>
      </c>
      <c r="D46" s="129" t="s">
        <v>385</v>
      </c>
      <c r="E46" s="129" t="s">
        <v>422</v>
      </c>
      <c r="F46" s="157">
        <v>4675</v>
      </c>
      <c r="G46" s="157">
        <v>38</v>
      </c>
      <c r="H46" s="157">
        <v>4637</v>
      </c>
      <c r="I46" s="157">
        <v>99</v>
      </c>
      <c r="J46" s="129"/>
      <c r="K46" s="129"/>
      <c r="L46" s="129" t="s">
        <v>39</v>
      </c>
      <c r="M46" s="129" t="s">
        <v>40</v>
      </c>
      <c r="N46" s="129" t="s">
        <v>62</v>
      </c>
      <c r="O46" s="129" t="s">
        <v>438</v>
      </c>
      <c r="P46" s="129" t="s">
        <v>42</v>
      </c>
      <c r="Q46" s="129" t="s">
        <v>42</v>
      </c>
      <c r="R46" s="129" t="s">
        <v>441</v>
      </c>
      <c r="S46" s="129" t="s">
        <v>442</v>
      </c>
      <c r="T46" s="129" t="s">
        <v>418</v>
      </c>
    </row>
    <row r="47" spans="1:20" s="21" customFormat="1">
      <c r="A47" s="129" t="s">
        <v>63</v>
      </c>
      <c r="B47" s="129" t="s">
        <v>29</v>
      </c>
      <c r="C47" s="129" t="s">
        <v>34</v>
      </c>
      <c r="D47" s="129" t="s">
        <v>403</v>
      </c>
      <c r="E47" s="129" t="s">
        <v>419</v>
      </c>
      <c r="F47" s="157">
        <v>503834</v>
      </c>
      <c r="G47" s="157">
        <v>410103</v>
      </c>
      <c r="H47" s="157">
        <v>93731</v>
      </c>
      <c r="I47" s="157">
        <v>18</v>
      </c>
      <c r="J47" s="129"/>
      <c r="K47" s="129"/>
      <c r="L47" s="129" t="s">
        <v>39</v>
      </c>
      <c r="M47" s="129" t="s">
        <v>40</v>
      </c>
      <c r="N47" s="129" t="s">
        <v>62</v>
      </c>
      <c r="O47" s="129" t="s">
        <v>438</v>
      </c>
      <c r="P47" s="129" t="s">
        <v>42</v>
      </c>
      <c r="Q47" s="129" t="s">
        <v>42</v>
      </c>
      <c r="R47" s="129" t="s">
        <v>441</v>
      </c>
      <c r="S47" s="129" t="s">
        <v>442</v>
      </c>
      <c r="T47" s="129" t="s">
        <v>418</v>
      </c>
    </row>
    <row r="48" spans="1:20" s="21" customFormat="1">
      <c r="A48" s="129" t="s">
        <v>63</v>
      </c>
      <c r="B48" s="129" t="s">
        <v>29</v>
      </c>
      <c r="C48" s="129" t="s">
        <v>34</v>
      </c>
      <c r="D48" s="129" t="s">
        <v>403</v>
      </c>
      <c r="E48" s="129" t="s">
        <v>426</v>
      </c>
      <c r="F48" s="157">
        <v>15994</v>
      </c>
      <c r="G48" s="157">
        <v>14314</v>
      </c>
      <c r="H48" s="157">
        <v>1680</v>
      </c>
      <c r="I48" s="157">
        <v>10</v>
      </c>
      <c r="J48" s="129"/>
      <c r="K48" s="129"/>
      <c r="L48" s="129" t="s">
        <v>39</v>
      </c>
      <c r="M48" s="129" t="s">
        <v>40</v>
      </c>
      <c r="N48" s="129" t="s">
        <v>62</v>
      </c>
      <c r="O48" s="129" t="s">
        <v>438</v>
      </c>
      <c r="P48" s="129" t="s">
        <v>42</v>
      </c>
      <c r="Q48" s="129" t="s">
        <v>42</v>
      </c>
      <c r="R48" s="129" t="s">
        <v>441</v>
      </c>
      <c r="S48" s="129" t="s">
        <v>442</v>
      </c>
      <c r="T48" s="129" t="s">
        <v>418</v>
      </c>
    </row>
    <row r="49" spans="1:20" s="21" customFormat="1">
      <c r="A49" s="129" t="s">
        <v>63</v>
      </c>
      <c r="B49" s="129" t="s">
        <v>29</v>
      </c>
      <c r="C49" s="129" t="s">
        <v>34</v>
      </c>
      <c r="D49" s="129" t="s">
        <v>385</v>
      </c>
      <c r="E49" s="129" t="s">
        <v>420</v>
      </c>
      <c r="F49" s="157">
        <v>19093</v>
      </c>
      <c r="G49" s="157">
        <v>48</v>
      </c>
      <c r="H49" s="157">
        <v>19045</v>
      </c>
      <c r="I49" s="157">
        <v>99</v>
      </c>
      <c r="J49" s="129"/>
      <c r="K49" s="129"/>
      <c r="L49" s="129" t="s">
        <v>39</v>
      </c>
      <c r="M49" s="129" t="s">
        <v>40</v>
      </c>
      <c r="N49" s="129" t="s">
        <v>62</v>
      </c>
      <c r="O49" s="129" t="s">
        <v>438</v>
      </c>
      <c r="P49" s="129" t="s">
        <v>42</v>
      </c>
      <c r="Q49" s="129" t="s">
        <v>42</v>
      </c>
      <c r="R49" s="129" t="s">
        <v>441</v>
      </c>
      <c r="S49" s="129" t="s">
        <v>442</v>
      </c>
      <c r="T49" s="129" t="s">
        <v>418</v>
      </c>
    </row>
    <row r="50" spans="1:20" s="21" customFormat="1">
      <c r="A50" s="129" t="s">
        <v>63</v>
      </c>
      <c r="B50" s="129" t="s">
        <v>29</v>
      </c>
      <c r="C50" s="129" t="s">
        <v>34</v>
      </c>
      <c r="D50" s="129" t="s">
        <v>385</v>
      </c>
      <c r="E50" s="129" t="s">
        <v>421</v>
      </c>
      <c r="F50" s="157">
        <v>9482</v>
      </c>
      <c r="G50" s="157">
        <v>5134</v>
      </c>
      <c r="H50" s="157">
        <v>4348</v>
      </c>
      <c r="I50" s="157">
        <v>45</v>
      </c>
      <c r="J50" s="129"/>
      <c r="K50" s="129"/>
      <c r="L50" s="129" t="s">
        <v>39</v>
      </c>
      <c r="M50" s="129" t="s">
        <v>40</v>
      </c>
      <c r="N50" s="129" t="s">
        <v>62</v>
      </c>
      <c r="O50" s="129" t="s">
        <v>438</v>
      </c>
      <c r="P50" s="129" t="s">
        <v>42</v>
      </c>
      <c r="Q50" s="129" t="s">
        <v>42</v>
      </c>
      <c r="R50" s="129" t="s">
        <v>441</v>
      </c>
      <c r="S50" s="129" t="s">
        <v>442</v>
      </c>
      <c r="T50" s="129" t="s">
        <v>418</v>
      </c>
    </row>
    <row r="51" spans="1:20" s="21" customFormat="1">
      <c r="A51" s="129" t="s">
        <v>66</v>
      </c>
      <c r="B51" s="129" t="s">
        <v>29</v>
      </c>
      <c r="C51" s="129" t="s">
        <v>34</v>
      </c>
      <c r="D51" s="129" t="s">
        <v>403</v>
      </c>
      <c r="E51" s="129" t="s">
        <v>426</v>
      </c>
      <c r="F51" s="157">
        <v>15994</v>
      </c>
      <c r="G51" s="157">
        <v>2344</v>
      </c>
      <c r="H51" s="157">
        <v>13650</v>
      </c>
      <c r="I51" s="157">
        <v>85</v>
      </c>
      <c r="J51" s="129"/>
      <c r="K51" s="129"/>
      <c r="L51" s="129" t="s">
        <v>39</v>
      </c>
      <c r="M51" s="129" t="s">
        <v>40</v>
      </c>
      <c r="N51" s="129" t="s">
        <v>62</v>
      </c>
      <c r="O51" s="129" t="s">
        <v>438</v>
      </c>
      <c r="P51" s="129" t="s">
        <v>42</v>
      </c>
      <c r="Q51" s="129" t="s">
        <v>42</v>
      </c>
      <c r="R51" s="129" t="s">
        <v>443</v>
      </c>
      <c r="S51" s="129" t="s">
        <v>444</v>
      </c>
      <c r="T51" s="129" t="s">
        <v>418</v>
      </c>
    </row>
    <row r="52" spans="1:20" s="21" customFormat="1">
      <c r="A52" s="129" t="s">
        <v>66</v>
      </c>
      <c r="B52" s="129" t="s">
        <v>29</v>
      </c>
      <c r="C52" s="129" t="s">
        <v>34</v>
      </c>
      <c r="D52" s="129" t="s">
        <v>403</v>
      </c>
      <c r="E52" s="129" t="s">
        <v>419</v>
      </c>
      <c r="F52" s="157">
        <v>503834</v>
      </c>
      <c r="G52" s="157">
        <v>503818</v>
      </c>
      <c r="H52" s="157">
        <v>16</v>
      </c>
      <c r="I52" s="157">
        <v>0</v>
      </c>
      <c r="J52" s="129"/>
      <c r="K52" s="129"/>
      <c r="L52" s="129" t="s">
        <v>39</v>
      </c>
      <c r="M52" s="129" t="s">
        <v>40</v>
      </c>
      <c r="N52" s="129" t="s">
        <v>62</v>
      </c>
      <c r="O52" s="129" t="s">
        <v>438</v>
      </c>
      <c r="P52" s="129" t="s">
        <v>42</v>
      </c>
      <c r="Q52" s="129" t="s">
        <v>42</v>
      </c>
      <c r="R52" s="129" t="s">
        <v>443</v>
      </c>
      <c r="S52" s="129" t="s">
        <v>444</v>
      </c>
      <c r="T52" s="129" t="s">
        <v>418</v>
      </c>
    </row>
    <row r="53" spans="1:20" s="21" customFormat="1">
      <c r="A53" s="129" t="s">
        <v>66</v>
      </c>
      <c r="B53" s="129" t="s">
        <v>29</v>
      </c>
      <c r="C53" s="129" t="s">
        <v>34</v>
      </c>
      <c r="D53" s="129" t="s">
        <v>385</v>
      </c>
      <c r="E53" s="129" t="s">
        <v>414</v>
      </c>
      <c r="F53" s="157">
        <v>65535</v>
      </c>
      <c r="G53" s="157">
        <v>7916</v>
      </c>
      <c r="H53" s="157">
        <v>57619</v>
      </c>
      <c r="I53" s="157">
        <v>87</v>
      </c>
      <c r="J53" s="129"/>
      <c r="K53" s="129"/>
      <c r="L53" s="129" t="s">
        <v>39</v>
      </c>
      <c r="M53" s="129" t="s">
        <v>40</v>
      </c>
      <c r="N53" s="129" t="s">
        <v>62</v>
      </c>
      <c r="O53" s="129" t="s">
        <v>438</v>
      </c>
      <c r="P53" s="129" t="s">
        <v>42</v>
      </c>
      <c r="Q53" s="129" t="s">
        <v>42</v>
      </c>
      <c r="R53" s="129" t="s">
        <v>443</v>
      </c>
      <c r="S53" s="129" t="s">
        <v>444</v>
      </c>
      <c r="T53" s="129" t="s">
        <v>418</v>
      </c>
    </row>
    <row r="54" spans="1:20" s="21" customFormat="1">
      <c r="A54" s="129" t="s">
        <v>66</v>
      </c>
      <c r="B54" s="129" t="s">
        <v>29</v>
      </c>
      <c r="C54" s="129" t="s">
        <v>34</v>
      </c>
      <c r="D54" s="129" t="s">
        <v>385</v>
      </c>
      <c r="E54" s="129" t="s">
        <v>422</v>
      </c>
      <c r="F54" s="157">
        <v>4675</v>
      </c>
      <c r="G54" s="157">
        <v>10</v>
      </c>
      <c r="H54" s="157">
        <v>4665</v>
      </c>
      <c r="I54" s="157">
        <v>99</v>
      </c>
      <c r="J54" s="129"/>
      <c r="K54" s="129"/>
      <c r="L54" s="129" t="s">
        <v>39</v>
      </c>
      <c r="M54" s="129" t="s">
        <v>40</v>
      </c>
      <c r="N54" s="129" t="s">
        <v>62</v>
      </c>
      <c r="O54" s="129" t="s">
        <v>438</v>
      </c>
      <c r="P54" s="129" t="s">
        <v>42</v>
      </c>
      <c r="Q54" s="129" t="s">
        <v>42</v>
      </c>
      <c r="R54" s="129" t="s">
        <v>443</v>
      </c>
      <c r="S54" s="129" t="s">
        <v>444</v>
      </c>
      <c r="T54" s="129" t="s">
        <v>418</v>
      </c>
    </row>
    <row r="55" spans="1:20" s="21" customFormat="1">
      <c r="A55" s="129" t="s">
        <v>66</v>
      </c>
      <c r="B55" s="129" t="s">
        <v>29</v>
      </c>
      <c r="C55" s="129" t="s">
        <v>34</v>
      </c>
      <c r="D55" s="129" t="s">
        <v>385</v>
      </c>
      <c r="E55" s="129" t="s">
        <v>421</v>
      </c>
      <c r="F55" s="157">
        <v>9482</v>
      </c>
      <c r="G55" s="157">
        <v>8978</v>
      </c>
      <c r="H55" s="157">
        <v>504</v>
      </c>
      <c r="I55" s="157">
        <v>5</v>
      </c>
      <c r="J55" s="129"/>
      <c r="K55" s="129"/>
      <c r="L55" s="129" t="s">
        <v>39</v>
      </c>
      <c r="M55" s="129" t="s">
        <v>40</v>
      </c>
      <c r="N55" s="129" t="s">
        <v>62</v>
      </c>
      <c r="O55" s="129" t="s">
        <v>438</v>
      </c>
      <c r="P55" s="129" t="s">
        <v>42</v>
      </c>
      <c r="Q55" s="129" t="s">
        <v>42</v>
      </c>
      <c r="R55" s="129" t="s">
        <v>443</v>
      </c>
      <c r="S55" s="129" t="s">
        <v>444</v>
      </c>
      <c r="T55" s="129" t="s">
        <v>418</v>
      </c>
    </row>
    <row r="56" spans="1:20" s="21" customFormat="1">
      <c r="A56" s="129" t="s">
        <v>66</v>
      </c>
      <c r="B56" s="129" t="s">
        <v>29</v>
      </c>
      <c r="C56" s="129" t="s">
        <v>34</v>
      </c>
      <c r="D56" s="129" t="s">
        <v>385</v>
      </c>
      <c r="E56" s="129" t="s">
        <v>420</v>
      </c>
      <c r="F56" s="157">
        <v>19093</v>
      </c>
      <c r="G56" s="157">
        <v>11043</v>
      </c>
      <c r="H56" s="157">
        <v>8050</v>
      </c>
      <c r="I56" s="157">
        <v>42</v>
      </c>
      <c r="J56" s="129"/>
      <c r="K56" s="129"/>
      <c r="L56" s="129" t="s">
        <v>39</v>
      </c>
      <c r="M56" s="129" t="s">
        <v>40</v>
      </c>
      <c r="N56" s="129" t="s">
        <v>62</v>
      </c>
      <c r="O56" s="129" t="s">
        <v>438</v>
      </c>
      <c r="P56" s="129" t="s">
        <v>42</v>
      </c>
      <c r="Q56" s="129" t="s">
        <v>42</v>
      </c>
      <c r="R56" s="129" t="s">
        <v>443</v>
      </c>
      <c r="S56" s="129" t="s">
        <v>444</v>
      </c>
      <c r="T56" s="129" t="s">
        <v>418</v>
      </c>
    </row>
    <row r="57" spans="1:20" s="21" customFormat="1">
      <c r="A57" s="129" t="s">
        <v>66</v>
      </c>
      <c r="B57" s="129" t="s">
        <v>29</v>
      </c>
      <c r="C57" s="129" t="s">
        <v>34</v>
      </c>
      <c r="D57" s="129" t="s">
        <v>385</v>
      </c>
      <c r="E57" s="129" t="s">
        <v>430</v>
      </c>
      <c r="F57" s="157">
        <v>471</v>
      </c>
      <c r="G57" s="157">
        <v>464</v>
      </c>
      <c r="H57" s="157">
        <v>7</v>
      </c>
      <c r="I57" s="157">
        <v>1</v>
      </c>
      <c r="J57" s="129"/>
      <c r="K57" s="129"/>
      <c r="L57" s="129" t="s">
        <v>39</v>
      </c>
      <c r="M57" s="129" t="s">
        <v>40</v>
      </c>
      <c r="N57" s="129" t="s">
        <v>62</v>
      </c>
      <c r="O57" s="129" t="s">
        <v>438</v>
      </c>
      <c r="P57" s="129" t="s">
        <v>42</v>
      </c>
      <c r="Q57" s="129" t="s">
        <v>42</v>
      </c>
      <c r="R57" s="129" t="s">
        <v>443</v>
      </c>
      <c r="S57" s="129" t="s">
        <v>444</v>
      </c>
      <c r="T57" s="129" t="s">
        <v>418</v>
      </c>
    </row>
    <row r="58" spans="1:20" s="21" customFormat="1">
      <c r="A58" s="129" t="s">
        <v>74</v>
      </c>
      <c r="B58" s="129" t="s">
        <v>29</v>
      </c>
      <c r="C58" s="129" t="s">
        <v>34</v>
      </c>
      <c r="D58" s="129" t="s">
        <v>385</v>
      </c>
      <c r="E58" s="129" t="s">
        <v>420</v>
      </c>
      <c r="F58" s="157">
        <v>20030</v>
      </c>
      <c r="G58" s="157">
        <v>11031</v>
      </c>
      <c r="H58" s="157">
        <v>8999</v>
      </c>
      <c r="I58" s="157">
        <v>44</v>
      </c>
      <c r="J58" s="129"/>
      <c r="K58" s="129"/>
      <c r="L58" s="129" t="s">
        <v>39</v>
      </c>
      <c r="M58" s="129" t="s">
        <v>40</v>
      </c>
      <c r="N58" s="129" t="s">
        <v>62</v>
      </c>
      <c r="O58" s="129" t="s">
        <v>438</v>
      </c>
      <c r="P58" s="129" t="s">
        <v>42</v>
      </c>
      <c r="Q58" s="129" t="s">
        <v>388</v>
      </c>
      <c r="R58" s="129" t="s">
        <v>445</v>
      </c>
      <c r="S58" s="129" t="s">
        <v>446</v>
      </c>
      <c r="T58" s="129" t="s">
        <v>418</v>
      </c>
    </row>
    <row r="59" spans="1:20" s="21" customFormat="1">
      <c r="A59" s="129" t="s">
        <v>74</v>
      </c>
      <c r="B59" s="129" t="s">
        <v>29</v>
      </c>
      <c r="C59" s="129" t="s">
        <v>34</v>
      </c>
      <c r="D59" s="129" t="s">
        <v>385</v>
      </c>
      <c r="E59" s="129" t="s">
        <v>421</v>
      </c>
      <c r="F59" s="157">
        <v>9259</v>
      </c>
      <c r="G59" s="157">
        <v>1408</v>
      </c>
      <c r="H59" s="157">
        <v>7851</v>
      </c>
      <c r="I59" s="157">
        <v>84</v>
      </c>
      <c r="J59" s="129"/>
      <c r="K59" s="129"/>
      <c r="L59" s="129" t="s">
        <v>39</v>
      </c>
      <c r="M59" s="129" t="s">
        <v>40</v>
      </c>
      <c r="N59" s="129" t="s">
        <v>62</v>
      </c>
      <c r="O59" s="129" t="s">
        <v>438</v>
      </c>
      <c r="P59" s="129" t="s">
        <v>42</v>
      </c>
      <c r="Q59" s="129" t="s">
        <v>388</v>
      </c>
      <c r="R59" s="129" t="s">
        <v>445</v>
      </c>
      <c r="S59" s="129" t="s">
        <v>446</v>
      </c>
      <c r="T59" s="129" t="s">
        <v>418</v>
      </c>
    </row>
    <row r="60" spans="1:20" s="21" customFormat="1">
      <c r="A60" s="129" t="s">
        <v>74</v>
      </c>
      <c r="B60" s="129" t="s">
        <v>29</v>
      </c>
      <c r="C60" s="129" t="s">
        <v>34</v>
      </c>
      <c r="D60" s="129" t="s">
        <v>403</v>
      </c>
      <c r="E60" s="129" t="s">
        <v>419</v>
      </c>
      <c r="F60" s="157">
        <v>100657</v>
      </c>
      <c r="G60" s="157">
        <v>542</v>
      </c>
      <c r="H60" s="157">
        <v>100115</v>
      </c>
      <c r="I60" s="157">
        <v>99</v>
      </c>
      <c r="J60" s="129"/>
      <c r="K60" s="129"/>
      <c r="L60" s="129" t="s">
        <v>39</v>
      </c>
      <c r="M60" s="129" t="s">
        <v>40</v>
      </c>
      <c r="N60" s="129" t="s">
        <v>62</v>
      </c>
      <c r="O60" s="129" t="s">
        <v>438</v>
      </c>
      <c r="P60" s="129" t="s">
        <v>42</v>
      </c>
      <c r="Q60" s="129" t="s">
        <v>388</v>
      </c>
      <c r="R60" s="129" t="s">
        <v>445</v>
      </c>
      <c r="S60" s="129" t="s">
        <v>446</v>
      </c>
      <c r="T60" s="129" t="s">
        <v>418</v>
      </c>
    </row>
    <row r="61" spans="1:20" s="21" customFormat="1">
      <c r="A61" s="129" t="s">
        <v>74</v>
      </c>
      <c r="B61" s="129" t="s">
        <v>29</v>
      </c>
      <c r="C61" s="129" t="s">
        <v>34</v>
      </c>
      <c r="D61" s="129" t="s">
        <v>385</v>
      </c>
      <c r="E61" s="129" t="s">
        <v>414</v>
      </c>
      <c r="F61" s="157">
        <v>28031</v>
      </c>
      <c r="G61" s="157">
        <v>2493</v>
      </c>
      <c r="H61" s="157">
        <v>25538</v>
      </c>
      <c r="I61" s="157">
        <v>91</v>
      </c>
      <c r="J61" s="129"/>
      <c r="K61" s="129"/>
      <c r="L61" s="129" t="s">
        <v>39</v>
      </c>
      <c r="M61" s="129" t="s">
        <v>40</v>
      </c>
      <c r="N61" s="129" t="s">
        <v>62</v>
      </c>
      <c r="O61" s="129" t="s">
        <v>438</v>
      </c>
      <c r="P61" s="129" t="s">
        <v>42</v>
      </c>
      <c r="Q61" s="129" t="s">
        <v>388</v>
      </c>
      <c r="R61" s="129" t="s">
        <v>445</v>
      </c>
      <c r="S61" s="129" t="s">
        <v>446</v>
      </c>
      <c r="T61" s="129" t="s">
        <v>418</v>
      </c>
    </row>
    <row r="62" spans="1:20" s="21" customFormat="1">
      <c r="A62" s="129" t="s">
        <v>74</v>
      </c>
      <c r="B62" s="129" t="s">
        <v>29</v>
      </c>
      <c r="C62" s="129" t="s">
        <v>34</v>
      </c>
      <c r="D62" s="129" t="s">
        <v>385</v>
      </c>
      <c r="E62" s="129" t="s">
        <v>422</v>
      </c>
      <c r="F62" s="157">
        <v>4911</v>
      </c>
      <c r="G62" s="157">
        <v>10</v>
      </c>
      <c r="H62" s="157">
        <v>4901</v>
      </c>
      <c r="I62" s="157">
        <v>99</v>
      </c>
      <c r="J62" s="129"/>
      <c r="K62" s="129"/>
      <c r="L62" s="129" t="s">
        <v>39</v>
      </c>
      <c r="M62" s="129" t="s">
        <v>40</v>
      </c>
      <c r="N62" s="129" t="s">
        <v>62</v>
      </c>
      <c r="O62" s="129" t="s">
        <v>438</v>
      </c>
      <c r="P62" s="129" t="s">
        <v>42</v>
      </c>
      <c r="Q62" s="129" t="s">
        <v>388</v>
      </c>
      <c r="R62" s="129" t="s">
        <v>445</v>
      </c>
      <c r="S62" s="129" t="s">
        <v>446</v>
      </c>
      <c r="T62" s="129" t="s">
        <v>418</v>
      </c>
    </row>
    <row r="63" spans="1:20" s="21" customFormat="1">
      <c r="A63" s="129" t="s">
        <v>74</v>
      </c>
      <c r="B63" s="129" t="s">
        <v>29</v>
      </c>
      <c r="C63" s="129" t="s">
        <v>34</v>
      </c>
      <c r="D63" s="129" t="s">
        <v>385</v>
      </c>
      <c r="E63" s="129" t="s">
        <v>423</v>
      </c>
      <c r="F63" s="157">
        <v>9950</v>
      </c>
      <c r="G63" s="157">
        <v>521</v>
      </c>
      <c r="H63" s="157">
        <v>9429</v>
      </c>
      <c r="I63" s="157">
        <v>94</v>
      </c>
      <c r="J63" s="129"/>
      <c r="K63" s="129"/>
      <c r="L63" s="129" t="s">
        <v>39</v>
      </c>
      <c r="M63" s="129" t="s">
        <v>40</v>
      </c>
      <c r="N63" s="129" t="s">
        <v>62</v>
      </c>
      <c r="O63" s="129" t="s">
        <v>438</v>
      </c>
      <c r="P63" s="129" t="s">
        <v>42</v>
      </c>
      <c r="Q63" s="129" t="s">
        <v>388</v>
      </c>
      <c r="R63" s="129" t="s">
        <v>445</v>
      </c>
      <c r="S63" s="129" t="s">
        <v>446</v>
      </c>
      <c r="T63" s="129" t="s">
        <v>418</v>
      </c>
    </row>
    <row r="64" spans="1:20" s="21" customFormat="1">
      <c r="A64" s="129" t="s">
        <v>79</v>
      </c>
      <c r="B64" s="129" t="s">
        <v>29</v>
      </c>
      <c r="C64" s="129" t="s">
        <v>34</v>
      </c>
      <c r="D64" s="129" t="s">
        <v>403</v>
      </c>
      <c r="E64" s="129" t="s">
        <v>426</v>
      </c>
      <c r="F64" s="157">
        <v>9951</v>
      </c>
      <c r="G64" s="157">
        <v>3710</v>
      </c>
      <c r="H64" s="157">
        <v>6241</v>
      </c>
      <c r="I64" s="157">
        <v>62</v>
      </c>
      <c r="J64" s="129"/>
      <c r="K64" s="129"/>
      <c r="L64" s="129" t="s">
        <v>39</v>
      </c>
      <c r="M64" s="129" t="s">
        <v>40</v>
      </c>
      <c r="N64" s="129" t="s">
        <v>62</v>
      </c>
      <c r="O64" s="129" t="s">
        <v>438</v>
      </c>
      <c r="P64" s="129" t="s">
        <v>42</v>
      </c>
      <c r="Q64" s="129" t="s">
        <v>42</v>
      </c>
      <c r="R64" s="129" t="s">
        <v>447</v>
      </c>
      <c r="S64" s="129" t="s">
        <v>448</v>
      </c>
      <c r="T64" s="129" t="s">
        <v>418</v>
      </c>
    </row>
    <row r="65" spans="1:20" s="21" customFormat="1">
      <c r="A65" s="129" t="s">
        <v>79</v>
      </c>
      <c r="B65" s="129" t="s">
        <v>29</v>
      </c>
      <c r="C65" s="129" t="s">
        <v>34</v>
      </c>
      <c r="D65" s="129" t="s">
        <v>385</v>
      </c>
      <c r="E65" s="129" t="s">
        <v>422</v>
      </c>
      <c r="F65" s="157">
        <v>4911</v>
      </c>
      <c r="G65" s="157">
        <v>10</v>
      </c>
      <c r="H65" s="157">
        <v>4901</v>
      </c>
      <c r="I65" s="157">
        <v>99</v>
      </c>
      <c r="J65" s="129"/>
      <c r="K65" s="129"/>
      <c r="L65" s="129" t="s">
        <v>39</v>
      </c>
      <c r="M65" s="129" t="s">
        <v>40</v>
      </c>
      <c r="N65" s="129" t="s">
        <v>62</v>
      </c>
      <c r="O65" s="129" t="s">
        <v>438</v>
      </c>
      <c r="P65" s="129" t="s">
        <v>42</v>
      </c>
      <c r="Q65" s="129" t="s">
        <v>42</v>
      </c>
      <c r="R65" s="129" t="s">
        <v>447</v>
      </c>
      <c r="S65" s="129" t="s">
        <v>448</v>
      </c>
      <c r="T65" s="129" t="s">
        <v>418</v>
      </c>
    </row>
    <row r="66" spans="1:20" s="21" customFormat="1">
      <c r="A66" s="129" t="s">
        <v>79</v>
      </c>
      <c r="B66" s="129" t="s">
        <v>29</v>
      </c>
      <c r="C66" s="129" t="s">
        <v>34</v>
      </c>
      <c r="D66" s="129" t="s">
        <v>385</v>
      </c>
      <c r="E66" s="129" t="s">
        <v>414</v>
      </c>
      <c r="F66" s="157">
        <v>28031</v>
      </c>
      <c r="G66" s="157">
        <v>7933</v>
      </c>
      <c r="H66" s="157">
        <v>20098</v>
      </c>
      <c r="I66" s="157">
        <v>71</v>
      </c>
      <c r="J66" s="129"/>
      <c r="K66" s="129"/>
      <c r="L66" s="129" t="s">
        <v>39</v>
      </c>
      <c r="M66" s="129" t="s">
        <v>40</v>
      </c>
      <c r="N66" s="129" t="s">
        <v>62</v>
      </c>
      <c r="O66" s="129" t="s">
        <v>438</v>
      </c>
      <c r="P66" s="129" t="s">
        <v>42</v>
      </c>
      <c r="Q66" s="129" t="s">
        <v>42</v>
      </c>
      <c r="R66" s="129" t="s">
        <v>447</v>
      </c>
      <c r="S66" s="129" t="s">
        <v>448</v>
      </c>
      <c r="T66" s="129" t="s">
        <v>418</v>
      </c>
    </row>
    <row r="67" spans="1:20" s="21" customFormat="1">
      <c r="A67" s="129" t="s">
        <v>79</v>
      </c>
      <c r="B67" s="129" t="s">
        <v>29</v>
      </c>
      <c r="C67" s="129" t="s">
        <v>34</v>
      </c>
      <c r="D67" s="129" t="s">
        <v>385</v>
      </c>
      <c r="E67" s="129" t="s">
        <v>421</v>
      </c>
      <c r="F67" s="157">
        <v>9259</v>
      </c>
      <c r="G67" s="157">
        <v>2279</v>
      </c>
      <c r="H67" s="157">
        <v>6980</v>
      </c>
      <c r="I67" s="157">
        <v>75</v>
      </c>
      <c r="J67" s="129"/>
      <c r="K67" s="129"/>
      <c r="L67" s="129" t="s">
        <v>39</v>
      </c>
      <c r="M67" s="129" t="s">
        <v>40</v>
      </c>
      <c r="N67" s="129" t="s">
        <v>62</v>
      </c>
      <c r="O67" s="129" t="s">
        <v>438</v>
      </c>
      <c r="P67" s="129" t="s">
        <v>42</v>
      </c>
      <c r="Q67" s="129" t="s">
        <v>42</v>
      </c>
      <c r="R67" s="129" t="s">
        <v>447</v>
      </c>
      <c r="S67" s="129" t="s">
        <v>448</v>
      </c>
      <c r="T67" s="129" t="s">
        <v>418</v>
      </c>
    </row>
    <row r="68" spans="1:20" s="21" customFormat="1">
      <c r="A68" s="129" t="s">
        <v>79</v>
      </c>
      <c r="B68" s="129" t="s">
        <v>29</v>
      </c>
      <c r="C68" s="129" t="s">
        <v>34</v>
      </c>
      <c r="D68" s="129" t="s">
        <v>385</v>
      </c>
      <c r="E68" s="129" t="s">
        <v>420</v>
      </c>
      <c r="F68" s="157">
        <v>18644</v>
      </c>
      <c r="G68" s="157">
        <v>3887</v>
      </c>
      <c r="H68" s="157">
        <v>14757</v>
      </c>
      <c r="I68" s="157">
        <v>79</v>
      </c>
      <c r="J68" s="129"/>
      <c r="K68" s="129"/>
      <c r="L68" s="129" t="s">
        <v>39</v>
      </c>
      <c r="M68" s="129" t="s">
        <v>40</v>
      </c>
      <c r="N68" s="129" t="s">
        <v>62</v>
      </c>
      <c r="O68" s="129" t="s">
        <v>438</v>
      </c>
      <c r="P68" s="129" t="s">
        <v>42</v>
      </c>
      <c r="Q68" s="129" t="s">
        <v>42</v>
      </c>
      <c r="R68" s="129" t="s">
        <v>447</v>
      </c>
      <c r="S68" s="129" t="s">
        <v>448</v>
      </c>
      <c r="T68" s="129" t="s">
        <v>418</v>
      </c>
    </row>
    <row r="69" spans="1:20" s="21" customFormat="1">
      <c r="A69" s="129" t="s">
        <v>79</v>
      </c>
      <c r="B69" s="129" t="s">
        <v>29</v>
      </c>
      <c r="C69" s="129" t="s">
        <v>34</v>
      </c>
      <c r="D69" s="129" t="s">
        <v>403</v>
      </c>
      <c r="E69" s="129" t="s">
        <v>419</v>
      </c>
      <c r="F69" s="157">
        <v>251851</v>
      </c>
      <c r="G69" s="157">
        <v>87062</v>
      </c>
      <c r="H69" s="157">
        <v>164789</v>
      </c>
      <c r="I69" s="157">
        <v>65</v>
      </c>
      <c r="J69" s="129"/>
      <c r="K69" s="129"/>
      <c r="L69" s="129" t="s">
        <v>39</v>
      </c>
      <c r="M69" s="129" t="s">
        <v>40</v>
      </c>
      <c r="N69" s="129" t="s">
        <v>62</v>
      </c>
      <c r="O69" s="129" t="s">
        <v>438</v>
      </c>
      <c r="P69" s="129" t="s">
        <v>42</v>
      </c>
      <c r="Q69" s="129" t="s">
        <v>42</v>
      </c>
      <c r="R69" s="129" t="s">
        <v>447</v>
      </c>
      <c r="S69" s="129" t="s">
        <v>448</v>
      </c>
      <c r="T69" s="129" t="s">
        <v>418</v>
      </c>
    </row>
    <row r="70" spans="1:20" s="21" customFormat="1">
      <c r="A70" s="129" t="s">
        <v>79</v>
      </c>
      <c r="B70" s="129" t="s">
        <v>29</v>
      </c>
      <c r="C70" s="129" t="s">
        <v>34</v>
      </c>
      <c r="D70" s="129" t="s">
        <v>385</v>
      </c>
      <c r="E70" s="129" t="s">
        <v>423</v>
      </c>
      <c r="F70" s="157">
        <v>9951</v>
      </c>
      <c r="G70" s="157">
        <v>5472</v>
      </c>
      <c r="H70" s="157">
        <v>4479</v>
      </c>
      <c r="I70" s="157">
        <v>45</v>
      </c>
      <c r="J70" s="129"/>
      <c r="K70" s="129"/>
      <c r="L70" s="129" t="s">
        <v>39</v>
      </c>
      <c r="M70" s="129" t="s">
        <v>40</v>
      </c>
      <c r="N70" s="129" t="s">
        <v>62</v>
      </c>
      <c r="O70" s="129" t="s">
        <v>438</v>
      </c>
      <c r="P70" s="129" t="s">
        <v>42</v>
      </c>
      <c r="Q70" s="129" t="s">
        <v>42</v>
      </c>
      <c r="R70" s="129" t="s">
        <v>447</v>
      </c>
      <c r="S70" s="129" t="s">
        <v>448</v>
      </c>
      <c r="T70" s="129" t="s">
        <v>418</v>
      </c>
    </row>
    <row r="71" spans="1:20" s="21" customFormat="1">
      <c r="A71" s="129" t="s">
        <v>82</v>
      </c>
      <c r="B71" s="129" t="s">
        <v>29</v>
      </c>
      <c r="C71" s="129" t="s">
        <v>34</v>
      </c>
      <c r="D71" s="129" t="s">
        <v>403</v>
      </c>
      <c r="E71" s="129" t="s">
        <v>426</v>
      </c>
      <c r="F71" s="157">
        <v>9951</v>
      </c>
      <c r="G71" s="157">
        <v>5531</v>
      </c>
      <c r="H71" s="157">
        <v>4420</v>
      </c>
      <c r="I71" s="157">
        <v>44</v>
      </c>
      <c r="J71" s="129"/>
      <c r="K71" s="129"/>
      <c r="L71" s="129" t="s">
        <v>39</v>
      </c>
      <c r="M71" s="129" t="s">
        <v>40</v>
      </c>
      <c r="N71" s="129" t="s">
        <v>62</v>
      </c>
      <c r="O71" s="129" t="s">
        <v>438</v>
      </c>
      <c r="P71" s="129" t="s">
        <v>42</v>
      </c>
      <c r="Q71" s="129" t="s">
        <v>42</v>
      </c>
      <c r="R71" s="129" t="s">
        <v>449</v>
      </c>
      <c r="S71" s="129" t="s">
        <v>450</v>
      </c>
      <c r="T71" s="129" t="s">
        <v>418</v>
      </c>
    </row>
    <row r="72" spans="1:20" s="21" customFormat="1">
      <c r="A72" s="129" t="s">
        <v>82</v>
      </c>
      <c r="B72" s="129" t="s">
        <v>29</v>
      </c>
      <c r="C72" s="129" t="s">
        <v>34</v>
      </c>
      <c r="D72" s="129" t="s">
        <v>385</v>
      </c>
      <c r="E72" s="129" t="s">
        <v>420</v>
      </c>
      <c r="F72" s="157">
        <v>18644</v>
      </c>
      <c r="G72" s="157">
        <v>3728</v>
      </c>
      <c r="H72" s="157">
        <v>14916</v>
      </c>
      <c r="I72" s="157">
        <v>80</v>
      </c>
      <c r="J72" s="129"/>
      <c r="K72" s="129"/>
      <c r="L72" s="129" t="s">
        <v>39</v>
      </c>
      <c r="M72" s="129" t="s">
        <v>40</v>
      </c>
      <c r="N72" s="129" t="s">
        <v>62</v>
      </c>
      <c r="O72" s="129" t="s">
        <v>438</v>
      </c>
      <c r="P72" s="129" t="s">
        <v>42</v>
      </c>
      <c r="Q72" s="129" t="s">
        <v>42</v>
      </c>
      <c r="R72" s="129" t="s">
        <v>449</v>
      </c>
      <c r="S72" s="129" t="s">
        <v>450</v>
      </c>
      <c r="T72" s="129" t="s">
        <v>418</v>
      </c>
    </row>
    <row r="73" spans="1:20" s="21" customFormat="1">
      <c r="A73" s="129" t="s">
        <v>82</v>
      </c>
      <c r="B73" s="129" t="s">
        <v>29</v>
      </c>
      <c r="C73" s="129" t="s">
        <v>34</v>
      </c>
      <c r="D73" s="129" t="s">
        <v>385</v>
      </c>
      <c r="E73" s="129" t="s">
        <v>423</v>
      </c>
      <c r="F73" s="157">
        <v>9951</v>
      </c>
      <c r="G73" s="157">
        <v>7009</v>
      </c>
      <c r="H73" s="157">
        <v>2942</v>
      </c>
      <c r="I73" s="157">
        <v>29</v>
      </c>
      <c r="J73" s="129"/>
      <c r="K73" s="129"/>
      <c r="L73" s="129" t="s">
        <v>39</v>
      </c>
      <c r="M73" s="129" t="s">
        <v>40</v>
      </c>
      <c r="N73" s="129" t="s">
        <v>62</v>
      </c>
      <c r="O73" s="129" t="s">
        <v>438</v>
      </c>
      <c r="P73" s="129" t="s">
        <v>42</v>
      </c>
      <c r="Q73" s="129" t="s">
        <v>42</v>
      </c>
      <c r="R73" s="129" t="s">
        <v>449</v>
      </c>
      <c r="S73" s="129" t="s">
        <v>450</v>
      </c>
      <c r="T73" s="129" t="s">
        <v>418</v>
      </c>
    </row>
    <row r="74" spans="1:20" s="21" customFormat="1">
      <c r="A74" s="129" t="s">
        <v>82</v>
      </c>
      <c r="B74" s="129" t="s">
        <v>29</v>
      </c>
      <c r="C74" s="129" t="s">
        <v>34</v>
      </c>
      <c r="D74" s="129" t="s">
        <v>403</v>
      </c>
      <c r="E74" s="129" t="s">
        <v>419</v>
      </c>
      <c r="F74" s="157">
        <v>251851</v>
      </c>
      <c r="G74" s="157">
        <v>110754</v>
      </c>
      <c r="H74" s="157">
        <v>141097</v>
      </c>
      <c r="I74" s="157">
        <v>56</v>
      </c>
      <c r="J74" s="129"/>
      <c r="K74" s="129"/>
      <c r="L74" s="129" t="s">
        <v>39</v>
      </c>
      <c r="M74" s="129" t="s">
        <v>40</v>
      </c>
      <c r="N74" s="129" t="s">
        <v>62</v>
      </c>
      <c r="O74" s="129" t="s">
        <v>438</v>
      </c>
      <c r="P74" s="129" t="s">
        <v>42</v>
      </c>
      <c r="Q74" s="129" t="s">
        <v>42</v>
      </c>
      <c r="R74" s="129" t="s">
        <v>449</v>
      </c>
      <c r="S74" s="129" t="s">
        <v>450</v>
      </c>
      <c r="T74" s="129" t="s">
        <v>418</v>
      </c>
    </row>
    <row r="75" spans="1:20" s="21" customFormat="1">
      <c r="A75" s="129" t="s">
        <v>82</v>
      </c>
      <c r="B75" s="129" t="s">
        <v>29</v>
      </c>
      <c r="C75" s="129" t="s">
        <v>34</v>
      </c>
      <c r="D75" s="129" t="s">
        <v>385</v>
      </c>
      <c r="E75" s="129" t="s">
        <v>421</v>
      </c>
      <c r="F75" s="157">
        <v>9259</v>
      </c>
      <c r="G75" s="157">
        <v>4682</v>
      </c>
      <c r="H75" s="157">
        <v>4577</v>
      </c>
      <c r="I75" s="157">
        <v>49</v>
      </c>
      <c r="J75" s="129"/>
      <c r="K75" s="129"/>
      <c r="L75" s="129" t="s">
        <v>39</v>
      </c>
      <c r="M75" s="129" t="s">
        <v>40</v>
      </c>
      <c r="N75" s="129" t="s">
        <v>62</v>
      </c>
      <c r="O75" s="129" t="s">
        <v>438</v>
      </c>
      <c r="P75" s="129" t="s">
        <v>42</v>
      </c>
      <c r="Q75" s="129" t="s">
        <v>42</v>
      </c>
      <c r="R75" s="129" t="s">
        <v>449</v>
      </c>
      <c r="S75" s="129" t="s">
        <v>450</v>
      </c>
      <c r="T75" s="129" t="s">
        <v>418</v>
      </c>
    </row>
    <row r="76" spans="1:20" s="21" customFormat="1">
      <c r="A76" s="129" t="s">
        <v>82</v>
      </c>
      <c r="B76" s="129" t="s">
        <v>29</v>
      </c>
      <c r="C76" s="129" t="s">
        <v>34</v>
      </c>
      <c r="D76" s="129" t="s">
        <v>385</v>
      </c>
      <c r="E76" s="129" t="s">
        <v>422</v>
      </c>
      <c r="F76" s="157">
        <v>4911</v>
      </c>
      <c r="G76" s="157">
        <v>26</v>
      </c>
      <c r="H76" s="157">
        <v>4885</v>
      </c>
      <c r="I76" s="157">
        <v>99</v>
      </c>
      <c r="J76" s="129"/>
      <c r="K76" s="129"/>
      <c r="L76" s="129" t="s">
        <v>39</v>
      </c>
      <c r="M76" s="129" t="s">
        <v>40</v>
      </c>
      <c r="N76" s="129" t="s">
        <v>62</v>
      </c>
      <c r="O76" s="129" t="s">
        <v>438</v>
      </c>
      <c r="P76" s="129" t="s">
        <v>42</v>
      </c>
      <c r="Q76" s="129" t="s">
        <v>42</v>
      </c>
      <c r="R76" s="129" t="s">
        <v>449</v>
      </c>
      <c r="S76" s="129" t="s">
        <v>450</v>
      </c>
      <c r="T76" s="129" t="s">
        <v>418</v>
      </c>
    </row>
    <row r="77" spans="1:20" s="21" customFormat="1">
      <c r="A77" s="129" t="s">
        <v>82</v>
      </c>
      <c r="B77" s="129" t="s">
        <v>29</v>
      </c>
      <c r="C77" s="129" t="s">
        <v>34</v>
      </c>
      <c r="D77" s="129" t="s">
        <v>385</v>
      </c>
      <c r="E77" s="129" t="s">
        <v>414</v>
      </c>
      <c r="F77" s="157">
        <v>28031</v>
      </c>
      <c r="G77" s="157">
        <v>16623</v>
      </c>
      <c r="H77" s="157">
        <v>11408</v>
      </c>
      <c r="I77" s="157">
        <v>40</v>
      </c>
      <c r="J77" s="129"/>
      <c r="K77" s="129"/>
      <c r="L77" s="129" t="s">
        <v>39</v>
      </c>
      <c r="M77" s="129" t="s">
        <v>40</v>
      </c>
      <c r="N77" s="129" t="s">
        <v>62</v>
      </c>
      <c r="O77" s="129" t="s">
        <v>438</v>
      </c>
      <c r="P77" s="129" t="s">
        <v>42</v>
      </c>
      <c r="Q77" s="129" t="s">
        <v>42</v>
      </c>
      <c r="R77" s="129" t="s">
        <v>449</v>
      </c>
      <c r="S77" s="129" t="s">
        <v>450</v>
      </c>
      <c r="T77" s="129" t="s">
        <v>418</v>
      </c>
    </row>
    <row r="78" spans="1:20" s="21" customFormat="1">
      <c r="A78" s="129" t="s">
        <v>85</v>
      </c>
      <c r="B78" s="129" t="s">
        <v>29</v>
      </c>
      <c r="C78" s="129" t="s">
        <v>34</v>
      </c>
      <c r="D78" s="129" t="s">
        <v>385</v>
      </c>
      <c r="E78" s="129" t="s">
        <v>414</v>
      </c>
      <c r="F78" s="157">
        <v>65535</v>
      </c>
      <c r="G78" s="157">
        <v>2521</v>
      </c>
      <c r="H78" s="157">
        <v>63014</v>
      </c>
      <c r="I78" s="157">
        <v>96</v>
      </c>
      <c r="J78" s="129"/>
      <c r="K78" s="129"/>
      <c r="L78" s="129" t="s">
        <v>39</v>
      </c>
      <c r="M78" s="129" t="s">
        <v>40</v>
      </c>
      <c r="N78" s="129" t="s">
        <v>62</v>
      </c>
      <c r="O78" s="129" t="s">
        <v>438</v>
      </c>
      <c r="P78" s="129" t="s">
        <v>42</v>
      </c>
      <c r="Q78" s="129" t="s">
        <v>42</v>
      </c>
      <c r="R78" s="129" t="s">
        <v>451</v>
      </c>
      <c r="S78" s="129" t="s">
        <v>452</v>
      </c>
      <c r="T78" s="129" t="s">
        <v>418</v>
      </c>
    </row>
    <row r="79" spans="1:20" s="21" customFormat="1">
      <c r="A79" s="129" t="s">
        <v>85</v>
      </c>
      <c r="B79" s="129" t="s">
        <v>29</v>
      </c>
      <c r="C79" s="129" t="s">
        <v>34</v>
      </c>
      <c r="D79" s="129" t="s">
        <v>385</v>
      </c>
      <c r="E79" s="129" t="s">
        <v>421</v>
      </c>
      <c r="F79" s="157">
        <v>9482</v>
      </c>
      <c r="G79" s="157">
        <v>1372</v>
      </c>
      <c r="H79" s="157">
        <v>8110</v>
      </c>
      <c r="I79" s="157">
        <v>85</v>
      </c>
      <c r="J79" s="129"/>
      <c r="K79" s="129"/>
      <c r="L79" s="129" t="s">
        <v>39</v>
      </c>
      <c r="M79" s="129" t="s">
        <v>40</v>
      </c>
      <c r="N79" s="129" t="s">
        <v>62</v>
      </c>
      <c r="O79" s="129" t="s">
        <v>438</v>
      </c>
      <c r="P79" s="129" t="s">
        <v>42</v>
      </c>
      <c r="Q79" s="129" t="s">
        <v>42</v>
      </c>
      <c r="R79" s="129" t="s">
        <v>451</v>
      </c>
      <c r="S79" s="129" t="s">
        <v>452</v>
      </c>
      <c r="T79" s="129" t="s">
        <v>418</v>
      </c>
    </row>
    <row r="80" spans="1:20" s="21" customFormat="1">
      <c r="A80" s="129" t="s">
        <v>85</v>
      </c>
      <c r="B80" s="129" t="s">
        <v>29</v>
      </c>
      <c r="C80" s="129" t="s">
        <v>34</v>
      </c>
      <c r="D80" s="129" t="s">
        <v>385</v>
      </c>
      <c r="E80" s="129" t="s">
        <v>422</v>
      </c>
      <c r="F80" s="157">
        <v>4675</v>
      </c>
      <c r="G80" s="157">
        <v>10</v>
      </c>
      <c r="H80" s="157">
        <v>4665</v>
      </c>
      <c r="I80" s="157">
        <v>99</v>
      </c>
      <c r="J80" s="129"/>
      <c r="K80" s="129"/>
      <c r="L80" s="129" t="s">
        <v>39</v>
      </c>
      <c r="M80" s="129" t="s">
        <v>40</v>
      </c>
      <c r="N80" s="129" t="s">
        <v>62</v>
      </c>
      <c r="O80" s="129" t="s">
        <v>438</v>
      </c>
      <c r="P80" s="129" t="s">
        <v>42</v>
      </c>
      <c r="Q80" s="129" t="s">
        <v>42</v>
      </c>
      <c r="R80" s="129" t="s">
        <v>451</v>
      </c>
      <c r="S80" s="129" t="s">
        <v>452</v>
      </c>
      <c r="T80" s="129" t="s">
        <v>418</v>
      </c>
    </row>
    <row r="81" spans="1:20" s="21" customFormat="1">
      <c r="A81" s="129" t="s">
        <v>85</v>
      </c>
      <c r="B81" s="129" t="s">
        <v>29</v>
      </c>
      <c r="C81" s="129" t="s">
        <v>34</v>
      </c>
      <c r="D81" s="129" t="s">
        <v>385</v>
      </c>
      <c r="E81" s="129" t="s">
        <v>420</v>
      </c>
      <c r="F81" s="157">
        <v>19093</v>
      </c>
      <c r="G81" s="157">
        <v>288</v>
      </c>
      <c r="H81" s="157">
        <v>18805</v>
      </c>
      <c r="I81" s="157">
        <v>98</v>
      </c>
      <c r="J81" s="129"/>
      <c r="K81" s="129"/>
      <c r="L81" s="129" t="s">
        <v>39</v>
      </c>
      <c r="M81" s="129" t="s">
        <v>40</v>
      </c>
      <c r="N81" s="129" t="s">
        <v>62</v>
      </c>
      <c r="O81" s="129" t="s">
        <v>438</v>
      </c>
      <c r="P81" s="129" t="s">
        <v>42</v>
      </c>
      <c r="Q81" s="129" t="s">
        <v>42</v>
      </c>
      <c r="R81" s="129" t="s">
        <v>451</v>
      </c>
      <c r="S81" s="129" t="s">
        <v>452</v>
      </c>
      <c r="T81" s="129" t="s">
        <v>418</v>
      </c>
    </row>
    <row r="82" spans="1:20" s="21" customFormat="1">
      <c r="A82" s="129" t="s">
        <v>85</v>
      </c>
      <c r="B82" s="129" t="s">
        <v>29</v>
      </c>
      <c r="C82" s="129" t="s">
        <v>34</v>
      </c>
      <c r="D82" s="129" t="s">
        <v>385</v>
      </c>
      <c r="E82" s="129" t="s">
        <v>430</v>
      </c>
      <c r="F82" s="157">
        <v>471</v>
      </c>
      <c r="G82" s="157">
        <v>105</v>
      </c>
      <c r="H82" s="157">
        <v>366</v>
      </c>
      <c r="I82" s="157">
        <v>77</v>
      </c>
      <c r="J82" s="129"/>
      <c r="K82" s="129"/>
      <c r="L82" s="129" t="s">
        <v>39</v>
      </c>
      <c r="M82" s="129" t="s">
        <v>40</v>
      </c>
      <c r="N82" s="129" t="s">
        <v>62</v>
      </c>
      <c r="O82" s="129" t="s">
        <v>438</v>
      </c>
      <c r="P82" s="129" t="s">
        <v>42</v>
      </c>
      <c r="Q82" s="129" t="s">
        <v>42</v>
      </c>
      <c r="R82" s="129" t="s">
        <v>451</v>
      </c>
      <c r="S82" s="129" t="s">
        <v>452</v>
      </c>
      <c r="T82" s="129" t="s">
        <v>418</v>
      </c>
    </row>
    <row r="83" spans="1:20" s="21" customFormat="1">
      <c r="A83" s="129" t="s">
        <v>88</v>
      </c>
      <c r="B83" s="129" t="s">
        <v>29</v>
      </c>
      <c r="C83" s="129" t="s">
        <v>34</v>
      </c>
      <c r="D83" s="129" t="s">
        <v>385</v>
      </c>
      <c r="E83" s="129" t="s">
        <v>430</v>
      </c>
      <c r="F83" s="157">
        <v>471</v>
      </c>
      <c r="G83" s="157">
        <v>104</v>
      </c>
      <c r="H83" s="157">
        <v>367</v>
      </c>
      <c r="I83" s="157">
        <v>77</v>
      </c>
      <c r="J83" s="129"/>
      <c r="K83" s="129"/>
      <c r="L83" s="129" t="s">
        <v>39</v>
      </c>
      <c r="M83" s="129" t="s">
        <v>40</v>
      </c>
      <c r="N83" s="129" t="s">
        <v>62</v>
      </c>
      <c r="O83" s="129" t="s">
        <v>438</v>
      </c>
      <c r="P83" s="129" t="s">
        <v>42</v>
      </c>
      <c r="Q83" s="129" t="s">
        <v>42</v>
      </c>
      <c r="R83" s="129" t="s">
        <v>453</v>
      </c>
      <c r="S83" s="129" t="s">
        <v>454</v>
      </c>
      <c r="T83" s="129" t="s">
        <v>418</v>
      </c>
    </row>
    <row r="84" spans="1:20" s="21" customFormat="1">
      <c r="A84" s="129" t="s">
        <v>88</v>
      </c>
      <c r="B84" s="129" t="s">
        <v>29</v>
      </c>
      <c r="C84" s="129" t="s">
        <v>34</v>
      </c>
      <c r="D84" s="129" t="s">
        <v>385</v>
      </c>
      <c r="E84" s="129" t="s">
        <v>421</v>
      </c>
      <c r="F84" s="157">
        <v>9482</v>
      </c>
      <c r="G84" s="157">
        <v>344</v>
      </c>
      <c r="H84" s="157">
        <v>9138</v>
      </c>
      <c r="I84" s="157">
        <v>96</v>
      </c>
      <c r="J84" s="129"/>
      <c r="K84" s="129"/>
      <c r="L84" s="129" t="s">
        <v>39</v>
      </c>
      <c r="M84" s="129" t="s">
        <v>40</v>
      </c>
      <c r="N84" s="129" t="s">
        <v>62</v>
      </c>
      <c r="O84" s="129" t="s">
        <v>438</v>
      </c>
      <c r="P84" s="129" t="s">
        <v>42</v>
      </c>
      <c r="Q84" s="129" t="s">
        <v>42</v>
      </c>
      <c r="R84" s="129" t="s">
        <v>453</v>
      </c>
      <c r="S84" s="129" t="s">
        <v>454</v>
      </c>
      <c r="T84" s="129" t="s">
        <v>418</v>
      </c>
    </row>
    <row r="85" spans="1:20" s="21" customFormat="1">
      <c r="A85" s="129" t="s">
        <v>88</v>
      </c>
      <c r="B85" s="129" t="s">
        <v>29</v>
      </c>
      <c r="C85" s="129" t="s">
        <v>34</v>
      </c>
      <c r="D85" s="129" t="s">
        <v>385</v>
      </c>
      <c r="E85" s="129" t="s">
        <v>422</v>
      </c>
      <c r="F85" s="157">
        <v>4675</v>
      </c>
      <c r="G85" s="157">
        <v>10</v>
      </c>
      <c r="H85" s="157">
        <v>4665</v>
      </c>
      <c r="I85" s="157">
        <v>99</v>
      </c>
      <c r="J85" s="129"/>
      <c r="K85" s="129"/>
      <c r="L85" s="129" t="s">
        <v>39</v>
      </c>
      <c r="M85" s="129" t="s">
        <v>40</v>
      </c>
      <c r="N85" s="129" t="s">
        <v>62</v>
      </c>
      <c r="O85" s="129" t="s">
        <v>438</v>
      </c>
      <c r="P85" s="129" t="s">
        <v>42</v>
      </c>
      <c r="Q85" s="129" t="s">
        <v>42</v>
      </c>
      <c r="R85" s="129" t="s">
        <v>453</v>
      </c>
      <c r="S85" s="129" t="s">
        <v>454</v>
      </c>
      <c r="T85" s="129" t="s">
        <v>418</v>
      </c>
    </row>
    <row r="86" spans="1:20" s="21" customFormat="1">
      <c r="A86" s="129" t="s">
        <v>88</v>
      </c>
      <c r="B86" s="129" t="s">
        <v>29</v>
      </c>
      <c r="C86" s="129" t="s">
        <v>34</v>
      </c>
      <c r="D86" s="129" t="s">
        <v>385</v>
      </c>
      <c r="E86" s="129" t="s">
        <v>420</v>
      </c>
      <c r="F86" s="157">
        <v>19093</v>
      </c>
      <c r="G86" s="157">
        <v>244</v>
      </c>
      <c r="H86" s="157">
        <v>18849</v>
      </c>
      <c r="I86" s="157">
        <v>98</v>
      </c>
      <c r="J86" s="129"/>
      <c r="K86" s="129"/>
      <c r="L86" s="129" t="s">
        <v>39</v>
      </c>
      <c r="M86" s="129" t="s">
        <v>40</v>
      </c>
      <c r="N86" s="129" t="s">
        <v>62</v>
      </c>
      <c r="O86" s="129" t="s">
        <v>438</v>
      </c>
      <c r="P86" s="129" t="s">
        <v>42</v>
      </c>
      <c r="Q86" s="129" t="s">
        <v>42</v>
      </c>
      <c r="R86" s="129" t="s">
        <v>453</v>
      </c>
      <c r="S86" s="129" t="s">
        <v>454</v>
      </c>
      <c r="T86" s="129" t="s">
        <v>418</v>
      </c>
    </row>
    <row r="87" spans="1:20" s="21" customFormat="1">
      <c r="A87" s="129" t="s">
        <v>88</v>
      </c>
      <c r="B87" s="129" t="s">
        <v>29</v>
      </c>
      <c r="C87" s="129" t="s">
        <v>34</v>
      </c>
      <c r="D87" s="129" t="s">
        <v>385</v>
      </c>
      <c r="E87" s="129" t="s">
        <v>414</v>
      </c>
      <c r="F87" s="157">
        <v>65535</v>
      </c>
      <c r="G87" s="157">
        <v>2064</v>
      </c>
      <c r="H87" s="157">
        <v>63471</v>
      </c>
      <c r="I87" s="157">
        <v>96</v>
      </c>
      <c r="J87" s="129"/>
      <c r="K87" s="129"/>
      <c r="L87" s="129" t="s">
        <v>39</v>
      </c>
      <c r="M87" s="129" t="s">
        <v>40</v>
      </c>
      <c r="N87" s="129" t="s">
        <v>62</v>
      </c>
      <c r="O87" s="129" t="s">
        <v>438</v>
      </c>
      <c r="P87" s="129" t="s">
        <v>42</v>
      </c>
      <c r="Q87" s="129" t="s">
        <v>42</v>
      </c>
      <c r="R87" s="129" t="s">
        <v>453</v>
      </c>
      <c r="S87" s="129" t="s">
        <v>454</v>
      </c>
      <c r="T87" s="129" t="s">
        <v>418</v>
      </c>
    </row>
    <row r="88" spans="1:20" s="21" customFormat="1">
      <c r="A88" s="129" t="s">
        <v>92</v>
      </c>
      <c r="B88" s="129" t="s">
        <v>29</v>
      </c>
      <c r="C88" s="129" t="s">
        <v>34</v>
      </c>
      <c r="D88" s="129" t="s">
        <v>385</v>
      </c>
      <c r="E88" s="129" t="s">
        <v>414</v>
      </c>
      <c r="F88" s="157">
        <v>28031</v>
      </c>
      <c r="G88" s="157">
        <v>2148</v>
      </c>
      <c r="H88" s="157">
        <v>25883</v>
      </c>
      <c r="I88" s="157">
        <v>92</v>
      </c>
      <c r="J88" s="129"/>
      <c r="K88" s="129" t="s">
        <v>72</v>
      </c>
      <c r="L88" s="129" t="s">
        <v>39</v>
      </c>
      <c r="M88" s="129" t="s">
        <v>40</v>
      </c>
      <c r="N88" s="129" t="s">
        <v>95</v>
      </c>
      <c r="O88" s="129" t="s">
        <v>415</v>
      </c>
      <c r="P88" s="129" t="s">
        <v>42</v>
      </c>
      <c r="Q88" s="129" t="s">
        <v>42</v>
      </c>
      <c r="R88" s="129" t="s">
        <v>455</v>
      </c>
      <c r="S88" s="129" t="s">
        <v>456</v>
      </c>
      <c r="T88" s="129" t="s">
        <v>418</v>
      </c>
    </row>
    <row r="89" spans="1:20" s="21" customFormat="1">
      <c r="A89" s="129" t="s">
        <v>92</v>
      </c>
      <c r="B89" s="129" t="s">
        <v>29</v>
      </c>
      <c r="C89" s="129" t="s">
        <v>34</v>
      </c>
      <c r="D89" s="129" t="s">
        <v>385</v>
      </c>
      <c r="E89" s="129" t="s">
        <v>422</v>
      </c>
      <c r="F89" s="157">
        <v>4911</v>
      </c>
      <c r="G89" s="157">
        <v>10</v>
      </c>
      <c r="H89" s="157">
        <v>4901</v>
      </c>
      <c r="I89" s="157">
        <v>99</v>
      </c>
      <c r="J89" s="129"/>
      <c r="K89" s="129" t="s">
        <v>72</v>
      </c>
      <c r="L89" s="129" t="s">
        <v>39</v>
      </c>
      <c r="M89" s="129" t="s">
        <v>40</v>
      </c>
      <c r="N89" s="129" t="s">
        <v>95</v>
      </c>
      <c r="O89" s="129" t="s">
        <v>415</v>
      </c>
      <c r="P89" s="129" t="s">
        <v>42</v>
      </c>
      <c r="Q89" s="129" t="s">
        <v>42</v>
      </c>
      <c r="R89" s="129" t="s">
        <v>455</v>
      </c>
      <c r="S89" s="129" t="s">
        <v>456</v>
      </c>
      <c r="T89" s="129" t="s">
        <v>418</v>
      </c>
    </row>
    <row r="90" spans="1:20" s="21" customFormat="1">
      <c r="A90" s="129" t="s">
        <v>92</v>
      </c>
      <c r="B90" s="129" t="s">
        <v>29</v>
      </c>
      <c r="C90" s="129" t="s">
        <v>34</v>
      </c>
      <c r="D90" s="129" t="s">
        <v>385</v>
      </c>
      <c r="E90" s="129" t="s">
        <v>423</v>
      </c>
      <c r="F90" s="157">
        <v>9950</v>
      </c>
      <c r="G90" s="157">
        <v>40</v>
      </c>
      <c r="H90" s="157">
        <v>9910</v>
      </c>
      <c r="I90" s="157">
        <v>99</v>
      </c>
      <c r="J90" s="129"/>
      <c r="K90" s="129" t="s">
        <v>72</v>
      </c>
      <c r="L90" s="129" t="s">
        <v>39</v>
      </c>
      <c r="M90" s="129" t="s">
        <v>40</v>
      </c>
      <c r="N90" s="129" t="s">
        <v>95</v>
      </c>
      <c r="O90" s="129" t="s">
        <v>415</v>
      </c>
      <c r="P90" s="129" t="s">
        <v>42</v>
      </c>
      <c r="Q90" s="129" t="s">
        <v>42</v>
      </c>
      <c r="R90" s="129" t="s">
        <v>455</v>
      </c>
      <c r="S90" s="129" t="s">
        <v>456</v>
      </c>
      <c r="T90" s="129" t="s">
        <v>418</v>
      </c>
    </row>
    <row r="91" spans="1:20" s="21" customFormat="1">
      <c r="A91" s="129" t="s">
        <v>92</v>
      </c>
      <c r="B91" s="129" t="s">
        <v>29</v>
      </c>
      <c r="C91" s="129" t="s">
        <v>34</v>
      </c>
      <c r="D91" s="129" t="s">
        <v>385</v>
      </c>
      <c r="E91" s="129" t="s">
        <v>421</v>
      </c>
      <c r="F91" s="157">
        <v>9259</v>
      </c>
      <c r="G91" s="157">
        <v>630</v>
      </c>
      <c r="H91" s="157">
        <v>8629</v>
      </c>
      <c r="I91" s="157">
        <v>93</v>
      </c>
      <c r="J91" s="129"/>
      <c r="K91" s="129" t="s">
        <v>72</v>
      </c>
      <c r="L91" s="129" t="s">
        <v>39</v>
      </c>
      <c r="M91" s="129" t="s">
        <v>40</v>
      </c>
      <c r="N91" s="129" t="s">
        <v>95</v>
      </c>
      <c r="O91" s="129" t="s">
        <v>415</v>
      </c>
      <c r="P91" s="129" t="s">
        <v>42</v>
      </c>
      <c r="Q91" s="129" t="s">
        <v>42</v>
      </c>
      <c r="R91" s="129" t="s">
        <v>455</v>
      </c>
      <c r="S91" s="129" t="s">
        <v>456</v>
      </c>
      <c r="T91" s="129" t="s">
        <v>418</v>
      </c>
    </row>
    <row r="92" spans="1:20" s="21" customFormat="1">
      <c r="A92" s="129" t="s">
        <v>92</v>
      </c>
      <c r="B92" s="129" t="s">
        <v>29</v>
      </c>
      <c r="C92" s="129" t="s">
        <v>34</v>
      </c>
      <c r="D92" s="129" t="s">
        <v>385</v>
      </c>
      <c r="E92" s="129" t="s">
        <v>420</v>
      </c>
      <c r="F92" s="157">
        <v>18644</v>
      </c>
      <c r="G92" s="157">
        <v>16255</v>
      </c>
      <c r="H92" s="157">
        <v>2389</v>
      </c>
      <c r="I92" s="157">
        <v>12</v>
      </c>
      <c r="J92" s="129"/>
      <c r="K92" s="129" t="s">
        <v>72</v>
      </c>
      <c r="L92" s="129" t="s">
        <v>39</v>
      </c>
      <c r="M92" s="129" t="s">
        <v>40</v>
      </c>
      <c r="N92" s="129" t="s">
        <v>95</v>
      </c>
      <c r="O92" s="129" t="s">
        <v>415</v>
      </c>
      <c r="P92" s="129" t="s">
        <v>42</v>
      </c>
      <c r="Q92" s="129" t="s">
        <v>42</v>
      </c>
      <c r="R92" s="129" t="s">
        <v>455</v>
      </c>
      <c r="S92" s="129" t="s">
        <v>456</v>
      </c>
      <c r="T92" s="129" t="s">
        <v>418</v>
      </c>
    </row>
    <row r="93" spans="1:20" s="21" customFormat="1">
      <c r="A93" s="129" t="s">
        <v>96</v>
      </c>
      <c r="B93" s="129" t="s">
        <v>29</v>
      </c>
      <c r="C93" s="129" t="s">
        <v>34</v>
      </c>
      <c r="D93" s="129" t="s">
        <v>385</v>
      </c>
      <c r="E93" s="129" t="s">
        <v>422</v>
      </c>
      <c r="F93" s="157">
        <v>4675</v>
      </c>
      <c r="G93" s="157">
        <v>10</v>
      </c>
      <c r="H93" s="157">
        <v>4665</v>
      </c>
      <c r="I93" s="157">
        <v>99</v>
      </c>
      <c r="J93" s="129"/>
      <c r="K93" s="129"/>
      <c r="L93" s="129" t="s">
        <v>39</v>
      </c>
      <c r="M93" s="129" t="s">
        <v>40</v>
      </c>
      <c r="N93" s="129" t="s">
        <v>99</v>
      </c>
      <c r="O93" s="129" t="s">
        <v>415</v>
      </c>
      <c r="P93" s="129" t="s">
        <v>42</v>
      </c>
      <c r="Q93" s="129" t="s">
        <v>42</v>
      </c>
      <c r="R93" s="129" t="s">
        <v>457</v>
      </c>
      <c r="S93" s="129" t="s">
        <v>458</v>
      </c>
      <c r="T93" s="129" t="s">
        <v>418</v>
      </c>
    </row>
    <row r="94" spans="1:20" s="21" customFormat="1">
      <c r="A94" s="129" t="s">
        <v>96</v>
      </c>
      <c r="B94" s="129" t="s">
        <v>29</v>
      </c>
      <c r="C94" s="129" t="s">
        <v>34</v>
      </c>
      <c r="D94" s="129" t="s">
        <v>385</v>
      </c>
      <c r="E94" s="129" t="s">
        <v>414</v>
      </c>
      <c r="F94" s="157">
        <v>65535</v>
      </c>
      <c r="G94" s="157">
        <v>2541</v>
      </c>
      <c r="H94" s="157">
        <v>62994</v>
      </c>
      <c r="I94" s="157">
        <v>96</v>
      </c>
      <c r="J94" s="129"/>
      <c r="K94" s="129"/>
      <c r="L94" s="129" t="s">
        <v>39</v>
      </c>
      <c r="M94" s="129" t="s">
        <v>40</v>
      </c>
      <c r="N94" s="129" t="s">
        <v>99</v>
      </c>
      <c r="O94" s="129" t="s">
        <v>415</v>
      </c>
      <c r="P94" s="129" t="s">
        <v>42</v>
      </c>
      <c r="Q94" s="129" t="s">
        <v>42</v>
      </c>
      <c r="R94" s="129" t="s">
        <v>457</v>
      </c>
      <c r="S94" s="129" t="s">
        <v>458</v>
      </c>
      <c r="T94" s="129" t="s">
        <v>418</v>
      </c>
    </row>
    <row r="95" spans="1:20" s="21" customFormat="1">
      <c r="A95" s="129" t="s">
        <v>96</v>
      </c>
      <c r="B95" s="129" t="s">
        <v>29</v>
      </c>
      <c r="C95" s="129" t="s">
        <v>34</v>
      </c>
      <c r="D95" s="129" t="s">
        <v>385</v>
      </c>
      <c r="E95" s="129" t="s">
        <v>421</v>
      </c>
      <c r="F95" s="157">
        <v>9482</v>
      </c>
      <c r="G95" s="157">
        <v>409</v>
      </c>
      <c r="H95" s="157">
        <v>9073</v>
      </c>
      <c r="I95" s="157">
        <v>95</v>
      </c>
      <c r="J95" s="129"/>
      <c r="K95" s="129"/>
      <c r="L95" s="129" t="s">
        <v>39</v>
      </c>
      <c r="M95" s="129" t="s">
        <v>40</v>
      </c>
      <c r="N95" s="129" t="s">
        <v>99</v>
      </c>
      <c r="O95" s="129" t="s">
        <v>415</v>
      </c>
      <c r="P95" s="129" t="s">
        <v>42</v>
      </c>
      <c r="Q95" s="129" t="s">
        <v>42</v>
      </c>
      <c r="R95" s="129" t="s">
        <v>457</v>
      </c>
      <c r="S95" s="129" t="s">
        <v>458</v>
      </c>
      <c r="T95" s="129" t="s">
        <v>418</v>
      </c>
    </row>
    <row r="96" spans="1:20" s="21" customFormat="1">
      <c r="A96" s="129" t="s">
        <v>96</v>
      </c>
      <c r="B96" s="129" t="s">
        <v>29</v>
      </c>
      <c r="C96" s="129" t="s">
        <v>34</v>
      </c>
      <c r="D96" s="129" t="s">
        <v>385</v>
      </c>
      <c r="E96" s="129" t="s">
        <v>430</v>
      </c>
      <c r="F96" s="157">
        <v>471</v>
      </c>
      <c r="G96" s="157">
        <v>105</v>
      </c>
      <c r="H96" s="157">
        <v>366</v>
      </c>
      <c r="I96" s="157">
        <v>77</v>
      </c>
      <c r="J96" s="129"/>
      <c r="K96" s="129"/>
      <c r="L96" s="129" t="s">
        <v>39</v>
      </c>
      <c r="M96" s="129" t="s">
        <v>40</v>
      </c>
      <c r="N96" s="129" t="s">
        <v>99</v>
      </c>
      <c r="O96" s="129" t="s">
        <v>415</v>
      </c>
      <c r="P96" s="129" t="s">
        <v>42</v>
      </c>
      <c r="Q96" s="129" t="s">
        <v>42</v>
      </c>
      <c r="R96" s="129" t="s">
        <v>457</v>
      </c>
      <c r="S96" s="129" t="s">
        <v>458</v>
      </c>
      <c r="T96" s="129" t="s">
        <v>418</v>
      </c>
    </row>
    <row r="97" spans="1:20" s="21" customFormat="1">
      <c r="A97" s="129" t="s">
        <v>96</v>
      </c>
      <c r="B97" s="129" t="s">
        <v>29</v>
      </c>
      <c r="C97" s="129" t="s">
        <v>34</v>
      </c>
      <c r="D97" s="129" t="s">
        <v>385</v>
      </c>
      <c r="E97" s="129" t="s">
        <v>420</v>
      </c>
      <c r="F97" s="157">
        <v>19093</v>
      </c>
      <c r="G97" s="157">
        <v>44</v>
      </c>
      <c r="H97" s="157">
        <v>19049</v>
      </c>
      <c r="I97" s="157">
        <v>99</v>
      </c>
      <c r="J97" s="129"/>
      <c r="K97" s="129"/>
      <c r="L97" s="129" t="s">
        <v>39</v>
      </c>
      <c r="M97" s="129" t="s">
        <v>40</v>
      </c>
      <c r="N97" s="129" t="s">
        <v>99</v>
      </c>
      <c r="O97" s="129" t="s">
        <v>415</v>
      </c>
      <c r="P97" s="129" t="s">
        <v>42</v>
      </c>
      <c r="Q97" s="129" t="s">
        <v>42</v>
      </c>
      <c r="R97" s="129" t="s">
        <v>457</v>
      </c>
      <c r="S97" s="129" t="s">
        <v>458</v>
      </c>
      <c r="T97" s="129" t="s">
        <v>418</v>
      </c>
    </row>
    <row r="98" spans="1:20" s="21" customFormat="1">
      <c r="A98" s="129" t="s">
        <v>100</v>
      </c>
      <c r="B98" s="129" t="s">
        <v>29</v>
      </c>
      <c r="C98" s="129" t="s">
        <v>34</v>
      </c>
      <c r="D98" s="129" t="s">
        <v>403</v>
      </c>
      <c r="E98" s="129" t="s">
        <v>459</v>
      </c>
      <c r="F98" s="157">
        <v>307069</v>
      </c>
      <c r="G98" s="157">
        <v>2272</v>
      </c>
      <c r="H98" s="157">
        <v>304797</v>
      </c>
      <c r="I98" s="157">
        <v>99</v>
      </c>
      <c r="J98" s="129" t="s">
        <v>460</v>
      </c>
      <c r="K98" s="129"/>
      <c r="L98" s="129" t="s">
        <v>39</v>
      </c>
      <c r="M98" s="129" t="s">
        <v>40</v>
      </c>
      <c r="N98" s="129" t="s">
        <v>99</v>
      </c>
      <c r="O98" s="129" t="s">
        <v>415</v>
      </c>
      <c r="P98" s="129" t="s">
        <v>103</v>
      </c>
      <c r="Q98" s="129" t="s">
        <v>103</v>
      </c>
      <c r="R98" s="129" t="s">
        <v>461</v>
      </c>
      <c r="S98" s="129" t="s">
        <v>462</v>
      </c>
      <c r="T98" s="129" t="s">
        <v>418</v>
      </c>
    </row>
    <row r="99" spans="1:20" s="21" customFormat="1">
      <c r="A99" s="129" t="s">
        <v>100</v>
      </c>
      <c r="B99" s="129" t="s">
        <v>29</v>
      </c>
      <c r="C99" s="129" t="s">
        <v>34</v>
      </c>
      <c r="D99" s="129" t="s">
        <v>385</v>
      </c>
      <c r="E99" s="129" t="s">
        <v>463</v>
      </c>
      <c r="F99" s="157">
        <v>71177</v>
      </c>
      <c r="G99" s="157">
        <v>18326</v>
      </c>
      <c r="H99" s="157">
        <v>52851</v>
      </c>
      <c r="I99" s="157">
        <v>74</v>
      </c>
      <c r="J99" s="129" t="s">
        <v>460</v>
      </c>
      <c r="K99" s="129"/>
      <c r="L99" s="129" t="s">
        <v>39</v>
      </c>
      <c r="M99" s="129" t="s">
        <v>40</v>
      </c>
      <c r="N99" s="129" t="s">
        <v>99</v>
      </c>
      <c r="O99" s="129" t="s">
        <v>415</v>
      </c>
      <c r="P99" s="129" t="s">
        <v>103</v>
      </c>
      <c r="Q99" s="129" t="s">
        <v>103</v>
      </c>
      <c r="R99" s="129" t="s">
        <v>461</v>
      </c>
      <c r="S99" s="129" t="s">
        <v>462</v>
      </c>
      <c r="T99" s="129" t="s">
        <v>418</v>
      </c>
    </row>
    <row r="100" spans="1:20" s="21" customFormat="1">
      <c r="A100" s="129" t="s">
        <v>100</v>
      </c>
      <c r="B100" s="129" t="s">
        <v>29</v>
      </c>
      <c r="C100" s="129" t="s">
        <v>34</v>
      </c>
      <c r="D100" s="129" t="s">
        <v>403</v>
      </c>
      <c r="E100" s="129" t="s">
        <v>464</v>
      </c>
      <c r="F100" s="157">
        <v>15728712</v>
      </c>
      <c r="G100" s="157">
        <v>13113307</v>
      </c>
      <c r="H100" s="157">
        <v>2615405</v>
      </c>
      <c r="I100" s="157">
        <v>16</v>
      </c>
      <c r="J100" s="129" t="s">
        <v>460</v>
      </c>
      <c r="K100" s="129"/>
      <c r="L100" s="129" t="s">
        <v>39</v>
      </c>
      <c r="M100" s="129" t="s">
        <v>40</v>
      </c>
      <c r="N100" s="129" t="s">
        <v>99</v>
      </c>
      <c r="O100" s="129" t="s">
        <v>415</v>
      </c>
      <c r="P100" s="129" t="s">
        <v>103</v>
      </c>
      <c r="Q100" s="129" t="s">
        <v>103</v>
      </c>
      <c r="R100" s="129" t="s">
        <v>461</v>
      </c>
      <c r="S100" s="129" t="s">
        <v>462</v>
      </c>
      <c r="T100" s="129" t="s">
        <v>418</v>
      </c>
    </row>
    <row r="101" spans="1:20" s="21" customFormat="1">
      <c r="A101" s="129" t="s">
        <v>104</v>
      </c>
      <c r="B101" s="129" t="s">
        <v>29</v>
      </c>
      <c r="C101" s="129" t="s">
        <v>34</v>
      </c>
      <c r="D101" s="129" t="s">
        <v>403</v>
      </c>
      <c r="E101" s="129" t="s">
        <v>465</v>
      </c>
      <c r="F101" s="157">
        <v>5242749</v>
      </c>
      <c r="G101" s="157">
        <v>135851</v>
      </c>
      <c r="H101" s="157">
        <v>5106898</v>
      </c>
      <c r="I101" s="157">
        <v>97</v>
      </c>
      <c r="J101" s="129" t="s">
        <v>466</v>
      </c>
      <c r="K101" s="129"/>
      <c r="L101" s="129" t="s">
        <v>39</v>
      </c>
      <c r="M101" s="129" t="s">
        <v>40</v>
      </c>
      <c r="N101" s="129" t="s">
        <v>99</v>
      </c>
      <c r="O101" s="129" t="s">
        <v>415</v>
      </c>
      <c r="P101" s="129" t="s">
        <v>103</v>
      </c>
      <c r="Q101" s="129" t="s">
        <v>103</v>
      </c>
      <c r="R101" s="129" t="s">
        <v>467</v>
      </c>
      <c r="S101" s="129" t="s">
        <v>468</v>
      </c>
      <c r="T101" s="129" t="s">
        <v>418</v>
      </c>
    </row>
    <row r="102" spans="1:20" s="21" customFormat="1">
      <c r="A102" s="129" t="s">
        <v>104</v>
      </c>
      <c r="B102" s="129" t="s">
        <v>29</v>
      </c>
      <c r="C102" s="129" t="s">
        <v>34</v>
      </c>
      <c r="D102" s="129" t="s">
        <v>385</v>
      </c>
      <c r="E102" s="129" t="s">
        <v>463</v>
      </c>
      <c r="F102" s="157">
        <v>71177</v>
      </c>
      <c r="G102" s="157">
        <v>24831</v>
      </c>
      <c r="H102" s="157">
        <v>46346</v>
      </c>
      <c r="I102" s="157">
        <v>65</v>
      </c>
      <c r="J102" s="129" t="s">
        <v>466</v>
      </c>
      <c r="K102" s="129"/>
      <c r="L102" s="129" t="s">
        <v>39</v>
      </c>
      <c r="M102" s="129" t="s">
        <v>40</v>
      </c>
      <c r="N102" s="129" t="s">
        <v>99</v>
      </c>
      <c r="O102" s="129" t="s">
        <v>415</v>
      </c>
      <c r="P102" s="129" t="s">
        <v>103</v>
      </c>
      <c r="Q102" s="129" t="s">
        <v>103</v>
      </c>
      <c r="R102" s="129" t="s">
        <v>467</v>
      </c>
      <c r="S102" s="129" t="s">
        <v>468</v>
      </c>
      <c r="T102" s="129" t="s">
        <v>418</v>
      </c>
    </row>
    <row r="103" spans="1:20" s="21" customFormat="1">
      <c r="A103" s="129" t="s">
        <v>104</v>
      </c>
      <c r="B103" s="129" t="s">
        <v>29</v>
      </c>
      <c r="C103" s="129" t="s">
        <v>34</v>
      </c>
      <c r="D103" s="129" t="s">
        <v>403</v>
      </c>
      <c r="E103" s="129" t="s">
        <v>459</v>
      </c>
      <c r="F103" s="157">
        <v>307069</v>
      </c>
      <c r="G103" s="157">
        <v>50459</v>
      </c>
      <c r="H103" s="157">
        <v>256610</v>
      </c>
      <c r="I103" s="157">
        <v>83</v>
      </c>
      <c r="J103" s="129" t="s">
        <v>466</v>
      </c>
      <c r="K103" s="129"/>
      <c r="L103" s="129" t="s">
        <v>39</v>
      </c>
      <c r="M103" s="129" t="s">
        <v>40</v>
      </c>
      <c r="N103" s="129" t="s">
        <v>99</v>
      </c>
      <c r="O103" s="129" t="s">
        <v>415</v>
      </c>
      <c r="P103" s="129" t="s">
        <v>103</v>
      </c>
      <c r="Q103" s="129" t="s">
        <v>103</v>
      </c>
      <c r="R103" s="129" t="s">
        <v>467</v>
      </c>
      <c r="S103" s="129" t="s">
        <v>468</v>
      </c>
      <c r="T103" s="129" t="s">
        <v>418</v>
      </c>
    </row>
    <row r="104" spans="1:20" s="21" customFormat="1">
      <c r="A104" s="129" t="s">
        <v>107</v>
      </c>
      <c r="B104" s="129" t="s">
        <v>29</v>
      </c>
      <c r="C104" s="129" t="s">
        <v>34</v>
      </c>
      <c r="D104" s="129" t="s">
        <v>403</v>
      </c>
      <c r="E104" s="129" t="s">
        <v>459</v>
      </c>
      <c r="F104" s="157">
        <v>307069</v>
      </c>
      <c r="G104" s="157">
        <v>131</v>
      </c>
      <c r="H104" s="157">
        <v>306938</v>
      </c>
      <c r="I104" s="157">
        <v>99</v>
      </c>
      <c r="J104" s="129"/>
      <c r="K104" s="129"/>
      <c r="L104" s="129" t="s">
        <v>39</v>
      </c>
      <c r="M104" s="129" t="s">
        <v>40</v>
      </c>
      <c r="N104" s="129" t="s">
        <v>99</v>
      </c>
      <c r="O104" s="129" t="s">
        <v>415</v>
      </c>
      <c r="P104" s="129" t="s">
        <v>103</v>
      </c>
      <c r="Q104" s="129" t="s">
        <v>103</v>
      </c>
      <c r="R104" s="129" t="s">
        <v>469</v>
      </c>
      <c r="S104" s="129" t="s">
        <v>470</v>
      </c>
      <c r="T104" s="129" t="s">
        <v>418</v>
      </c>
    </row>
    <row r="105" spans="1:20" s="21" customFormat="1">
      <c r="A105" s="129" t="s">
        <v>107</v>
      </c>
      <c r="B105" s="129" t="s">
        <v>29</v>
      </c>
      <c r="C105" s="129" t="s">
        <v>34</v>
      </c>
      <c r="D105" s="129" t="s">
        <v>385</v>
      </c>
      <c r="E105" s="129" t="s">
        <v>463</v>
      </c>
      <c r="F105" s="157">
        <v>71177</v>
      </c>
      <c r="G105" s="157">
        <v>17701</v>
      </c>
      <c r="H105" s="157">
        <v>53476</v>
      </c>
      <c r="I105" s="157">
        <v>75</v>
      </c>
      <c r="J105" s="129"/>
      <c r="K105" s="129"/>
      <c r="L105" s="129" t="s">
        <v>39</v>
      </c>
      <c r="M105" s="129" t="s">
        <v>40</v>
      </c>
      <c r="N105" s="129" t="s">
        <v>99</v>
      </c>
      <c r="O105" s="129" t="s">
        <v>415</v>
      </c>
      <c r="P105" s="129" t="s">
        <v>103</v>
      </c>
      <c r="Q105" s="129" t="s">
        <v>103</v>
      </c>
      <c r="R105" s="129" t="s">
        <v>469</v>
      </c>
      <c r="S105" s="129" t="s">
        <v>470</v>
      </c>
      <c r="T105" s="129" t="s">
        <v>418</v>
      </c>
    </row>
    <row r="106" spans="1:20" s="21" customFormat="1">
      <c r="A106" s="129" t="s">
        <v>110</v>
      </c>
      <c r="B106" s="129" t="s">
        <v>29</v>
      </c>
      <c r="C106" s="129" t="s">
        <v>34</v>
      </c>
      <c r="D106" s="129" t="s">
        <v>385</v>
      </c>
      <c r="E106" s="129" t="s">
        <v>422</v>
      </c>
      <c r="F106" s="157">
        <v>4675</v>
      </c>
      <c r="G106" s="157">
        <v>10</v>
      </c>
      <c r="H106" s="157">
        <v>4665</v>
      </c>
      <c r="I106" s="157">
        <v>99</v>
      </c>
      <c r="J106" s="129"/>
      <c r="K106" s="129" t="s">
        <v>112</v>
      </c>
      <c r="L106" s="129" t="s">
        <v>39</v>
      </c>
      <c r="M106" s="129" t="s">
        <v>40</v>
      </c>
      <c r="N106" s="129" t="s">
        <v>113</v>
      </c>
      <c r="O106" s="129" t="s">
        <v>415</v>
      </c>
      <c r="P106" s="129" t="s">
        <v>42</v>
      </c>
      <c r="Q106" s="129" t="s">
        <v>42</v>
      </c>
      <c r="R106" s="129" t="s">
        <v>471</v>
      </c>
      <c r="S106" s="129" t="s">
        <v>472</v>
      </c>
      <c r="T106" s="129" t="s">
        <v>418</v>
      </c>
    </row>
    <row r="107" spans="1:20" s="21" customFormat="1">
      <c r="A107" s="129" t="s">
        <v>110</v>
      </c>
      <c r="B107" s="129" t="s">
        <v>29</v>
      </c>
      <c r="C107" s="129" t="s">
        <v>34</v>
      </c>
      <c r="D107" s="129" t="s">
        <v>385</v>
      </c>
      <c r="E107" s="129" t="s">
        <v>420</v>
      </c>
      <c r="F107" s="157">
        <v>19093</v>
      </c>
      <c r="G107" s="157">
        <v>244</v>
      </c>
      <c r="H107" s="157">
        <v>18849</v>
      </c>
      <c r="I107" s="157">
        <v>98</v>
      </c>
      <c r="J107" s="129"/>
      <c r="K107" s="129" t="s">
        <v>112</v>
      </c>
      <c r="L107" s="129" t="s">
        <v>39</v>
      </c>
      <c r="M107" s="129" t="s">
        <v>40</v>
      </c>
      <c r="N107" s="129" t="s">
        <v>113</v>
      </c>
      <c r="O107" s="129" t="s">
        <v>415</v>
      </c>
      <c r="P107" s="129" t="s">
        <v>42</v>
      </c>
      <c r="Q107" s="129" t="s">
        <v>42</v>
      </c>
      <c r="R107" s="129" t="s">
        <v>471</v>
      </c>
      <c r="S107" s="129" t="s">
        <v>472</v>
      </c>
      <c r="T107" s="129" t="s">
        <v>418</v>
      </c>
    </row>
    <row r="108" spans="1:20" s="21" customFormat="1">
      <c r="A108" s="129" t="s">
        <v>110</v>
      </c>
      <c r="B108" s="129" t="s">
        <v>29</v>
      </c>
      <c r="C108" s="129" t="s">
        <v>34</v>
      </c>
      <c r="D108" s="129" t="s">
        <v>385</v>
      </c>
      <c r="E108" s="129" t="s">
        <v>421</v>
      </c>
      <c r="F108" s="157">
        <v>9482</v>
      </c>
      <c r="G108" s="157">
        <v>5373</v>
      </c>
      <c r="H108" s="157">
        <v>4109</v>
      </c>
      <c r="I108" s="157">
        <v>43</v>
      </c>
      <c r="J108" s="129"/>
      <c r="K108" s="129" t="s">
        <v>112</v>
      </c>
      <c r="L108" s="129" t="s">
        <v>39</v>
      </c>
      <c r="M108" s="129" t="s">
        <v>40</v>
      </c>
      <c r="N108" s="129" t="s">
        <v>113</v>
      </c>
      <c r="O108" s="129" t="s">
        <v>415</v>
      </c>
      <c r="P108" s="129" t="s">
        <v>42</v>
      </c>
      <c r="Q108" s="129" t="s">
        <v>42</v>
      </c>
      <c r="R108" s="129" t="s">
        <v>471</v>
      </c>
      <c r="S108" s="129" t="s">
        <v>472</v>
      </c>
      <c r="T108" s="129" t="s">
        <v>418</v>
      </c>
    </row>
    <row r="109" spans="1:20" s="21" customFormat="1">
      <c r="A109" s="129" t="s">
        <v>110</v>
      </c>
      <c r="B109" s="129" t="s">
        <v>29</v>
      </c>
      <c r="C109" s="129" t="s">
        <v>34</v>
      </c>
      <c r="D109" s="129" t="s">
        <v>385</v>
      </c>
      <c r="E109" s="129" t="s">
        <v>430</v>
      </c>
      <c r="F109" s="157">
        <v>471</v>
      </c>
      <c r="G109" s="157">
        <v>105</v>
      </c>
      <c r="H109" s="157">
        <v>366</v>
      </c>
      <c r="I109" s="157">
        <v>77</v>
      </c>
      <c r="J109" s="129"/>
      <c r="K109" s="129" t="s">
        <v>112</v>
      </c>
      <c r="L109" s="129" t="s">
        <v>39</v>
      </c>
      <c r="M109" s="129" t="s">
        <v>40</v>
      </c>
      <c r="N109" s="129" t="s">
        <v>113</v>
      </c>
      <c r="O109" s="129" t="s">
        <v>415</v>
      </c>
      <c r="P109" s="129" t="s">
        <v>42</v>
      </c>
      <c r="Q109" s="129" t="s">
        <v>42</v>
      </c>
      <c r="R109" s="129" t="s">
        <v>471</v>
      </c>
      <c r="S109" s="129" t="s">
        <v>472</v>
      </c>
      <c r="T109" s="129" t="s">
        <v>418</v>
      </c>
    </row>
    <row r="110" spans="1:20" s="21" customFormat="1">
      <c r="A110" s="129" t="s">
        <v>110</v>
      </c>
      <c r="B110" s="129" t="s">
        <v>29</v>
      </c>
      <c r="C110" s="129" t="s">
        <v>34</v>
      </c>
      <c r="D110" s="129" t="s">
        <v>385</v>
      </c>
      <c r="E110" s="129" t="s">
        <v>414</v>
      </c>
      <c r="F110" s="157">
        <v>65535</v>
      </c>
      <c r="G110" s="157">
        <v>7954</v>
      </c>
      <c r="H110" s="157">
        <v>57581</v>
      </c>
      <c r="I110" s="157">
        <v>87</v>
      </c>
      <c r="J110" s="129"/>
      <c r="K110" s="129" t="s">
        <v>112</v>
      </c>
      <c r="L110" s="129" t="s">
        <v>39</v>
      </c>
      <c r="M110" s="129" t="s">
        <v>40</v>
      </c>
      <c r="N110" s="129" t="s">
        <v>113</v>
      </c>
      <c r="O110" s="129" t="s">
        <v>415</v>
      </c>
      <c r="P110" s="129" t="s">
        <v>42</v>
      </c>
      <c r="Q110" s="129" t="s">
        <v>42</v>
      </c>
      <c r="R110" s="129" t="s">
        <v>471</v>
      </c>
      <c r="S110" s="129" t="s">
        <v>472</v>
      </c>
      <c r="T110" s="129" t="s">
        <v>418</v>
      </c>
    </row>
    <row r="111" spans="1:20" s="21" customFormat="1">
      <c r="A111" s="129" t="s">
        <v>114</v>
      </c>
      <c r="B111" s="129" t="s">
        <v>29</v>
      </c>
      <c r="C111" s="129" t="s">
        <v>34</v>
      </c>
      <c r="D111" s="129" t="s">
        <v>385</v>
      </c>
      <c r="E111" s="129" t="s">
        <v>420</v>
      </c>
      <c r="F111" s="157">
        <v>18644</v>
      </c>
      <c r="G111" s="157">
        <v>5892</v>
      </c>
      <c r="H111" s="157">
        <v>12752</v>
      </c>
      <c r="I111" s="157">
        <v>68</v>
      </c>
      <c r="J111" s="129"/>
      <c r="K111" s="129" t="s">
        <v>115</v>
      </c>
      <c r="L111" s="129" t="s">
        <v>39</v>
      </c>
      <c r="M111" s="129" t="s">
        <v>40</v>
      </c>
      <c r="N111" s="129" t="s">
        <v>41</v>
      </c>
      <c r="O111" s="129" t="s">
        <v>415</v>
      </c>
      <c r="P111" s="129" t="s">
        <v>42</v>
      </c>
      <c r="Q111" s="129" t="s">
        <v>42</v>
      </c>
      <c r="R111" s="129" t="s">
        <v>473</v>
      </c>
      <c r="S111" s="129" t="s">
        <v>474</v>
      </c>
      <c r="T111" s="129" t="s">
        <v>418</v>
      </c>
    </row>
    <row r="112" spans="1:20" s="21" customFormat="1">
      <c r="A112" s="129" t="s">
        <v>114</v>
      </c>
      <c r="B112" s="129" t="s">
        <v>29</v>
      </c>
      <c r="C112" s="129" t="s">
        <v>34</v>
      </c>
      <c r="D112" s="129" t="s">
        <v>385</v>
      </c>
      <c r="E112" s="129" t="s">
        <v>414</v>
      </c>
      <c r="F112" s="157">
        <v>28031</v>
      </c>
      <c r="G112" s="157">
        <v>1748</v>
      </c>
      <c r="H112" s="157">
        <v>26283</v>
      </c>
      <c r="I112" s="157">
        <v>93</v>
      </c>
      <c r="J112" s="129"/>
      <c r="K112" s="129" t="s">
        <v>115</v>
      </c>
      <c r="L112" s="129" t="s">
        <v>39</v>
      </c>
      <c r="M112" s="129" t="s">
        <v>40</v>
      </c>
      <c r="N112" s="129" t="s">
        <v>41</v>
      </c>
      <c r="O112" s="129" t="s">
        <v>415</v>
      </c>
      <c r="P112" s="129" t="s">
        <v>42</v>
      </c>
      <c r="Q112" s="129" t="s">
        <v>42</v>
      </c>
      <c r="R112" s="129" t="s">
        <v>473</v>
      </c>
      <c r="S112" s="129" t="s">
        <v>474</v>
      </c>
      <c r="T112" s="129" t="s">
        <v>418</v>
      </c>
    </row>
    <row r="113" spans="1:20" s="21" customFormat="1">
      <c r="A113" s="129" t="s">
        <v>114</v>
      </c>
      <c r="B113" s="129" t="s">
        <v>29</v>
      </c>
      <c r="C113" s="129" t="s">
        <v>34</v>
      </c>
      <c r="D113" s="129" t="s">
        <v>403</v>
      </c>
      <c r="E113" s="129" t="s">
        <v>475</v>
      </c>
      <c r="F113" s="157">
        <v>1031991</v>
      </c>
      <c r="G113" s="157">
        <v>967209</v>
      </c>
      <c r="H113" s="157">
        <v>64782</v>
      </c>
      <c r="I113" s="157">
        <v>6</v>
      </c>
      <c r="J113" s="129"/>
      <c r="K113" s="129" t="s">
        <v>115</v>
      </c>
      <c r="L113" s="129" t="s">
        <v>39</v>
      </c>
      <c r="M113" s="129" t="s">
        <v>40</v>
      </c>
      <c r="N113" s="129" t="s">
        <v>41</v>
      </c>
      <c r="O113" s="129" t="s">
        <v>415</v>
      </c>
      <c r="P113" s="129" t="s">
        <v>42</v>
      </c>
      <c r="Q113" s="129" t="s">
        <v>42</v>
      </c>
      <c r="R113" s="129" t="s">
        <v>473</v>
      </c>
      <c r="S113" s="129" t="s">
        <v>474</v>
      </c>
      <c r="T113" s="129" t="s">
        <v>418</v>
      </c>
    </row>
    <row r="114" spans="1:20" s="21" customFormat="1">
      <c r="A114" s="129" t="s">
        <v>114</v>
      </c>
      <c r="B114" s="129" t="s">
        <v>29</v>
      </c>
      <c r="C114" s="129" t="s">
        <v>34</v>
      </c>
      <c r="D114" s="129" t="s">
        <v>385</v>
      </c>
      <c r="E114" s="129" t="s">
        <v>421</v>
      </c>
      <c r="F114" s="157">
        <v>9259</v>
      </c>
      <c r="G114" s="157">
        <v>814</v>
      </c>
      <c r="H114" s="157">
        <v>8445</v>
      </c>
      <c r="I114" s="157">
        <v>91</v>
      </c>
      <c r="J114" s="129"/>
      <c r="K114" s="129" t="s">
        <v>115</v>
      </c>
      <c r="L114" s="129" t="s">
        <v>39</v>
      </c>
      <c r="M114" s="129" t="s">
        <v>40</v>
      </c>
      <c r="N114" s="129" t="s">
        <v>41</v>
      </c>
      <c r="O114" s="129" t="s">
        <v>415</v>
      </c>
      <c r="P114" s="129" t="s">
        <v>42</v>
      </c>
      <c r="Q114" s="129" t="s">
        <v>42</v>
      </c>
      <c r="R114" s="129" t="s">
        <v>473</v>
      </c>
      <c r="S114" s="129" t="s">
        <v>474</v>
      </c>
      <c r="T114" s="129" t="s">
        <v>418</v>
      </c>
    </row>
    <row r="115" spans="1:20" s="21" customFormat="1">
      <c r="A115" s="129" t="s">
        <v>116</v>
      </c>
      <c r="B115" s="129" t="s">
        <v>29</v>
      </c>
      <c r="C115" s="129" t="s">
        <v>34</v>
      </c>
      <c r="D115" s="129" t="s">
        <v>385</v>
      </c>
      <c r="E115" s="129" t="s">
        <v>422</v>
      </c>
      <c r="F115" s="157">
        <v>4675</v>
      </c>
      <c r="G115" s="157">
        <v>10</v>
      </c>
      <c r="H115" s="157">
        <v>4665</v>
      </c>
      <c r="I115" s="157">
        <v>99</v>
      </c>
      <c r="J115" s="129"/>
      <c r="K115" s="129" t="s">
        <v>49</v>
      </c>
      <c r="L115" s="129" t="s">
        <v>39</v>
      </c>
      <c r="M115" s="129" t="s">
        <v>40</v>
      </c>
      <c r="N115" s="129" t="s">
        <v>95</v>
      </c>
      <c r="O115" s="129" t="s">
        <v>415</v>
      </c>
      <c r="P115" s="129" t="s">
        <v>42</v>
      </c>
      <c r="Q115" s="129" t="s">
        <v>42</v>
      </c>
      <c r="R115" s="129" t="s">
        <v>476</v>
      </c>
      <c r="S115" s="129" t="s">
        <v>477</v>
      </c>
      <c r="T115" s="129" t="s">
        <v>418</v>
      </c>
    </row>
    <row r="116" spans="1:20" s="21" customFormat="1">
      <c r="A116" s="129" t="s">
        <v>116</v>
      </c>
      <c r="B116" s="129" t="s">
        <v>29</v>
      </c>
      <c r="C116" s="129" t="s">
        <v>34</v>
      </c>
      <c r="D116" s="129" t="s">
        <v>385</v>
      </c>
      <c r="E116" s="129" t="s">
        <v>430</v>
      </c>
      <c r="F116" s="157">
        <v>471</v>
      </c>
      <c r="G116" s="157">
        <v>343</v>
      </c>
      <c r="H116" s="157">
        <v>128</v>
      </c>
      <c r="I116" s="157">
        <v>27</v>
      </c>
      <c r="J116" s="129"/>
      <c r="K116" s="129" t="s">
        <v>49</v>
      </c>
      <c r="L116" s="129" t="s">
        <v>39</v>
      </c>
      <c r="M116" s="129" t="s">
        <v>40</v>
      </c>
      <c r="N116" s="129" t="s">
        <v>95</v>
      </c>
      <c r="O116" s="129" t="s">
        <v>415</v>
      </c>
      <c r="P116" s="129" t="s">
        <v>42</v>
      </c>
      <c r="Q116" s="129" t="s">
        <v>42</v>
      </c>
      <c r="R116" s="129" t="s">
        <v>476</v>
      </c>
      <c r="S116" s="129" t="s">
        <v>477</v>
      </c>
      <c r="T116" s="129" t="s">
        <v>418</v>
      </c>
    </row>
    <row r="117" spans="1:20" s="21" customFormat="1">
      <c r="A117" s="129" t="s">
        <v>116</v>
      </c>
      <c r="B117" s="129" t="s">
        <v>29</v>
      </c>
      <c r="C117" s="129" t="s">
        <v>34</v>
      </c>
      <c r="D117" s="129" t="s">
        <v>385</v>
      </c>
      <c r="E117" s="129" t="s">
        <v>420</v>
      </c>
      <c r="F117" s="157">
        <v>19093</v>
      </c>
      <c r="G117" s="157">
        <v>245</v>
      </c>
      <c r="H117" s="157">
        <v>18848</v>
      </c>
      <c r="I117" s="157">
        <v>98</v>
      </c>
      <c r="J117" s="129"/>
      <c r="K117" s="129" t="s">
        <v>49</v>
      </c>
      <c r="L117" s="129" t="s">
        <v>39</v>
      </c>
      <c r="M117" s="129" t="s">
        <v>40</v>
      </c>
      <c r="N117" s="129" t="s">
        <v>95</v>
      </c>
      <c r="O117" s="129" t="s">
        <v>415</v>
      </c>
      <c r="P117" s="129" t="s">
        <v>42</v>
      </c>
      <c r="Q117" s="129" t="s">
        <v>42</v>
      </c>
      <c r="R117" s="129" t="s">
        <v>476</v>
      </c>
      <c r="S117" s="129" t="s">
        <v>477</v>
      </c>
      <c r="T117" s="129" t="s">
        <v>418</v>
      </c>
    </row>
    <row r="118" spans="1:20" s="21" customFormat="1">
      <c r="A118" s="129" t="s">
        <v>116</v>
      </c>
      <c r="B118" s="129" t="s">
        <v>29</v>
      </c>
      <c r="C118" s="129" t="s">
        <v>34</v>
      </c>
      <c r="D118" s="129" t="s">
        <v>385</v>
      </c>
      <c r="E118" s="129" t="s">
        <v>414</v>
      </c>
      <c r="F118" s="157">
        <v>65535</v>
      </c>
      <c r="G118" s="157">
        <v>4411</v>
      </c>
      <c r="H118" s="157">
        <v>61124</v>
      </c>
      <c r="I118" s="157">
        <v>93</v>
      </c>
      <c r="J118" s="129"/>
      <c r="K118" s="129" t="s">
        <v>49</v>
      </c>
      <c r="L118" s="129" t="s">
        <v>39</v>
      </c>
      <c r="M118" s="129" t="s">
        <v>40</v>
      </c>
      <c r="N118" s="129" t="s">
        <v>95</v>
      </c>
      <c r="O118" s="129" t="s">
        <v>415</v>
      </c>
      <c r="P118" s="129" t="s">
        <v>42</v>
      </c>
      <c r="Q118" s="129" t="s">
        <v>42</v>
      </c>
      <c r="R118" s="129" t="s">
        <v>476</v>
      </c>
      <c r="S118" s="129" t="s">
        <v>477</v>
      </c>
      <c r="T118" s="129" t="s">
        <v>418</v>
      </c>
    </row>
    <row r="119" spans="1:20" s="21" customFormat="1">
      <c r="A119" s="129" t="s">
        <v>116</v>
      </c>
      <c r="B119" s="129" t="s">
        <v>29</v>
      </c>
      <c r="C119" s="129" t="s">
        <v>34</v>
      </c>
      <c r="D119" s="129" t="s">
        <v>385</v>
      </c>
      <c r="E119" s="129" t="s">
        <v>421</v>
      </c>
      <c r="F119" s="157">
        <v>9482</v>
      </c>
      <c r="G119" s="157">
        <v>5022</v>
      </c>
      <c r="H119" s="157">
        <v>4460</v>
      </c>
      <c r="I119" s="157">
        <v>47</v>
      </c>
      <c r="J119" s="129"/>
      <c r="K119" s="129" t="s">
        <v>49</v>
      </c>
      <c r="L119" s="129" t="s">
        <v>39</v>
      </c>
      <c r="M119" s="129" t="s">
        <v>40</v>
      </c>
      <c r="N119" s="129" t="s">
        <v>95</v>
      </c>
      <c r="O119" s="129" t="s">
        <v>415</v>
      </c>
      <c r="P119" s="129" t="s">
        <v>42</v>
      </c>
      <c r="Q119" s="129" t="s">
        <v>42</v>
      </c>
      <c r="R119" s="129" t="s">
        <v>476</v>
      </c>
      <c r="S119" s="129" t="s">
        <v>477</v>
      </c>
      <c r="T119" s="129" t="s">
        <v>418</v>
      </c>
    </row>
    <row r="120" spans="1:20" s="21" customFormat="1">
      <c r="A120" s="129" t="s">
        <v>118</v>
      </c>
      <c r="B120" s="129" t="s">
        <v>29</v>
      </c>
      <c r="C120" s="129" t="s">
        <v>34</v>
      </c>
      <c r="D120" s="129" t="s">
        <v>385</v>
      </c>
      <c r="E120" s="129" t="s">
        <v>420</v>
      </c>
      <c r="F120" s="157">
        <v>19093</v>
      </c>
      <c r="G120" s="157">
        <v>244</v>
      </c>
      <c r="H120" s="157">
        <v>18849</v>
      </c>
      <c r="I120" s="157">
        <v>98</v>
      </c>
      <c r="J120" s="129"/>
      <c r="K120" s="129" t="s">
        <v>49</v>
      </c>
      <c r="L120" s="129" t="s">
        <v>39</v>
      </c>
      <c r="M120" s="129" t="s">
        <v>40</v>
      </c>
      <c r="N120" s="129" t="s">
        <v>50</v>
      </c>
      <c r="O120" s="129" t="s">
        <v>415</v>
      </c>
      <c r="P120" s="129" t="s">
        <v>42</v>
      </c>
      <c r="Q120" s="129" t="s">
        <v>42</v>
      </c>
      <c r="R120" s="129" t="s">
        <v>478</v>
      </c>
      <c r="S120" s="129" t="s">
        <v>479</v>
      </c>
      <c r="T120" s="129" t="s">
        <v>418</v>
      </c>
    </row>
    <row r="121" spans="1:20" s="21" customFormat="1">
      <c r="A121" s="129" t="s">
        <v>118</v>
      </c>
      <c r="B121" s="129" t="s">
        <v>29</v>
      </c>
      <c r="C121" s="129" t="s">
        <v>34</v>
      </c>
      <c r="D121" s="129" t="s">
        <v>385</v>
      </c>
      <c r="E121" s="129" t="s">
        <v>422</v>
      </c>
      <c r="F121" s="157">
        <v>4675</v>
      </c>
      <c r="G121" s="157">
        <v>10</v>
      </c>
      <c r="H121" s="157">
        <v>4665</v>
      </c>
      <c r="I121" s="157">
        <v>99</v>
      </c>
      <c r="J121" s="129"/>
      <c r="K121" s="129" t="s">
        <v>49</v>
      </c>
      <c r="L121" s="129" t="s">
        <v>39</v>
      </c>
      <c r="M121" s="129" t="s">
        <v>40</v>
      </c>
      <c r="N121" s="129" t="s">
        <v>50</v>
      </c>
      <c r="O121" s="129" t="s">
        <v>415</v>
      </c>
      <c r="P121" s="129" t="s">
        <v>42</v>
      </c>
      <c r="Q121" s="129" t="s">
        <v>42</v>
      </c>
      <c r="R121" s="129" t="s">
        <v>478</v>
      </c>
      <c r="S121" s="129" t="s">
        <v>479</v>
      </c>
      <c r="T121" s="129" t="s">
        <v>418</v>
      </c>
    </row>
    <row r="122" spans="1:20" s="21" customFormat="1">
      <c r="A122" s="129" t="s">
        <v>118</v>
      </c>
      <c r="B122" s="129" t="s">
        <v>29</v>
      </c>
      <c r="C122" s="129" t="s">
        <v>34</v>
      </c>
      <c r="D122" s="129" t="s">
        <v>385</v>
      </c>
      <c r="E122" s="129" t="s">
        <v>421</v>
      </c>
      <c r="F122" s="157">
        <v>9482</v>
      </c>
      <c r="G122" s="157">
        <v>4901</v>
      </c>
      <c r="H122" s="157">
        <v>4581</v>
      </c>
      <c r="I122" s="157">
        <v>48</v>
      </c>
      <c r="J122" s="129"/>
      <c r="K122" s="129" t="s">
        <v>49</v>
      </c>
      <c r="L122" s="129" t="s">
        <v>39</v>
      </c>
      <c r="M122" s="129" t="s">
        <v>40</v>
      </c>
      <c r="N122" s="129" t="s">
        <v>50</v>
      </c>
      <c r="O122" s="129" t="s">
        <v>415</v>
      </c>
      <c r="P122" s="129" t="s">
        <v>42</v>
      </c>
      <c r="Q122" s="129" t="s">
        <v>42</v>
      </c>
      <c r="R122" s="129" t="s">
        <v>478</v>
      </c>
      <c r="S122" s="129" t="s">
        <v>479</v>
      </c>
      <c r="T122" s="129" t="s">
        <v>418</v>
      </c>
    </row>
    <row r="123" spans="1:20" s="21" customFormat="1">
      <c r="A123" s="129" t="s">
        <v>118</v>
      </c>
      <c r="B123" s="129" t="s">
        <v>29</v>
      </c>
      <c r="C123" s="129" t="s">
        <v>34</v>
      </c>
      <c r="D123" s="129" t="s">
        <v>385</v>
      </c>
      <c r="E123" s="129" t="s">
        <v>414</v>
      </c>
      <c r="F123" s="157">
        <v>65535</v>
      </c>
      <c r="G123" s="157">
        <v>5459</v>
      </c>
      <c r="H123" s="157">
        <v>60076</v>
      </c>
      <c r="I123" s="157">
        <v>91</v>
      </c>
      <c r="J123" s="129"/>
      <c r="K123" s="129" t="s">
        <v>49</v>
      </c>
      <c r="L123" s="129" t="s">
        <v>39</v>
      </c>
      <c r="M123" s="129" t="s">
        <v>40</v>
      </c>
      <c r="N123" s="129" t="s">
        <v>50</v>
      </c>
      <c r="O123" s="129" t="s">
        <v>415</v>
      </c>
      <c r="P123" s="129" t="s">
        <v>42</v>
      </c>
      <c r="Q123" s="129" t="s">
        <v>42</v>
      </c>
      <c r="R123" s="129" t="s">
        <v>478</v>
      </c>
      <c r="S123" s="129" t="s">
        <v>479</v>
      </c>
      <c r="T123" s="129" t="s">
        <v>418</v>
      </c>
    </row>
    <row r="124" spans="1:20" s="21" customFormat="1">
      <c r="A124" s="129" t="s">
        <v>118</v>
      </c>
      <c r="B124" s="129" t="s">
        <v>29</v>
      </c>
      <c r="C124" s="129" t="s">
        <v>34</v>
      </c>
      <c r="D124" s="129" t="s">
        <v>385</v>
      </c>
      <c r="E124" s="129" t="s">
        <v>430</v>
      </c>
      <c r="F124" s="157">
        <v>471</v>
      </c>
      <c r="G124" s="157">
        <v>468</v>
      </c>
      <c r="H124" s="157">
        <v>3</v>
      </c>
      <c r="I124" s="157">
        <v>0</v>
      </c>
      <c r="J124" s="129"/>
      <c r="K124" s="129" t="s">
        <v>49</v>
      </c>
      <c r="L124" s="129" t="s">
        <v>39</v>
      </c>
      <c r="M124" s="129" t="s">
        <v>40</v>
      </c>
      <c r="N124" s="129" t="s">
        <v>50</v>
      </c>
      <c r="O124" s="129" t="s">
        <v>415</v>
      </c>
      <c r="P124" s="129" t="s">
        <v>42</v>
      </c>
      <c r="Q124" s="129" t="s">
        <v>42</v>
      </c>
      <c r="R124" s="129" t="s">
        <v>478</v>
      </c>
      <c r="S124" s="129" t="s">
        <v>479</v>
      </c>
      <c r="T124" s="129" t="s">
        <v>418</v>
      </c>
    </row>
    <row r="125" spans="1:20" s="21" customFormat="1">
      <c r="A125" s="129" t="s">
        <v>120</v>
      </c>
      <c r="B125" s="129" t="s">
        <v>29</v>
      </c>
      <c r="C125" s="129" t="s">
        <v>34</v>
      </c>
      <c r="D125" s="129" t="s">
        <v>403</v>
      </c>
      <c r="E125" s="129" t="s">
        <v>480</v>
      </c>
      <c r="F125" s="157">
        <v>5242749</v>
      </c>
      <c r="G125" s="157">
        <v>2496626</v>
      </c>
      <c r="H125" s="157">
        <v>2746123</v>
      </c>
      <c r="I125" s="157">
        <v>52</v>
      </c>
      <c r="J125" s="129" t="s">
        <v>481</v>
      </c>
      <c r="K125" s="129" t="s">
        <v>49</v>
      </c>
      <c r="L125" s="129" t="s">
        <v>39</v>
      </c>
      <c r="M125" s="129" t="s">
        <v>40</v>
      </c>
      <c r="N125" s="129" t="s">
        <v>50</v>
      </c>
      <c r="O125" s="129" t="s">
        <v>415</v>
      </c>
      <c r="P125" s="129" t="s">
        <v>123</v>
      </c>
      <c r="Q125" s="129" t="s">
        <v>123</v>
      </c>
      <c r="R125" s="129" t="s">
        <v>482</v>
      </c>
      <c r="S125" s="129" t="s">
        <v>483</v>
      </c>
      <c r="T125" s="129" t="s">
        <v>418</v>
      </c>
    </row>
    <row r="126" spans="1:20" s="21" customFormat="1">
      <c r="A126" s="129" t="s">
        <v>120</v>
      </c>
      <c r="B126" s="129" t="s">
        <v>29</v>
      </c>
      <c r="C126" s="129" t="s">
        <v>34</v>
      </c>
      <c r="D126" s="129" t="s">
        <v>385</v>
      </c>
      <c r="E126" s="129" t="s">
        <v>463</v>
      </c>
      <c r="F126" s="157">
        <v>102297</v>
      </c>
      <c r="G126" s="157">
        <v>65577</v>
      </c>
      <c r="H126" s="157">
        <v>36720</v>
      </c>
      <c r="I126" s="157">
        <v>35</v>
      </c>
      <c r="J126" s="129" t="s">
        <v>481</v>
      </c>
      <c r="K126" s="129" t="s">
        <v>49</v>
      </c>
      <c r="L126" s="129" t="s">
        <v>39</v>
      </c>
      <c r="M126" s="129" t="s">
        <v>40</v>
      </c>
      <c r="N126" s="129" t="s">
        <v>50</v>
      </c>
      <c r="O126" s="129" t="s">
        <v>415</v>
      </c>
      <c r="P126" s="129" t="s">
        <v>123</v>
      </c>
      <c r="Q126" s="129" t="s">
        <v>123</v>
      </c>
      <c r="R126" s="129" t="s">
        <v>482</v>
      </c>
      <c r="S126" s="129" t="s">
        <v>483</v>
      </c>
      <c r="T126" s="129" t="s">
        <v>418</v>
      </c>
    </row>
    <row r="127" spans="1:20" s="21" customFormat="1">
      <c r="A127" s="129" t="s">
        <v>120</v>
      </c>
      <c r="B127" s="129" t="s">
        <v>29</v>
      </c>
      <c r="C127" s="129" t="s">
        <v>34</v>
      </c>
      <c r="D127" s="129" t="s">
        <v>403</v>
      </c>
      <c r="E127" s="129" t="s">
        <v>484</v>
      </c>
      <c r="F127" s="157">
        <v>37748345</v>
      </c>
      <c r="G127" s="157">
        <v>35583587</v>
      </c>
      <c r="H127" s="157">
        <v>2164758</v>
      </c>
      <c r="I127" s="157">
        <v>5</v>
      </c>
      <c r="J127" s="129" t="s">
        <v>481</v>
      </c>
      <c r="K127" s="129" t="s">
        <v>49</v>
      </c>
      <c r="L127" s="129" t="s">
        <v>39</v>
      </c>
      <c r="M127" s="129" t="s">
        <v>40</v>
      </c>
      <c r="N127" s="129" t="s">
        <v>50</v>
      </c>
      <c r="O127" s="129" t="s">
        <v>415</v>
      </c>
      <c r="P127" s="129" t="s">
        <v>123</v>
      </c>
      <c r="Q127" s="129" t="s">
        <v>123</v>
      </c>
      <c r="R127" s="129" t="s">
        <v>482</v>
      </c>
      <c r="S127" s="129" t="s">
        <v>483</v>
      </c>
      <c r="T127" s="129" t="s">
        <v>418</v>
      </c>
    </row>
    <row r="128" spans="1:20" s="21" customFormat="1">
      <c r="A128" s="129" t="s">
        <v>124</v>
      </c>
      <c r="B128" s="129" t="s">
        <v>29</v>
      </c>
      <c r="C128" s="129" t="s">
        <v>34</v>
      </c>
      <c r="D128" s="129" t="s">
        <v>385</v>
      </c>
      <c r="E128" s="129" t="s">
        <v>463</v>
      </c>
      <c r="F128" s="157">
        <v>102297</v>
      </c>
      <c r="G128" s="157">
        <v>67396</v>
      </c>
      <c r="H128" s="157">
        <v>34901</v>
      </c>
      <c r="I128" s="157">
        <v>34</v>
      </c>
      <c r="J128" s="129"/>
      <c r="K128" s="129" t="s">
        <v>49</v>
      </c>
      <c r="L128" s="129" t="s">
        <v>39</v>
      </c>
      <c r="M128" s="129" t="s">
        <v>40</v>
      </c>
      <c r="N128" s="129" t="s">
        <v>46</v>
      </c>
      <c r="O128" s="129" t="s">
        <v>485</v>
      </c>
      <c r="P128" s="129" t="s">
        <v>123</v>
      </c>
      <c r="Q128" s="129" t="s">
        <v>123</v>
      </c>
      <c r="R128" s="129" t="s">
        <v>486</v>
      </c>
      <c r="S128" s="129" t="s">
        <v>483</v>
      </c>
      <c r="T128" s="129" t="s">
        <v>418</v>
      </c>
    </row>
    <row r="129" spans="1:20" s="21" customFormat="1">
      <c r="A129" s="129" t="s">
        <v>127</v>
      </c>
      <c r="B129" s="129" t="s">
        <v>29</v>
      </c>
      <c r="C129" s="129" t="s">
        <v>34</v>
      </c>
      <c r="D129" s="129" t="s">
        <v>385</v>
      </c>
      <c r="E129" s="129" t="s">
        <v>463</v>
      </c>
      <c r="F129" s="157">
        <v>102297</v>
      </c>
      <c r="G129" s="157">
        <v>65322</v>
      </c>
      <c r="H129" s="157">
        <v>36975</v>
      </c>
      <c r="I129" s="157">
        <v>36</v>
      </c>
      <c r="J129" s="129"/>
      <c r="K129" s="129" t="s">
        <v>49</v>
      </c>
      <c r="L129" s="129" t="s">
        <v>39</v>
      </c>
      <c r="M129" s="129" t="s">
        <v>40</v>
      </c>
      <c r="N129" s="129" t="s">
        <v>41</v>
      </c>
      <c r="O129" s="129" t="s">
        <v>415</v>
      </c>
      <c r="P129" s="129" t="s">
        <v>123</v>
      </c>
      <c r="Q129" s="129" t="s">
        <v>123</v>
      </c>
      <c r="R129" s="129" t="s">
        <v>487</v>
      </c>
      <c r="S129" s="129" t="s">
        <v>488</v>
      </c>
      <c r="T129" s="129" t="s">
        <v>418</v>
      </c>
    </row>
    <row r="130" spans="1:20" s="21" customFormat="1">
      <c r="A130" s="129" t="s">
        <v>129</v>
      </c>
      <c r="B130" s="129" t="s">
        <v>29</v>
      </c>
      <c r="C130" s="129" t="s">
        <v>34</v>
      </c>
      <c r="D130" s="129" t="s">
        <v>385</v>
      </c>
      <c r="E130" s="129" t="s">
        <v>414</v>
      </c>
      <c r="F130" s="157">
        <v>65535</v>
      </c>
      <c r="G130" s="157">
        <v>5459</v>
      </c>
      <c r="H130" s="157">
        <v>60076</v>
      </c>
      <c r="I130" s="157">
        <v>91</v>
      </c>
      <c r="J130" s="129"/>
      <c r="K130" s="129" t="s">
        <v>49</v>
      </c>
      <c r="L130" s="129" t="s">
        <v>39</v>
      </c>
      <c r="M130" s="129" t="s">
        <v>40</v>
      </c>
      <c r="N130" s="129" t="s">
        <v>41</v>
      </c>
      <c r="O130" s="129" t="s">
        <v>415</v>
      </c>
      <c r="P130" s="129" t="s">
        <v>42</v>
      </c>
      <c r="Q130" s="129" t="s">
        <v>42</v>
      </c>
      <c r="R130" s="129" t="s">
        <v>489</v>
      </c>
      <c r="S130" s="129" t="s">
        <v>490</v>
      </c>
      <c r="T130" s="129" t="s">
        <v>418</v>
      </c>
    </row>
    <row r="131" spans="1:20" s="21" customFormat="1">
      <c r="A131" s="129" t="s">
        <v>129</v>
      </c>
      <c r="B131" s="129" t="s">
        <v>29</v>
      </c>
      <c r="C131" s="129" t="s">
        <v>34</v>
      </c>
      <c r="D131" s="129" t="s">
        <v>385</v>
      </c>
      <c r="E131" s="129" t="s">
        <v>420</v>
      </c>
      <c r="F131" s="157">
        <v>19093</v>
      </c>
      <c r="G131" s="157">
        <v>244</v>
      </c>
      <c r="H131" s="157">
        <v>18849</v>
      </c>
      <c r="I131" s="157">
        <v>98</v>
      </c>
      <c r="J131" s="129"/>
      <c r="K131" s="129" t="s">
        <v>49</v>
      </c>
      <c r="L131" s="129" t="s">
        <v>39</v>
      </c>
      <c r="M131" s="129" t="s">
        <v>40</v>
      </c>
      <c r="N131" s="129" t="s">
        <v>41</v>
      </c>
      <c r="O131" s="129" t="s">
        <v>415</v>
      </c>
      <c r="P131" s="129" t="s">
        <v>42</v>
      </c>
      <c r="Q131" s="129" t="s">
        <v>42</v>
      </c>
      <c r="R131" s="129" t="s">
        <v>489</v>
      </c>
      <c r="S131" s="129" t="s">
        <v>490</v>
      </c>
      <c r="T131" s="129" t="s">
        <v>418</v>
      </c>
    </row>
    <row r="132" spans="1:20" s="21" customFormat="1">
      <c r="A132" s="129" t="s">
        <v>129</v>
      </c>
      <c r="B132" s="129" t="s">
        <v>29</v>
      </c>
      <c r="C132" s="129" t="s">
        <v>34</v>
      </c>
      <c r="D132" s="129" t="s">
        <v>385</v>
      </c>
      <c r="E132" s="129" t="s">
        <v>430</v>
      </c>
      <c r="F132" s="157">
        <v>471</v>
      </c>
      <c r="G132" s="157">
        <v>468</v>
      </c>
      <c r="H132" s="157">
        <v>3</v>
      </c>
      <c r="I132" s="157">
        <v>0</v>
      </c>
      <c r="J132" s="129"/>
      <c r="K132" s="129" t="s">
        <v>49</v>
      </c>
      <c r="L132" s="129" t="s">
        <v>39</v>
      </c>
      <c r="M132" s="129" t="s">
        <v>40</v>
      </c>
      <c r="N132" s="129" t="s">
        <v>41</v>
      </c>
      <c r="O132" s="129" t="s">
        <v>415</v>
      </c>
      <c r="P132" s="129" t="s">
        <v>42</v>
      </c>
      <c r="Q132" s="129" t="s">
        <v>42</v>
      </c>
      <c r="R132" s="129" t="s">
        <v>489</v>
      </c>
      <c r="S132" s="129" t="s">
        <v>490</v>
      </c>
      <c r="T132" s="129" t="s">
        <v>418</v>
      </c>
    </row>
    <row r="133" spans="1:20" s="21" customFormat="1">
      <c r="A133" s="129" t="s">
        <v>129</v>
      </c>
      <c r="B133" s="129" t="s">
        <v>29</v>
      </c>
      <c r="C133" s="129" t="s">
        <v>34</v>
      </c>
      <c r="D133" s="129" t="s">
        <v>385</v>
      </c>
      <c r="E133" s="129" t="s">
        <v>421</v>
      </c>
      <c r="F133" s="157">
        <v>9482</v>
      </c>
      <c r="G133" s="157">
        <v>4901</v>
      </c>
      <c r="H133" s="157">
        <v>4581</v>
      </c>
      <c r="I133" s="157">
        <v>48</v>
      </c>
      <c r="J133" s="129"/>
      <c r="K133" s="129" t="s">
        <v>49</v>
      </c>
      <c r="L133" s="129" t="s">
        <v>39</v>
      </c>
      <c r="M133" s="129" t="s">
        <v>40</v>
      </c>
      <c r="N133" s="129" t="s">
        <v>41</v>
      </c>
      <c r="O133" s="129" t="s">
        <v>415</v>
      </c>
      <c r="P133" s="129" t="s">
        <v>42</v>
      </c>
      <c r="Q133" s="129" t="s">
        <v>42</v>
      </c>
      <c r="R133" s="129" t="s">
        <v>489</v>
      </c>
      <c r="S133" s="129" t="s">
        <v>490</v>
      </c>
      <c r="T133" s="129" t="s">
        <v>418</v>
      </c>
    </row>
    <row r="134" spans="1:20" s="21" customFormat="1">
      <c r="A134" s="129" t="s">
        <v>129</v>
      </c>
      <c r="B134" s="129" t="s">
        <v>29</v>
      </c>
      <c r="C134" s="129" t="s">
        <v>34</v>
      </c>
      <c r="D134" s="129" t="s">
        <v>385</v>
      </c>
      <c r="E134" s="129" t="s">
        <v>422</v>
      </c>
      <c r="F134" s="157">
        <v>4675</v>
      </c>
      <c r="G134" s="157">
        <v>10</v>
      </c>
      <c r="H134" s="157">
        <v>4665</v>
      </c>
      <c r="I134" s="157">
        <v>99</v>
      </c>
      <c r="J134" s="129"/>
      <c r="K134" s="129" t="s">
        <v>49</v>
      </c>
      <c r="L134" s="129" t="s">
        <v>39</v>
      </c>
      <c r="M134" s="129" t="s">
        <v>40</v>
      </c>
      <c r="N134" s="129" t="s">
        <v>41</v>
      </c>
      <c r="O134" s="129" t="s">
        <v>415</v>
      </c>
      <c r="P134" s="129" t="s">
        <v>42</v>
      </c>
      <c r="Q134" s="129" t="s">
        <v>42</v>
      </c>
      <c r="R134" s="129" t="s">
        <v>489</v>
      </c>
      <c r="S134" s="129" t="s">
        <v>490</v>
      </c>
      <c r="T134" s="129" t="s">
        <v>418</v>
      </c>
    </row>
    <row r="135" spans="1:20" s="21" customFormat="1">
      <c r="A135" s="129" t="s">
        <v>131</v>
      </c>
      <c r="B135" s="129" t="s">
        <v>29</v>
      </c>
      <c r="C135" s="129" t="s">
        <v>34</v>
      </c>
      <c r="D135" s="129" t="s">
        <v>385</v>
      </c>
      <c r="E135" s="129" t="s">
        <v>420</v>
      </c>
      <c r="F135" s="157">
        <v>19093</v>
      </c>
      <c r="G135" s="157">
        <v>9590</v>
      </c>
      <c r="H135" s="157">
        <v>9503</v>
      </c>
      <c r="I135" s="157">
        <v>49</v>
      </c>
      <c r="J135" s="129"/>
      <c r="K135" s="129" t="s">
        <v>49</v>
      </c>
      <c r="L135" s="129" t="s">
        <v>39</v>
      </c>
      <c r="M135" s="129" t="s">
        <v>40</v>
      </c>
      <c r="N135" s="129" t="s">
        <v>41</v>
      </c>
      <c r="O135" s="129" t="s">
        <v>415</v>
      </c>
      <c r="P135" s="129" t="s">
        <v>42</v>
      </c>
      <c r="Q135" s="129" t="s">
        <v>42</v>
      </c>
      <c r="R135" s="129" t="s">
        <v>491</v>
      </c>
      <c r="S135" s="129" t="s">
        <v>492</v>
      </c>
      <c r="T135" s="129" t="s">
        <v>418</v>
      </c>
    </row>
    <row r="136" spans="1:20" s="21" customFormat="1">
      <c r="A136" s="129" t="s">
        <v>131</v>
      </c>
      <c r="B136" s="129" t="s">
        <v>29</v>
      </c>
      <c r="C136" s="129" t="s">
        <v>34</v>
      </c>
      <c r="D136" s="129" t="s">
        <v>385</v>
      </c>
      <c r="E136" s="129" t="s">
        <v>422</v>
      </c>
      <c r="F136" s="157">
        <v>4675</v>
      </c>
      <c r="G136" s="157">
        <v>10</v>
      </c>
      <c r="H136" s="157">
        <v>4665</v>
      </c>
      <c r="I136" s="157">
        <v>99</v>
      </c>
      <c r="J136" s="129"/>
      <c r="K136" s="129" t="s">
        <v>49</v>
      </c>
      <c r="L136" s="129" t="s">
        <v>39</v>
      </c>
      <c r="M136" s="129" t="s">
        <v>40</v>
      </c>
      <c r="N136" s="129" t="s">
        <v>41</v>
      </c>
      <c r="O136" s="129" t="s">
        <v>415</v>
      </c>
      <c r="P136" s="129" t="s">
        <v>42</v>
      </c>
      <c r="Q136" s="129" t="s">
        <v>42</v>
      </c>
      <c r="R136" s="129" t="s">
        <v>491</v>
      </c>
      <c r="S136" s="129" t="s">
        <v>492</v>
      </c>
      <c r="T136" s="129" t="s">
        <v>418</v>
      </c>
    </row>
    <row r="137" spans="1:20" s="21" customFormat="1">
      <c r="A137" s="129" t="s">
        <v>131</v>
      </c>
      <c r="B137" s="129" t="s">
        <v>29</v>
      </c>
      <c r="C137" s="129" t="s">
        <v>34</v>
      </c>
      <c r="D137" s="129" t="s">
        <v>403</v>
      </c>
      <c r="E137" s="129" t="s">
        <v>493</v>
      </c>
      <c r="F137" s="157">
        <v>1032009</v>
      </c>
      <c r="G137" s="157">
        <v>134539</v>
      </c>
      <c r="H137" s="157">
        <v>897470</v>
      </c>
      <c r="I137" s="157">
        <v>86</v>
      </c>
      <c r="J137" s="129"/>
      <c r="K137" s="129" t="s">
        <v>49</v>
      </c>
      <c r="L137" s="129" t="s">
        <v>39</v>
      </c>
      <c r="M137" s="129" t="s">
        <v>40</v>
      </c>
      <c r="N137" s="129" t="s">
        <v>41</v>
      </c>
      <c r="O137" s="129" t="s">
        <v>415</v>
      </c>
      <c r="P137" s="129" t="s">
        <v>42</v>
      </c>
      <c r="Q137" s="129" t="s">
        <v>42</v>
      </c>
      <c r="R137" s="129" t="s">
        <v>491</v>
      </c>
      <c r="S137" s="129" t="s">
        <v>492</v>
      </c>
      <c r="T137" s="129" t="s">
        <v>418</v>
      </c>
    </row>
    <row r="138" spans="1:20" s="21" customFormat="1">
      <c r="A138" s="129" t="s">
        <v>131</v>
      </c>
      <c r="B138" s="129" t="s">
        <v>29</v>
      </c>
      <c r="C138" s="129" t="s">
        <v>34</v>
      </c>
      <c r="D138" s="129" t="s">
        <v>385</v>
      </c>
      <c r="E138" s="129" t="s">
        <v>430</v>
      </c>
      <c r="F138" s="157">
        <v>471</v>
      </c>
      <c r="G138" s="157">
        <v>466</v>
      </c>
      <c r="H138" s="157">
        <v>5</v>
      </c>
      <c r="I138" s="157">
        <v>1</v>
      </c>
      <c r="J138" s="129"/>
      <c r="K138" s="129" t="s">
        <v>49</v>
      </c>
      <c r="L138" s="129" t="s">
        <v>39</v>
      </c>
      <c r="M138" s="129" t="s">
        <v>40</v>
      </c>
      <c r="N138" s="129" t="s">
        <v>41</v>
      </c>
      <c r="O138" s="129" t="s">
        <v>415</v>
      </c>
      <c r="P138" s="129" t="s">
        <v>42</v>
      </c>
      <c r="Q138" s="129" t="s">
        <v>42</v>
      </c>
      <c r="R138" s="129" t="s">
        <v>491</v>
      </c>
      <c r="S138" s="129" t="s">
        <v>492</v>
      </c>
      <c r="T138" s="129" t="s">
        <v>418</v>
      </c>
    </row>
    <row r="139" spans="1:20" s="21" customFormat="1">
      <c r="A139" s="129" t="s">
        <v>131</v>
      </c>
      <c r="B139" s="129" t="s">
        <v>29</v>
      </c>
      <c r="C139" s="129" t="s">
        <v>34</v>
      </c>
      <c r="D139" s="129" t="s">
        <v>385</v>
      </c>
      <c r="E139" s="129" t="s">
        <v>414</v>
      </c>
      <c r="F139" s="157">
        <v>65535</v>
      </c>
      <c r="G139" s="157">
        <v>46932</v>
      </c>
      <c r="H139" s="157">
        <v>18603</v>
      </c>
      <c r="I139" s="157">
        <v>28</v>
      </c>
      <c r="J139" s="129"/>
      <c r="K139" s="129" t="s">
        <v>49</v>
      </c>
      <c r="L139" s="129" t="s">
        <v>39</v>
      </c>
      <c r="M139" s="129" t="s">
        <v>40</v>
      </c>
      <c r="N139" s="129" t="s">
        <v>41</v>
      </c>
      <c r="O139" s="129" t="s">
        <v>415</v>
      </c>
      <c r="P139" s="129" t="s">
        <v>42</v>
      </c>
      <c r="Q139" s="129" t="s">
        <v>42</v>
      </c>
      <c r="R139" s="129" t="s">
        <v>491</v>
      </c>
      <c r="S139" s="129" t="s">
        <v>492</v>
      </c>
      <c r="T139" s="129" t="s">
        <v>418</v>
      </c>
    </row>
    <row r="140" spans="1:20" s="21" customFormat="1">
      <c r="A140" s="129" t="s">
        <v>131</v>
      </c>
      <c r="B140" s="129" t="s">
        <v>29</v>
      </c>
      <c r="C140" s="129" t="s">
        <v>34</v>
      </c>
      <c r="D140" s="129" t="s">
        <v>385</v>
      </c>
      <c r="E140" s="129" t="s">
        <v>421</v>
      </c>
      <c r="F140" s="157">
        <v>9482</v>
      </c>
      <c r="G140" s="157">
        <v>594</v>
      </c>
      <c r="H140" s="157">
        <v>8888</v>
      </c>
      <c r="I140" s="157">
        <v>93</v>
      </c>
      <c r="J140" s="129"/>
      <c r="K140" s="129" t="s">
        <v>49</v>
      </c>
      <c r="L140" s="129" t="s">
        <v>39</v>
      </c>
      <c r="M140" s="129" t="s">
        <v>40</v>
      </c>
      <c r="N140" s="129" t="s">
        <v>41</v>
      </c>
      <c r="O140" s="129" t="s">
        <v>415</v>
      </c>
      <c r="P140" s="129" t="s">
        <v>42</v>
      </c>
      <c r="Q140" s="129" t="s">
        <v>42</v>
      </c>
      <c r="R140" s="129" t="s">
        <v>491</v>
      </c>
      <c r="S140" s="129" t="s">
        <v>492</v>
      </c>
      <c r="T140" s="129" t="s">
        <v>418</v>
      </c>
    </row>
    <row r="141" spans="1:20" s="21" customFormat="1">
      <c r="A141" s="129" t="s">
        <v>134</v>
      </c>
      <c r="B141" s="129" t="s">
        <v>29</v>
      </c>
      <c r="C141" s="129" t="s">
        <v>34</v>
      </c>
      <c r="D141" s="129" t="s">
        <v>385</v>
      </c>
      <c r="E141" s="129" t="s">
        <v>420</v>
      </c>
      <c r="F141" s="157">
        <v>19093</v>
      </c>
      <c r="G141" s="157">
        <v>862</v>
      </c>
      <c r="H141" s="157">
        <v>18231</v>
      </c>
      <c r="I141" s="157">
        <v>95</v>
      </c>
      <c r="J141" s="129"/>
      <c r="K141" s="129" t="s">
        <v>49</v>
      </c>
      <c r="L141" s="129" t="s">
        <v>39</v>
      </c>
      <c r="M141" s="129" t="s">
        <v>40</v>
      </c>
      <c r="N141" s="129" t="s">
        <v>50</v>
      </c>
      <c r="O141" s="129" t="s">
        <v>415</v>
      </c>
      <c r="P141" s="129" t="s">
        <v>42</v>
      </c>
      <c r="Q141" s="129" t="s">
        <v>42</v>
      </c>
      <c r="R141" s="129" t="s">
        <v>494</v>
      </c>
      <c r="S141" s="129" t="s">
        <v>495</v>
      </c>
      <c r="T141" s="129" t="s">
        <v>418</v>
      </c>
    </row>
    <row r="142" spans="1:20" s="21" customFormat="1">
      <c r="A142" s="129" t="s">
        <v>134</v>
      </c>
      <c r="B142" s="129" t="s">
        <v>29</v>
      </c>
      <c r="C142" s="129" t="s">
        <v>34</v>
      </c>
      <c r="D142" s="129" t="s">
        <v>385</v>
      </c>
      <c r="E142" s="129" t="s">
        <v>430</v>
      </c>
      <c r="F142" s="157">
        <v>471</v>
      </c>
      <c r="G142" s="157">
        <v>471</v>
      </c>
      <c r="H142" s="157">
        <v>0</v>
      </c>
      <c r="I142" s="157">
        <v>0</v>
      </c>
      <c r="J142" s="129"/>
      <c r="K142" s="129" t="s">
        <v>49</v>
      </c>
      <c r="L142" s="129" t="s">
        <v>39</v>
      </c>
      <c r="M142" s="129" t="s">
        <v>40</v>
      </c>
      <c r="N142" s="129" t="s">
        <v>50</v>
      </c>
      <c r="O142" s="129" t="s">
        <v>415</v>
      </c>
      <c r="P142" s="129" t="s">
        <v>42</v>
      </c>
      <c r="Q142" s="129" t="s">
        <v>42</v>
      </c>
      <c r="R142" s="129" t="s">
        <v>494</v>
      </c>
      <c r="S142" s="129" t="s">
        <v>495</v>
      </c>
      <c r="T142" s="129" t="s">
        <v>418</v>
      </c>
    </row>
    <row r="143" spans="1:20" s="21" customFormat="1">
      <c r="A143" s="129" t="s">
        <v>134</v>
      </c>
      <c r="B143" s="129" t="s">
        <v>29</v>
      </c>
      <c r="C143" s="129" t="s">
        <v>34</v>
      </c>
      <c r="D143" s="129" t="s">
        <v>385</v>
      </c>
      <c r="E143" s="129" t="s">
        <v>422</v>
      </c>
      <c r="F143" s="157">
        <v>4675</v>
      </c>
      <c r="G143" s="157">
        <v>10</v>
      </c>
      <c r="H143" s="157">
        <v>4665</v>
      </c>
      <c r="I143" s="157">
        <v>99</v>
      </c>
      <c r="J143" s="129"/>
      <c r="K143" s="129" t="s">
        <v>49</v>
      </c>
      <c r="L143" s="129" t="s">
        <v>39</v>
      </c>
      <c r="M143" s="129" t="s">
        <v>40</v>
      </c>
      <c r="N143" s="129" t="s">
        <v>50</v>
      </c>
      <c r="O143" s="129" t="s">
        <v>415</v>
      </c>
      <c r="P143" s="129" t="s">
        <v>42</v>
      </c>
      <c r="Q143" s="129" t="s">
        <v>42</v>
      </c>
      <c r="R143" s="129" t="s">
        <v>494</v>
      </c>
      <c r="S143" s="129" t="s">
        <v>495</v>
      </c>
      <c r="T143" s="129" t="s">
        <v>418</v>
      </c>
    </row>
    <row r="144" spans="1:20" s="21" customFormat="1">
      <c r="A144" s="129" t="s">
        <v>134</v>
      </c>
      <c r="B144" s="129" t="s">
        <v>29</v>
      </c>
      <c r="C144" s="129" t="s">
        <v>34</v>
      </c>
      <c r="D144" s="129" t="s">
        <v>385</v>
      </c>
      <c r="E144" s="129" t="s">
        <v>421</v>
      </c>
      <c r="F144" s="157">
        <v>9482</v>
      </c>
      <c r="G144" s="157">
        <v>3276</v>
      </c>
      <c r="H144" s="157">
        <v>6206</v>
      </c>
      <c r="I144" s="157">
        <v>65</v>
      </c>
      <c r="J144" s="129"/>
      <c r="K144" s="129" t="s">
        <v>49</v>
      </c>
      <c r="L144" s="129" t="s">
        <v>39</v>
      </c>
      <c r="M144" s="129" t="s">
        <v>40</v>
      </c>
      <c r="N144" s="129" t="s">
        <v>50</v>
      </c>
      <c r="O144" s="129" t="s">
        <v>415</v>
      </c>
      <c r="P144" s="129" t="s">
        <v>42</v>
      </c>
      <c r="Q144" s="129" t="s">
        <v>42</v>
      </c>
      <c r="R144" s="129" t="s">
        <v>494</v>
      </c>
      <c r="S144" s="129" t="s">
        <v>495</v>
      </c>
      <c r="T144" s="129" t="s">
        <v>418</v>
      </c>
    </row>
    <row r="145" spans="1:20" s="21" customFormat="1">
      <c r="A145" s="129" t="s">
        <v>134</v>
      </c>
      <c r="B145" s="129" t="s">
        <v>29</v>
      </c>
      <c r="C145" s="129" t="s">
        <v>34</v>
      </c>
      <c r="D145" s="129" t="s">
        <v>385</v>
      </c>
      <c r="E145" s="129" t="s">
        <v>414</v>
      </c>
      <c r="F145" s="157">
        <v>65535</v>
      </c>
      <c r="G145" s="157">
        <v>5493</v>
      </c>
      <c r="H145" s="157">
        <v>60042</v>
      </c>
      <c r="I145" s="157">
        <v>91</v>
      </c>
      <c r="J145" s="129"/>
      <c r="K145" s="129" t="s">
        <v>49</v>
      </c>
      <c r="L145" s="129" t="s">
        <v>39</v>
      </c>
      <c r="M145" s="129" t="s">
        <v>40</v>
      </c>
      <c r="N145" s="129" t="s">
        <v>50</v>
      </c>
      <c r="O145" s="129" t="s">
        <v>415</v>
      </c>
      <c r="P145" s="129" t="s">
        <v>42</v>
      </c>
      <c r="Q145" s="129" t="s">
        <v>42</v>
      </c>
      <c r="R145" s="129" t="s">
        <v>494</v>
      </c>
      <c r="S145" s="129" t="s">
        <v>495</v>
      </c>
      <c r="T145" s="129" t="s">
        <v>418</v>
      </c>
    </row>
    <row r="146" spans="1:20" s="21" customFormat="1">
      <c r="A146" s="129" t="s">
        <v>136</v>
      </c>
      <c r="B146" s="129" t="s">
        <v>29</v>
      </c>
      <c r="C146" s="129" t="s">
        <v>34</v>
      </c>
      <c r="D146" s="129" t="s">
        <v>403</v>
      </c>
      <c r="E146" s="129" t="s">
        <v>464</v>
      </c>
      <c r="F146" s="157">
        <v>1048445</v>
      </c>
      <c r="G146" s="157">
        <v>73774</v>
      </c>
      <c r="H146" s="157">
        <v>974671</v>
      </c>
      <c r="I146" s="157">
        <v>92</v>
      </c>
      <c r="J146" s="129"/>
      <c r="K146" s="129" t="s">
        <v>38</v>
      </c>
      <c r="L146" s="129" t="s">
        <v>39</v>
      </c>
      <c r="M146" s="129" t="s">
        <v>40</v>
      </c>
      <c r="N146" s="129" t="s">
        <v>95</v>
      </c>
      <c r="O146" s="129" t="s">
        <v>415</v>
      </c>
      <c r="P146" s="129" t="s">
        <v>123</v>
      </c>
      <c r="Q146" s="129" t="s">
        <v>123</v>
      </c>
      <c r="R146" s="129" t="s">
        <v>496</v>
      </c>
      <c r="S146" s="129" t="s">
        <v>497</v>
      </c>
      <c r="T146" s="129" t="s">
        <v>418</v>
      </c>
    </row>
    <row r="147" spans="1:20" s="21" customFormat="1">
      <c r="A147" s="129" t="s">
        <v>136</v>
      </c>
      <c r="B147" s="129" t="s">
        <v>29</v>
      </c>
      <c r="C147" s="129" t="s">
        <v>34</v>
      </c>
      <c r="D147" s="129" t="s">
        <v>403</v>
      </c>
      <c r="E147" s="129" t="s">
        <v>498</v>
      </c>
      <c r="F147" s="157">
        <v>15728509</v>
      </c>
      <c r="G147" s="157">
        <v>11396610</v>
      </c>
      <c r="H147" s="157">
        <v>4331899</v>
      </c>
      <c r="I147" s="157">
        <v>27</v>
      </c>
      <c r="J147" s="129"/>
      <c r="K147" s="129" t="s">
        <v>38</v>
      </c>
      <c r="L147" s="129" t="s">
        <v>39</v>
      </c>
      <c r="M147" s="129" t="s">
        <v>40</v>
      </c>
      <c r="N147" s="129" t="s">
        <v>95</v>
      </c>
      <c r="O147" s="129" t="s">
        <v>415</v>
      </c>
      <c r="P147" s="129" t="s">
        <v>123</v>
      </c>
      <c r="Q147" s="129" t="s">
        <v>123</v>
      </c>
      <c r="R147" s="129" t="s">
        <v>496</v>
      </c>
      <c r="S147" s="129" t="s">
        <v>497</v>
      </c>
      <c r="T147" s="129" t="s">
        <v>418</v>
      </c>
    </row>
    <row r="148" spans="1:20" s="21" customFormat="1">
      <c r="A148" s="129" t="s">
        <v>136</v>
      </c>
      <c r="B148" s="129" t="s">
        <v>29</v>
      </c>
      <c r="C148" s="129" t="s">
        <v>34</v>
      </c>
      <c r="D148" s="129" t="s">
        <v>403</v>
      </c>
      <c r="E148" s="129" t="s">
        <v>499</v>
      </c>
      <c r="F148" s="157">
        <v>10485629</v>
      </c>
      <c r="G148" s="157">
        <v>9851363</v>
      </c>
      <c r="H148" s="157">
        <v>634266</v>
      </c>
      <c r="I148" s="157">
        <v>6</v>
      </c>
      <c r="J148" s="129"/>
      <c r="K148" s="129" t="s">
        <v>38</v>
      </c>
      <c r="L148" s="129" t="s">
        <v>39</v>
      </c>
      <c r="M148" s="129" t="s">
        <v>40</v>
      </c>
      <c r="N148" s="129" t="s">
        <v>95</v>
      </c>
      <c r="O148" s="129" t="s">
        <v>415</v>
      </c>
      <c r="P148" s="129" t="s">
        <v>123</v>
      </c>
      <c r="Q148" s="129" t="s">
        <v>123</v>
      </c>
      <c r="R148" s="129" t="s">
        <v>496</v>
      </c>
      <c r="S148" s="129" t="s">
        <v>497</v>
      </c>
      <c r="T148" s="129" t="s">
        <v>418</v>
      </c>
    </row>
    <row r="149" spans="1:20" s="21" customFormat="1">
      <c r="A149" s="129" t="s">
        <v>136</v>
      </c>
      <c r="B149" s="129" t="s">
        <v>29</v>
      </c>
      <c r="C149" s="129" t="s">
        <v>34</v>
      </c>
      <c r="D149" s="129" t="s">
        <v>403</v>
      </c>
      <c r="E149" s="129" t="s">
        <v>500</v>
      </c>
      <c r="F149" s="157">
        <v>3145597</v>
      </c>
      <c r="G149" s="157">
        <v>3102301</v>
      </c>
      <c r="H149" s="157">
        <v>43296</v>
      </c>
      <c r="I149" s="157">
        <v>1</v>
      </c>
      <c r="J149" s="129"/>
      <c r="K149" s="129" t="s">
        <v>38</v>
      </c>
      <c r="L149" s="129" t="s">
        <v>39</v>
      </c>
      <c r="M149" s="129" t="s">
        <v>40</v>
      </c>
      <c r="N149" s="129" t="s">
        <v>95</v>
      </c>
      <c r="O149" s="129" t="s">
        <v>415</v>
      </c>
      <c r="P149" s="129" t="s">
        <v>123</v>
      </c>
      <c r="Q149" s="129" t="s">
        <v>123</v>
      </c>
      <c r="R149" s="129" t="s">
        <v>496</v>
      </c>
      <c r="S149" s="129" t="s">
        <v>497</v>
      </c>
      <c r="T149" s="129" t="s">
        <v>418</v>
      </c>
    </row>
    <row r="150" spans="1:20" s="21" customFormat="1">
      <c r="A150" s="129" t="s">
        <v>136</v>
      </c>
      <c r="B150" s="129" t="s">
        <v>29</v>
      </c>
      <c r="C150" s="129" t="s">
        <v>34</v>
      </c>
      <c r="D150" s="129" t="s">
        <v>403</v>
      </c>
      <c r="E150" s="129" t="s">
        <v>501</v>
      </c>
      <c r="F150" s="157">
        <v>409596</v>
      </c>
      <c r="G150" s="157">
        <v>28650</v>
      </c>
      <c r="H150" s="157">
        <v>380946</v>
      </c>
      <c r="I150" s="157">
        <v>93</v>
      </c>
      <c r="J150" s="129"/>
      <c r="K150" s="129" t="s">
        <v>38</v>
      </c>
      <c r="L150" s="129" t="s">
        <v>39</v>
      </c>
      <c r="M150" s="129" t="s">
        <v>40</v>
      </c>
      <c r="N150" s="129" t="s">
        <v>95</v>
      </c>
      <c r="O150" s="129" t="s">
        <v>415</v>
      </c>
      <c r="P150" s="129" t="s">
        <v>123</v>
      </c>
      <c r="Q150" s="129" t="s">
        <v>123</v>
      </c>
      <c r="R150" s="129" t="s">
        <v>496</v>
      </c>
      <c r="S150" s="129" t="s">
        <v>497</v>
      </c>
      <c r="T150" s="129" t="s">
        <v>418</v>
      </c>
    </row>
    <row r="151" spans="1:20" s="21" customFormat="1">
      <c r="A151" s="129" t="s">
        <v>136</v>
      </c>
      <c r="B151" s="129" t="s">
        <v>29</v>
      </c>
      <c r="C151" s="129" t="s">
        <v>34</v>
      </c>
      <c r="D151" s="129" t="s">
        <v>403</v>
      </c>
      <c r="E151" s="129" t="s">
        <v>502</v>
      </c>
      <c r="F151" s="157">
        <v>5242749</v>
      </c>
      <c r="G151" s="157">
        <v>2996508</v>
      </c>
      <c r="H151" s="157">
        <v>2246241</v>
      </c>
      <c r="I151" s="157">
        <v>42</v>
      </c>
      <c r="J151" s="129"/>
      <c r="K151" s="129" t="s">
        <v>38</v>
      </c>
      <c r="L151" s="129" t="s">
        <v>39</v>
      </c>
      <c r="M151" s="129" t="s">
        <v>40</v>
      </c>
      <c r="N151" s="129" t="s">
        <v>95</v>
      </c>
      <c r="O151" s="129" t="s">
        <v>415</v>
      </c>
      <c r="P151" s="129" t="s">
        <v>123</v>
      </c>
      <c r="Q151" s="129" t="s">
        <v>123</v>
      </c>
      <c r="R151" s="129" t="s">
        <v>496</v>
      </c>
      <c r="S151" s="129" t="s">
        <v>497</v>
      </c>
      <c r="T151" s="129" t="s">
        <v>418</v>
      </c>
    </row>
    <row r="152" spans="1:20" s="21" customFormat="1">
      <c r="A152" s="129" t="s">
        <v>136</v>
      </c>
      <c r="B152" s="129" t="s">
        <v>29</v>
      </c>
      <c r="C152" s="129" t="s">
        <v>34</v>
      </c>
      <c r="D152" s="129" t="s">
        <v>403</v>
      </c>
      <c r="E152" s="129" t="s">
        <v>503</v>
      </c>
      <c r="F152" s="157">
        <v>20971259</v>
      </c>
      <c r="G152" s="157">
        <v>18034221</v>
      </c>
      <c r="H152" s="157">
        <v>2937038</v>
      </c>
      <c r="I152" s="157">
        <v>14</v>
      </c>
      <c r="J152" s="129"/>
      <c r="K152" s="129" t="s">
        <v>38</v>
      </c>
      <c r="L152" s="129" t="s">
        <v>39</v>
      </c>
      <c r="M152" s="129" t="s">
        <v>40</v>
      </c>
      <c r="N152" s="129" t="s">
        <v>95</v>
      </c>
      <c r="O152" s="129" t="s">
        <v>415</v>
      </c>
      <c r="P152" s="129" t="s">
        <v>123</v>
      </c>
      <c r="Q152" s="129" t="s">
        <v>123</v>
      </c>
      <c r="R152" s="129" t="s">
        <v>496</v>
      </c>
      <c r="S152" s="129" t="s">
        <v>497</v>
      </c>
      <c r="T152" s="129" t="s">
        <v>418</v>
      </c>
    </row>
    <row r="153" spans="1:20" s="21" customFormat="1">
      <c r="A153" s="129" t="s">
        <v>136</v>
      </c>
      <c r="B153" s="129" t="s">
        <v>29</v>
      </c>
      <c r="C153" s="129" t="s">
        <v>34</v>
      </c>
      <c r="D153" s="129" t="s">
        <v>403</v>
      </c>
      <c r="E153" s="129" t="s">
        <v>504</v>
      </c>
      <c r="F153" s="157">
        <v>31457019</v>
      </c>
      <c r="G153" s="157">
        <v>25356080</v>
      </c>
      <c r="H153" s="157">
        <v>6100939</v>
      </c>
      <c r="I153" s="157">
        <v>19</v>
      </c>
      <c r="J153" s="129"/>
      <c r="K153" s="129" t="s">
        <v>38</v>
      </c>
      <c r="L153" s="129" t="s">
        <v>39</v>
      </c>
      <c r="M153" s="129" t="s">
        <v>40</v>
      </c>
      <c r="N153" s="129" t="s">
        <v>95</v>
      </c>
      <c r="O153" s="129" t="s">
        <v>415</v>
      </c>
      <c r="P153" s="129" t="s">
        <v>123</v>
      </c>
      <c r="Q153" s="129" t="s">
        <v>123</v>
      </c>
      <c r="R153" s="129" t="s">
        <v>496</v>
      </c>
      <c r="S153" s="129" t="s">
        <v>497</v>
      </c>
      <c r="T153" s="129" t="s">
        <v>418</v>
      </c>
    </row>
    <row r="154" spans="1:20" s="21" customFormat="1">
      <c r="A154" s="129" t="s">
        <v>136</v>
      </c>
      <c r="B154" s="129" t="s">
        <v>29</v>
      </c>
      <c r="C154" s="129" t="s">
        <v>34</v>
      </c>
      <c r="D154" s="129" t="s">
        <v>403</v>
      </c>
      <c r="E154" s="129" t="s">
        <v>505</v>
      </c>
      <c r="F154" s="157">
        <v>16742269</v>
      </c>
      <c r="G154" s="157">
        <v>16489836</v>
      </c>
      <c r="H154" s="157">
        <v>252433</v>
      </c>
      <c r="I154" s="157">
        <v>1</v>
      </c>
      <c r="J154" s="129"/>
      <c r="K154" s="129" t="s">
        <v>38</v>
      </c>
      <c r="L154" s="129" t="s">
        <v>39</v>
      </c>
      <c r="M154" s="129" t="s">
        <v>40</v>
      </c>
      <c r="N154" s="129" t="s">
        <v>95</v>
      </c>
      <c r="O154" s="129" t="s">
        <v>415</v>
      </c>
      <c r="P154" s="129" t="s">
        <v>123</v>
      </c>
      <c r="Q154" s="129" t="s">
        <v>123</v>
      </c>
      <c r="R154" s="129" t="s">
        <v>496</v>
      </c>
      <c r="S154" s="129" t="s">
        <v>497</v>
      </c>
      <c r="T154" s="129" t="s">
        <v>418</v>
      </c>
    </row>
    <row r="155" spans="1:20" s="21" customFormat="1">
      <c r="A155" s="129" t="s">
        <v>136</v>
      </c>
      <c r="B155" s="129" t="s">
        <v>29</v>
      </c>
      <c r="C155" s="129" t="s">
        <v>34</v>
      </c>
      <c r="D155" s="129" t="s">
        <v>403</v>
      </c>
      <c r="E155" s="129" t="s">
        <v>506</v>
      </c>
      <c r="F155" s="157">
        <v>31457149</v>
      </c>
      <c r="G155" s="157">
        <v>278150</v>
      </c>
      <c r="H155" s="157">
        <v>31178999</v>
      </c>
      <c r="I155" s="157">
        <v>99</v>
      </c>
      <c r="J155" s="129"/>
      <c r="K155" s="129" t="s">
        <v>38</v>
      </c>
      <c r="L155" s="129" t="s">
        <v>39</v>
      </c>
      <c r="M155" s="129" t="s">
        <v>40</v>
      </c>
      <c r="N155" s="129" t="s">
        <v>95</v>
      </c>
      <c r="O155" s="129" t="s">
        <v>415</v>
      </c>
      <c r="P155" s="129" t="s">
        <v>123</v>
      </c>
      <c r="Q155" s="129" t="s">
        <v>123</v>
      </c>
      <c r="R155" s="129" t="s">
        <v>496</v>
      </c>
      <c r="S155" s="129" t="s">
        <v>497</v>
      </c>
      <c r="T155" s="129" t="s">
        <v>418</v>
      </c>
    </row>
    <row r="156" spans="1:20" s="21" customFormat="1">
      <c r="A156" s="129" t="s">
        <v>136</v>
      </c>
      <c r="B156" s="129" t="s">
        <v>29</v>
      </c>
      <c r="C156" s="129" t="s">
        <v>34</v>
      </c>
      <c r="D156" s="129" t="s">
        <v>385</v>
      </c>
      <c r="E156" s="129" t="s">
        <v>463</v>
      </c>
      <c r="F156" s="157">
        <v>102297</v>
      </c>
      <c r="G156" s="157">
        <v>89973</v>
      </c>
      <c r="H156" s="157">
        <v>12324</v>
      </c>
      <c r="I156" s="157">
        <v>12</v>
      </c>
      <c r="J156" s="129"/>
      <c r="K156" s="129" t="s">
        <v>38</v>
      </c>
      <c r="L156" s="129" t="s">
        <v>39</v>
      </c>
      <c r="M156" s="129" t="s">
        <v>40</v>
      </c>
      <c r="N156" s="129" t="s">
        <v>95</v>
      </c>
      <c r="O156" s="129" t="s">
        <v>415</v>
      </c>
      <c r="P156" s="129" t="s">
        <v>123</v>
      </c>
      <c r="Q156" s="129" t="s">
        <v>123</v>
      </c>
      <c r="R156" s="129" t="s">
        <v>496</v>
      </c>
      <c r="S156" s="129" t="s">
        <v>497</v>
      </c>
      <c r="T156" s="129" t="s">
        <v>418</v>
      </c>
    </row>
    <row r="157" spans="1:20" s="21" customFormat="1">
      <c r="A157" s="129" t="s">
        <v>136</v>
      </c>
      <c r="B157" s="129" t="s">
        <v>29</v>
      </c>
      <c r="C157" s="129" t="s">
        <v>34</v>
      </c>
      <c r="D157" s="129" t="s">
        <v>403</v>
      </c>
      <c r="E157" s="129" t="s">
        <v>507</v>
      </c>
      <c r="F157" s="157">
        <v>5242749</v>
      </c>
      <c r="G157" s="157">
        <v>655435</v>
      </c>
      <c r="H157" s="157">
        <v>4587314</v>
      </c>
      <c r="I157" s="157">
        <v>87</v>
      </c>
      <c r="J157" s="129"/>
      <c r="K157" s="129" t="s">
        <v>38</v>
      </c>
      <c r="L157" s="129" t="s">
        <v>39</v>
      </c>
      <c r="M157" s="129" t="s">
        <v>40</v>
      </c>
      <c r="N157" s="129" t="s">
        <v>95</v>
      </c>
      <c r="O157" s="129" t="s">
        <v>415</v>
      </c>
      <c r="P157" s="129" t="s">
        <v>123</v>
      </c>
      <c r="Q157" s="129" t="s">
        <v>123</v>
      </c>
      <c r="R157" s="129" t="s">
        <v>496</v>
      </c>
      <c r="S157" s="129" t="s">
        <v>497</v>
      </c>
      <c r="T157" s="129" t="s">
        <v>418</v>
      </c>
    </row>
    <row r="158" spans="1:20" s="21" customFormat="1">
      <c r="A158" s="129" t="s">
        <v>139</v>
      </c>
      <c r="B158" s="129" t="s">
        <v>29</v>
      </c>
      <c r="C158" s="129" t="s">
        <v>34</v>
      </c>
      <c r="D158" s="129" t="s">
        <v>385</v>
      </c>
      <c r="E158" s="129" t="s">
        <v>463</v>
      </c>
      <c r="F158" s="157">
        <v>153246</v>
      </c>
      <c r="G158" s="157">
        <v>62963</v>
      </c>
      <c r="H158" s="157">
        <v>90283</v>
      </c>
      <c r="I158" s="157">
        <v>58</v>
      </c>
      <c r="J158" s="129"/>
      <c r="K158" s="129" t="s">
        <v>38</v>
      </c>
      <c r="L158" s="129" t="s">
        <v>39</v>
      </c>
      <c r="M158" s="129" t="s">
        <v>40</v>
      </c>
      <c r="N158" s="129" t="s">
        <v>113</v>
      </c>
      <c r="O158" s="129" t="s">
        <v>415</v>
      </c>
      <c r="P158" s="129" t="s">
        <v>142</v>
      </c>
      <c r="Q158" s="129" t="s">
        <v>142</v>
      </c>
      <c r="R158" s="129" t="s">
        <v>508</v>
      </c>
      <c r="S158" s="129" t="s">
        <v>509</v>
      </c>
      <c r="T158" s="129" t="s">
        <v>418</v>
      </c>
    </row>
    <row r="159" spans="1:20" s="21" customFormat="1">
      <c r="A159" s="129" t="s">
        <v>139</v>
      </c>
      <c r="B159" s="129" t="s">
        <v>29</v>
      </c>
      <c r="C159" s="129" t="s">
        <v>34</v>
      </c>
      <c r="D159" s="129" t="s">
        <v>403</v>
      </c>
      <c r="E159" s="129" t="s">
        <v>459</v>
      </c>
      <c r="F159" s="157">
        <v>102269</v>
      </c>
      <c r="G159" s="157">
        <v>164</v>
      </c>
      <c r="H159" s="157">
        <v>102105</v>
      </c>
      <c r="I159" s="157">
        <v>99</v>
      </c>
      <c r="J159" s="129"/>
      <c r="K159" s="129" t="s">
        <v>38</v>
      </c>
      <c r="L159" s="129" t="s">
        <v>39</v>
      </c>
      <c r="M159" s="129" t="s">
        <v>40</v>
      </c>
      <c r="N159" s="129" t="s">
        <v>113</v>
      </c>
      <c r="O159" s="129" t="s">
        <v>415</v>
      </c>
      <c r="P159" s="129" t="s">
        <v>142</v>
      </c>
      <c r="Q159" s="129" t="s">
        <v>142</v>
      </c>
      <c r="R159" s="129" t="s">
        <v>508</v>
      </c>
      <c r="S159" s="129" t="s">
        <v>509</v>
      </c>
      <c r="T159" s="129" t="s">
        <v>418</v>
      </c>
    </row>
    <row r="160" spans="1:20" s="21" customFormat="1">
      <c r="A160" s="129" t="s">
        <v>143</v>
      </c>
      <c r="B160" s="129" t="s">
        <v>29</v>
      </c>
      <c r="C160" s="129" t="s">
        <v>34</v>
      </c>
      <c r="D160" s="129" t="s">
        <v>385</v>
      </c>
      <c r="E160" s="129" t="s">
        <v>414</v>
      </c>
      <c r="F160" s="157">
        <v>65535</v>
      </c>
      <c r="G160" s="157">
        <v>18479</v>
      </c>
      <c r="H160" s="157">
        <v>47056</v>
      </c>
      <c r="I160" s="157">
        <v>71</v>
      </c>
      <c r="J160" s="129"/>
      <c r="K160" s="129" t="s">
        <v>38</v>
      </c>
      <c r="L160" s="129" t="s">
        <v>39</v>
      </c>
      <c r="M160" s="129" t="s">
        <v>40</v>
      </c>
      <c r="N160" s="129" t="s">
        <v>99</v>
      </c>
      <c r="O160" s="129" t="s">
        <v>415</v>
      </c>
      <c r="P160" s="129" t="s">
        <v>42</v>
      </c>
      <c r="Q160" s="129" t="s">
        <v>42</v>
      </c>
      <c r="R160" s="129" t="s">
        <v>510</v>
      </c>
      <c r="S160" s="129" t="s">
        <v>511</v>
      </c>
      <c r="T160" s="129" t="s">
        <v>418</v>
      </c>
    </row>
    <row r="161" spans="1:20" s="21" customFormat="1">
      <c r="A161" s="129" t="s">
        <v>143</v>
      </c>
      <c r="B161" s="129" t="s">
        <v>29</v>
      </c>
      <c r="C161" s="129" t="s">
        <v>34</v>
      </c>
      <c r="D161" s="129" t="s">
        <v>403</v>
      </c>
      <c r="E161" s="129" t="s">
        <v>426</v>
      </c>
      <c r="F161" s="157">
        <v>15994</v>
      </c>
      <c r="G161" s="157">
        <v>6373</v>
      </c>
      <c r="H161" s="157">
        <v>9621</v>
      </c>
      <c r="I161" s="157">
        <v>60</v>
      </c>
      <c r="J161" s="129"/>
      <c r="K161" s="129" t="s">
        <v>38</v>
      </c>
      <c r="L161" s="129" t="s">
        <v>39</v>
      </c>
      <c r="M161" s="129" t="s">
        <v>40</v>
      </c>
      <c r="N161" s="129" t="s">
        <v>99</v>
      </c>
      <c r="O161" s="129" t="s">
        <v>415</v>
      </c>
      <c r="P161" s="129" t="s">
        <v>42</v>
      </c>
      <c r="Q161" s="129" t="s">
        <v>42</v>
      </c>
      <c r="R161" s="129" t="s">
        <v>510</v>
      </c>
      <c r="S161" s="129" t="s">
        <v>511</v>
      </c>
      <c r="T161" s="129" t="s">
        <v>418</v>
      </c>
    </row>
    <row r="162" spans="1:20" s="21" customFormat="1">
      <c r="A162" s="129" t="s">
        <v>143</v>
      </c>
      <c r="B162" s="129" t="s">
        <v>29</v>
      </c>
      <c r="C162" s="129" t="s">
        <v>34</v>
      </c>
      <c r="D162" s="129" t="s">
        <v>403</v>
      </c>
      <c r="E162" s="129" t="s">
        <v>419</v>
      </c>
      <c r="F162" s="157">
        <v>100661</v>
      </c>
      <c r="G162" s="157">
        <v>48828</v>
      </c>
      <c r="H162" s="157">
        <v>51833</v>
      </c>
      <c r="I162" s="157">
        <v>51</v>
      </c>
      <c r="J162" s="129"/>
      <c r="K162" s="129" t="s">
        <v>38</v>
      </c>
      <c r="L162" s="129" t="s">
        <v>39</v>
      </c>
      <c r="M162" s="129" t="s">
        <v>40</v>
      </c>
      <c r="N162" s="129" t="s">
        <v>99</v>
      </c>
      <c r="O162" s="129" t="s">
        <v>415</v>
      </c>
      <c r="P162" s="129" t="s">
        <v>42</v>
      </c>
      <c r="Q162" s="129" t="s">
        <v>42</v>
      </c>
      <c r="R162" s="129" t="s">
        <v>510</v>
      </c>
      <c r="S162" s="129" t="s">
        <v>511</v>
      </c>
      <c r="T162" s="129" t="s">
        <v>418</v>
      </c>
    </row>
    <row r="163" spans="1:20" s="21" customFormat="1">
      <c r="A163" s="129" t="s">
        <v>143</v>
      </c>
      <c r="B163" s="129" t="s">
        <v>29</v>
      </c>
      <c r="C163" s="129" t="s">
        <v>34</v>
      </c>
      <c r="D163" s="129" t="s">
        <v>385</v>
      </c>
      <c r="E163" s="129" t="s">
        <v>430</v>
      </c>
      <c r="F163" s="157">
        <v>471</v>
      </c>
      <c r="G163" s="157">
        <v>471</v>
      </c>
      <c r="H163" s="157">
        <v>0</v>
      </c>
      <c r="I163" s="157">
        <v>0</v>
      </c>
      <c r="J163" s="129"/>
      <c r="K163" s="129" t="s">
        <v>38</v>
      </c>
      <c r="L163" s="129" t="s">
        <v>39</v>
      </c>
      <c r="M163" s="129" t="s">
        <v>40</v>
      </c>
      <c r="N163" s="129" t="s">
        <v>99</v>
      </c>
      <c r="O163" s="129" t="s">
        <v>415</v>
      </c>
      <c r="P163" s="129" t="s">
        <v>42</v>
      </c>
      <c r="Q163" s="129" t="s">
        <v>42</v>
      </c>
      <c r="R163" s="129" t="s">
        <v>510</v>
      </c>
      <c r="S163" s="129" t="s">
        <v>511</v>
      </c>
      <c r="T163" s="129" t="s">
        <v>418</v>
      </c>
    </row>
    <row r="164" spans="1:20" s="21" customFormat="1">
      <c r="A164" s="129" t="s">
        <v>143</v>
      </c>
      <c r="B164" s="129" t="s">
        <v>29</v>
      </c>
      <c r="C164" s="129" t="s">
        <v>34</v>
      </c>
      <c r="D164" s="129" t="s">
        <v>385</v>
      </c>
      <c r="E164" s="129" t="s">
        <v>420</v>
      </c>
      <c r="F164" s="157">
        <v>19093</v>
      </c>
      <c r="G164" s="157">
        <v>1284</v>
      </c>
      <c r="H164" s="157">
        <v>17809</v>
      </c>
      <c r="I164" s="157">
        <v>93</v>
      </c>
      <c r="J164" s="129"/>
      <c r="K164" s="129" t="s">
        <v>38</v>
      </c>
      <c r="L164" s="129" t="s">
        <v>39</v>
      </c>
      <c r="M164" s="129" t="s">
        <v>40</v>
      </c>
      <c r="N164" s="129" t="s">
        <v>99</v>
      </c>
      <c r="O164" s="129" t="s">
        <v>415</v>
      </c>
      <c r="P164" s="129" t="s">
        <v>42</v>
      </c>
      <c r="Q164" s="129" t="s">
        <v>42</v>
      </c>
      <c r="R164" s="129" t="s">
        <v>510</v>
      </c>
      <c r="S164" s="129" t="s">
        <v>511</v>
      </c>
      <c r="T164" s="129" t="s">
        <v>418</v>
      </c>
    </row>
    <row r="165" spans="1:20" s="21" customFormat="1">
      <c r="A165" s="129" t="s">
        <v>143</v>
      </c>
      <c r="B165" s="129" t="s">
        <v>29</v>
      </c>
      <c r="C165" s="129" t="s">
        <v>34</v>
      </c>
      <c r="D165" s="129" t="s">
        <v>385</v>
      </c>
      <c r="E165" s="129" t="s">
        <v>421</v>
      </c>
      <c r="F165" s="157">
        <v>9482</v>
      </c>
      <c r="G165" s="157">
        <v>1281</v>
      </c>
      <c r="H165" s="157">
        <v>8201</v>
      </c>
      <c r="I165" s="157">
        <v>86</v>
      </c>
      <c r="J165" s="129"/>
      <c r="K165" s="129" t="s">
        <v>38</v>
      </c>
      <c r="L165" s="129" t="s">
        <v>39</v>
      </c>
      <c r="M165" s="129" t="s">
        <v>40</v>
      </c>
      <c r="N165" s="129" t="s">
        <v>99</v>
      </c>
      <c r="O165" s="129" t="s">
        <v>415</v>
      </c>
      <c r="P165" s="129" t="s">
        <v>42</v>
      </c>
      <c r="Q165" s="129" t="s">
        <v>42</v>
      </c>
      <c r="R165" s="129" t="s">
        <v>510</v>
      </c>
      <c r="S165" s="129" t="s">
        <v>511</v>
      </c>
      <c r="T165" s="129" t="s">
        <v>418</v>
      </c>
    </row>
    <row r="166" spans="1:20" s="21" customFormat="1">
      <c r="A166" s="129" t="s">
        <v>143</v>
      </c>
      <c r="B166" s="129" t="s">
        <v>29</v>
      </c>
      <c r="C166" s="129" t="s">
        <v>34</v>
      </c>
      <c r="D166" s="129" t="s">
        <v>385</v>
      </c>
      <c r="E166" s="129" t="s">
        <v>422</v>
      </c>
      <c r="F166" s="157">
        <v>4675</v>
      </c>
      <c r="G166" s="157">
        <v>270</v>
      </c>
      <c r="H166" s="157">
        <v>4405</v>
      </c>
      <c r="I166" s="157">
        <v>94</v>
      </c>
      <c r="J166" s="129"/>
      <c r="K166" s="129" t="s">
        <v>38</v>
      </c>
      <c r="L166" s="129" t="s">
        <v>39</v>
      </c>
      <c r="M166" s="129" t="s">
        <v>40</v>
      </c>
      <c r="N166" s="129" t="s">
        <v>99</v>
      </c>
      <c r="O166" s="129" t="s">
        <v>415</v>
      </c>
      <c r="P166" s="129" t="s">
        <v>42</v>
      </c>
      <c r="Q166" s="129" t="s">
        <v>42</v>
      </c>
      <c r="R166" s="129" t="s">
        <v>510</v>
      </c>
      <c r="S166" s="129" t="s">
        <v>511</v>
      </c>
      <c r="T166" s="129" t="s">
        <v>418</v>
      </c>
    </row>
    <row r="167" spans="1:20" s="21" customFormat="1">
      <c r="A167" s="129" t="s">
        <v>145</v>
      </c>
      <c r="B167" s="129" t="s">
        <v>29</v>
      </c>
      <c r="C167" s="129" t="s">
        <v>34</v>
      </c>
      <c r="D167" s="129" t="s">
        <v>385</v>
      </c>
      <c r="E167" s="129" t="s">
        <v>414</v>
      </c>
      <c r="F167" s="157">
        <v>65535</v>
      </c>
      <c r="G167" s="157">
        <v>8560</v>
      </c>
      <c r="H167" s="157">
        <v>56975</v>
      </c>
      <c r="I167" s="157">
        <v>86</v>
      </c>
      <c r="J167" s="129"/>
      <c r="K167" s="129" t="s">
        <v>38</v>
      </c>
      <c r="L167" s="129" t="s">
        <v>39</v>
      </c>
      <c r="M167" s="129" t="s">
        <v>40</v>
      </c>
      <c r="N167" s="129" t="s">
        <v>99</v>
      </c>
      <c r="O167" s="129" t="s">
        <v>415</v>
      </c>
      <c r="P167" s="129" t="s">
        <v>42</v>
      </c>
      <c r="Q167" s="129" t="s">
        <v>42</v>
      </c>
      <c r="R167" s="129" t="s">
        <v>512</v>
      </c>
      <c r="S167" s="129" t="s">
        <v>513</v>
      </c>
      <c r="T167" s="129" t="s">
        <v>418</v>
      </c>
    </row>
    <row r="168" spans="1:20" s="21" customFormat="1">
      <c r="A168" s="129" t="s">
        <v>145</v>
      </c>
      <c r="B168" s="129" t="s">
        <v>29</v>
      </c>
      <c r="C168" s="129" t="s">
        <v>34</v>
      </c>
      <c r="D168" s="129" t="s">
        <v>385</v>
      </c>
      <c r="E168" s="129" t="s">
        <v>421</v>
      </c>
      <c r="F168" s="157">
        <v>9482</v>
      </c>
      <c r="G168" s="157">
        <v>5006</v>
      </c>
      <c r="H168" s="157">
        <v>4476</v>
      </c>
      <c r="I168" s="157">
        <v>47</v>
      </c>
      <c r="J168" s="129"/>
      <c r="K168" s="129" t="s">
        <v>38</v>
      </c>
      <c r="L168" s="129" t="s">
        <v>39</v>
      </c>
      <c r="M168" s="129" t="s">
        <v>40</v>
      </c>
      <c r="N168" s="129" t="s">
        <v>99</v>
      </c>
      <c r="O168" s="129" t="s">
        <v>415</v>
      </c>
      <c r="P168" s="129" t="s">
        <v>42</v>
      </c>
      <c r="Q168" s="129" t="s">
        <v>42</v>
      </c>
      <c r="R168" s="129" t="s">
        <v>512</v>
      </c>
      <c r="S168" s="129" t="s">
        <v>513</v>
      </c>
      <c r="T168" s="129" t="s">
        <v>418</v>
      </c>
    </row>
    <row r="169" spans="1:20" s="21" customFormat="1">
      <c r="A169" s="129" t="s">
        <v>145</v>
      </c>
      <c r="B169" s="129" t="s">
        <v>29</v>
      </c>
      <c r="C169" s="129" t="s">
        <v>34</v>
      </c>
      <c r="D169" s="129" t="s">
        <v>385</v>
      </c>
      <c r="E169" s="129" t="s">
        <v>430</v>
      </c>
      <c r="F169" s="157">
        <v>471</v>
      </c>
      <c r="G169" s="157">
        <v>468</v>
      </c>
      <c r="H169" s="157">
        <v>3</v>
      </c>
      <c r="I169" s="157">
        <v>0</v>
      </c>
      <c r="J169" s="129"/>
      <c r="K169" s="129" t="s">
        <v>38</v>
      </c>
      <c r="L169" s="129" t="s">
        <v>39</v>
      </c>
      <c r="M169" s="129" t="s">
        <v>40</v>
      </c>
      <c r="N169" s="129" t="s">
        <v>99</v>
      </c>
      <c r="O169" s="129" t="s">
        <v>415</v>
      </c>
      <c r="P169" s="129" t="s">
        <v>42</v>
      </c>
      <c r="Q169" s="129" t="s">
        <v>42</v>
      </c>
      <c r="R169" s="129" t="s">
        <v>512</v>
      </c>
      <c r="S169" s="129" t="s">
        <v>513</v>
      </c>
      <c r="T169" s="129" t="s">
        <v>418</v>
      </c>
    </row>
    <row r="170" spans="1:20" s="21" customFormat="1">
      <c r="A170" s="129" t="s">
        <v>145</v>
      </c>
      <c r="B170" s="129" t="s">
        <v>29</v>
      </c>
      <c r="C170" s="129" t="s">
        <v>34</v>
      </c>
      <c r="D170" s="129" t="s">
        <v>385</v>
      </c>
      <c r="E170" s="129" t="s">
        <v>420</v>
      </c>
      <c r="F170" s="157">
        <v>19093</v>
      </c>
      <c r="G170" s="157">
        <v>245</v>
      </c>
      <c r="H170" s="157">
        <v>18848</v>
      </c>
      <c r="I170" s="157">
        <v>98</v>
      </c>
      <c r="J170" s="129"/>
      <c r="K170" s="129" t="s">
        <v>38</v>
      </c>
      <c r="L170" s="129" t="s">
        <v>39</v>
      </c>
      <c r="M170" s="129" t="s">
        <v>40</v>
      </c>
      <c r="N170" s="129" t="s">
        <v>99</v>
      </c>
      <c r="O170" s="129" t="s">
        <v>415</v>
      </c>
      <c r="P170" s="129" t="s">
        <v>42</v>
      </c>
      <c r="Q170" s="129" t="s">
        <v>42</v>
      </c>
      <c r="R170" s="129" t="s">
        <v>512</v>
      </c>
      <c r="S170" s="129" t="s">
        <v>513</v>
      </c>
      <c r="T170" s="129" t="s">
        <v>418</v>
      </c>
    </row>
    <row r="171" spans="1:20" s="21" customFormat="1">
      <c r="A171" s="129" t="s">
        <v>145</v>
      </c>
      <c r="B171" s="129" t="s">
        <v>29</v>
      </c>
      <c r="C171" s="129" t="s">
        <v>34</v>
      </c>
      <c r="D171" s="129" t="s">
        <v>385</v>
      </c>
      <c r="E171" s="129" t="s">
        <v>422</v>
      </c>
      <c r="F171" s="157">
        <v>4675</v>
      </c>
      <c r="G171" s="157">
        <v>10</v>
      </c>
      <c r="H171" s="157">
        <v>4665</v>
      </c>
      <c r="I171" s="157">
        <v>99</v>
      </c>
      <c r="J171" s="129"/>
      <c r="K171" s="129" t="s">
        <v>38</v>
      </c>
      <c r="L171" s="129" t="s">
        <v>39</v>
      </c>
      <c r="M171" s="129" t="s">
        <v>40</v>
      </c>
      <c r="N171" s="129" t="s">
        <v>99</v>
      </c>
      <c r="O171" s="129" t="s">
        <v>415</v>
      </c>
      <c r="P171" s="129" t="s">
        <v>42</v>
      </c>
      <c r="Q171" s="129" t="s">
        <v>42</v>
      </c>
      <c r="R171" s="129" t="s">
        <v>512</v>
      </c>
      <c r="S171" s="129" t="s">
        <v>513</v>
      </c>
      <c r="T171" s="129" t="s">
        <v>418</v>
      </c>
    </row>
    <row r="172" spans="1:20" s="21" customFormat="1">
      <c r="A172" s="129" t="s">
        <v>147</v>
      </c>
      <c r="B172" s="129" t="s">
        <v>29</v>
      </c>
      <c r="C172" s="129" t="s">
        <v>34</v>
      </c>
      <c r="D172" s="129" t="s">
        <v>403</v>
      </c>
      <c r="E172" s="129" t="s">
        <v>514</v>
      </c>
      <c r="F172" s="157">
        <v>352636</v>
      </c>
      <c r="G172" s="157">
        <v>253375</v>
      </c>
      <c r="H172" s="157">
        <v>99261</v>
      </c>
      <c r="I172" s="157">
        <v>28</v>
      </c>
      <c r="J172" s="129"/>
      <c r="K172" s="129" t="s">
        <v>149</v>
      </c>
      <c r="L172" s="129" t="s">
        <v>39</v>
      </c>
      <c r="M172" s="129" t="s">
        <v>40</v>
      </c>
      <c r="N172" s="129" t="s">
        <v>50</v>
      </c>
      <c r="O172" s="129" t="s">
        <v>415</v>
      </c>
      <c r="P172" s="129" t="s">
        <v>42</v>
      </c>
      <c r="Q172" s="129" t="s">
        <v>42</v>
      </c>
      <c r="R172" s="129" t="s">
        <v>515</v>
      </c>
      <c r="S172" s="129" t="s">
        <v>516</v>
      </c>
      <c r="T172" s="129" t="s">
        <v>418</v>
      </c>
    </row>
    <row r="173" spans="1:20" s="21" customFormat="1">
      <c r="A173" s="129" t="s">
        <v>147</v>
      </c>
      <c r="B173" s="129" t="s">
        <v>29</v>
      </c>
      <c r="C173" s="129" t="s">
        <v>34</v>
      </c>
      <c r="D173" s="129" t="s">
        <v>385</v>
      </c>
      <c r="E173" s="129" t="s">
        <v>414</v>
      </c>
      <c r="F173" s="157">
        <v>28031</v>
      </c>
      <c r="G173" s="157">
        <v>8874</v>
      </c>
      <c r="H173" s="157">
        <v>19157</v>
      </c>
      <c r="I173" s="157">
        <v>68</v>
      </c>
      <c r="J173" s="129"/>
      <c r="K173" s="129" t="s">
        <v>149</v>
      </c>
      <c r="L173" s="129" t="s">
        <v>39</v>
      </c>
      <c r="M173" s="129" t="s">
        <v>40</v>
      </c>
      <c r="N173" s="129" t="s">
        <v>50</v>
      </c>
      <c r="O173" s="129" t="s">
        <v>415</v>
      </c>
      <c r="P173" s="129" t="s">
        <v>42</v>
      </c>
      <c r="Q173" s="129" t="s">
        <v>42</v>
      </c>
      <c r="R173" s="129" t="s">
        <v>515</v>
      </c>
      <c r="S173" s="129" t="s">
        <v>516</v>
      </c>
      <c r="T173" s="129" t="s">
        <v>418</v>
      </c>
    </row>
    <row r="174" spans="1:20" s="21" customFormat="1">
      <c r="A174" s="129" t="s">
        <v>147</v>
      </c>
      <c r="B174" s="129" t="s">
        <v>29</v>
      </c>
      <c r="C174" s="129" t="s">
        <v>34</v>
      </c>
      <c r="D174" s="129" t="s">
        <v>403</v>
      </c>
      <c r="E174" s="129" t="s">
        <v>517</v>
      </c>
      <c r="F174" s="157">
        <v>251854</v>
      </c>
      <c r="G174" s="157">
        <v>228228</v>
      </c>
      <c r="H174" s="157">
        <v>23626</v>
      </c>
      <c r="I174" s="157">
        <v>9</v>
      </c>
      <c r="J174" s="129"/>
      <c r="K174" s="129" t="s">
        <v>149</v>
      </c>
      <c r="L174" s="129" t="s">
        <v>39</v>
      </c>
      <c r="M174" s="129" t="s">
        <v>40</v>
      </c>
      <c r="N174" s="129" t="s">
        <v>50</v>
      </c>
      <c r="O174" s="129" t="s">
        <v>415</v>
      </c>
      <c r="P174" s="129" t="s">
        <v>42</v>
      </c>
      <c r="Q174" s="129" t="s">
        <v>42</v>
      </c>
      <c r="R174" s="129" t="s">
        <v>515</v>
      </c>
      <c r="S174" s="129" t="s">
        <v>516</v>
      </c>
      <c r="T174" s="129" t="s">
        <v>418</v>
      </c>
    </row>
    <row r="175" spans="1:20" s="21" customFormat="1">
      <c r="A175" s="129" t="s">
        <v>147</v>
      </c>
      <c r="B175" s="129" t="s">
        <v>29</v>
      </c>
      <c r="C175" s="129" t="s">
        <v>34</v>
      </c>
      <c r="D175" s="129" t="s">
        <v>385</v>
      </c>
      <c r="E175" s="129" t="s">
        <v>421</v>
      </c>
      <c r="F175" s="157">
        <v>9259</v>
      </c>
      <c r="G175" s="157">
        <v>654</v>
      </c>
      <c r="H175" s="157">
        <v>8605</v>
      </c>
      <c r="I175" s="157">
        <v>92</v>
      </c>
      <c r="J175" s="129"/>
      <c r="K175" s="129" t="s">
        <v>149</v>
      </c>
      <c r="L175" s="129" t="s">
        <v>39</v>
      </c>
      <c r="M175" s="129" t="s">
        <v>40</v>
      </c>
      <c r="N175" s="129" t="s">
        <v>50</v>
      </c>
      <c r="O175" s="129" t="s">
        <v>415</v>
      </c>
      <c r="P175" s="129" t="s">
        <v>42</v>
      </c>
      <c r="Q175" s="129" t="s">
        <v>42</v>
      </c>
      <c r="R175" s="129" t="s">
        <v>515</v>
      </c>
      <c r="S175" s="129" t="s">
        <v>516</v>
      </c>
      <c r="T175" s="129" t="s">
        <v>418</v>
      </c>
    </row>
    <row r="176" spans="1:20" s="21" customFormat="1">
      <c r="A176" s="129" t="s">
        <v>147</v>
      </c>
      <c r="B176" s="129" t="s">
        <v>29</v>
      </c>
      <c r="C176" s="129" t="s">
        <v>34</v>
      </c>
      <c r="D176" s="129" t="s">
        <v>385</v>
      </c>
      <c r="E176" s="129" t="s">
        <v>420</v>
      </c>
      <c r="F176" s="157">
        <v>0</v>
      </c>
      <c r="G176" s="157">
        <v>0</v>
      </c>
      <c r="H176" s="157">
        <v>0</v>
      </c>
      <c r="I176" s="157">
        <v>0</v>
      </c>
      <c r="J176" s="129"/>
      <c r="K176" s="129" t="s">
        <v>149</v>
      </c>
      <c r="L176" s="129" t="s">
        <v>39</v>
      </c>
      <c r="M176" s="129" t="s">
        <v>40</v>
      </c>
      <c r="N176" s="129" t="s">
        <v>50</v>
      </c>
      <c r="O176" s="129" t="s">
        <v>415</v>
      </c>
      <c r="P176" s="129" t="s">
        <v>42</v>
      </c>
      <c r="Q176" s="129" t="s">
        <v>42</v>
      </c>
      <c r="R176" s="129" t="s">
        <v>515</v>
      </c>
      <c r="S176" s="129" t="s">
        <v>516</v>
      </c>
      <c r="T176" s="129" t="s">
        <v>418</v>
      </c>
    </row>
    <row r="177" spans="1:20" s="21" customFormat="1">
      <c r="A177" s="129" t="s">
        <v>153</v>
      </c>
      <c r="B177" s="129" t="s">
        <v>29</v>
      </c>
      <c r="C177" s="129" t="s">
        <v>34</v>
      </c>
      <c r="D177" s="129" t="s">
        <v>403</v>
      </c>
      <c r="E177" s="129" t="s">
        <v>433</v>
      </c>
      <c r="F177" s="157">
        <v>654370</v>
      </c>
      <c r="G177" s="157">
        <v>504553</v>
      </c>
      <c r="H177" s="157">
        <v>149817</v>
      </c>
      <c r="I177" s="157">
        <v>22</v>
      </c>
      <c r="J177" s="129"/>
      <c r="K177" s="129" t="s">
        <v>38</v>
      </c>
      <c r="L177" s="129" t="s">
        <v>39</v>
      </c>
      <c r="M177" s="129" t="s">
        <v>40</v>
      </c>
      <c r="N177" s="129" t="s">
        <v>46</v>
      </c>
      <c r="O177" s="129" t="s">
        <v>415</v>
      </c>
      <c r="P177" s="129" t="s">
        <v>42</v>
      </c>
      <c r="Q177" s="129" t="s">
        <v>42</v>
      </c>
      <c r="R177" s="129" t="s">
        <v>518</v>
      </c>
      <c r="S177" s="129" t="s">
        <v>519</v>
      </c>
      <c r="T177" s="129" t="s">
        <v>418</v>
      </c>
    </row>
    <row r="178" spans="1:20" s="21" customFormat="1">
      <c r="A178" s="129" t="s">
        <v>153</v>
      </c>
      <c r="B178" s="129" t="s">
        <v>29</v>
      </c>
      <c r="C178" s="129" t="s">
        <v>34</v>
      </c>
      <c r="D178" s="129" t="s">
        <v>385</v>
      </c>
      <c r="E178" s="129" t="s">
        <v>420</v>
      </c>
      <c r="F178" s="157">
        <v>18644</v>
      </c>
      <c r="G178" s="157">
        <v>348</v>
      </c>
      <c r="H178" s="157">
        <v>18296</v>
      </c>
      <c r="I178" s="157">
        <v>98</v>
      </c>
      <c r="J178" s="129"/>
      <c r="K178" s="129" t="s">
        <v>38</v>
      </c>
      <c r="L178" s="129" t="s">
        <v>39</v>
      </c>
      <c r="M178" s="129" t="s">
        <v>40</v>
      </c>
      <c r="N178" s="129" t="s">
        <v>46</v>
      </c>
      <c r="O178" s="129" t="s">
        <v>415</v>
      </c>
      <c r="P178" s="129" t="s">
        <v>42</v>
      </c>
      <c r="Q178" s="129" t="s">
        <v>42</v>
      </c>
      <c r="R178" s="129" t="s">
        <v>518</v>
      </c>
      <c r="S178" s="129" t="s">
        <v>519</v>
      </c>
      <c r="T178" s="129" t="s">
        <v>418</v>
      </c>
    </row>
    <row r="179" spans="1:20" s="21" customFormat="1">
      <c r="A179" s="129" t="s">
        <v>153</v>
      </c>
      <c r="B179" s="129" t="s">
        <v>29</v>
      </c>
      <c r="C179" s="129" t="s">
        <v>34</v>
      </c>
      <c r="D179" s="129" t="s">
        <v>385</v>
      </c>
      <c r="E179" s="129" t="s">
        <v>421</v>
      </c>
      <c r="F179" s="157">
        <v>9259</v>
      </c>
      <c r="G179" s="157">
        <v>617</v>
      </c>
      <c r="H179" s="157">
        <v>8642</v>
      </c>
      <c r="I179" s="157">
        <v>93</v>
      </c>
      <c r="J179" s="129"/>
      <c r="K179" s="129" t="s">
        <v>38</v>
      </c>
      <c r="L179" s="129" t="s">
        <v>39</v>
      </c>
      <c r="M179" s="129" t="s">
        <v>40</v>
      </c>
      <c r="N179" s="129" t="s">
        <v>46</v>
      </c>
      <c r="O179" s="129" t="s">
        <v>415</v>
      </c>
      <c r="P179" s="129" t="s">
        <v>42</v>
      </c>
      <c r="Q179" s="129" t="s">
        <v>42</v>
      </c>
      <c r="R179" s="129" t="s">
        <v>518</v>
      </c>
      <c r="S179" s="129" t="s">
        <v>519</v>
      </c>
      <c r="T179" s="129" t="s">
        <v>418</v>
      </c>
    </row>
    <row r="180" spans="1:20" s="21" customFormat="1">
      <c r="A180" s="129" t="s">
        <v>153</v>
      </c>
      <c r="B180" s="129" t="s">
        <v>29</v>
      </c>
      <c r="C180" s="129" t="s">
        <v>34</v>
      </c>
      <c r="D180" s="129" t="s">
        <v>385</v>
      </c>
      <c r="E180" s="129" t="s">
        <v>414</v>
      </c>
      <c r="F180" s="157">
        <v>28031</v>
      </c>
      <c r="G180" s="157">
        <v>9948</v>
      </c>
      <c r="H180" s="157">
        <v>18083</v>
      </c>
      <c r="I180" s="157">
        <v>64</v>
      </c>
      <c r="J180" s="129"/>
      <c r="K180" s="129" t="s">
        <v>38</v>
      </c>
      <c r="L180" s="129" t="s">
        <v>39</v>
      </c>
      <c r="M180" s="129" t="s">
        <v>40</v>
      </c>
      <c r="N180" s="129" t="s">
        <v>46</v>
      </c>
      <c r="O180" s="129" t="s">
        <v>415</v>
      </c>
      <c r="P180" s="129" t="s">
        <v>42</v>
      </c>
      <c r="Q180" s="129" t="s">
        <v>42</v>
      </c>
      <c r="R180" s="129" t="s">
        <v>518</v>
      </c>
      <c r="S180" s="129" t="s">
        <v>519</v>
      </c>
      <c r="T180" s="129" t="s">
        <v>418</v>
      </c>
    </row>
    <row r="181" spans="1:20" s="21" customFormat="1">
      <c r="A181" s="129" t="s">
        <v>155</v>
      </c>
      <c r="B181" s="129" t="s">
        <v>29</v>
      </c>
      <c r="C181" s="129" t="s">
        <v>34</v>
      </c>
      <c r="D181" s="129" t="s">
        <v>385</v>
      </c>
      <c r="E181" s="129" t="s">
        <v>414</v>
      </c>
      <c r="F181" s="157">
        <v>28031</v>
      </c>
      <c r="G181" s="157">
        <v>9952</v>
      </c>
      <c r="H181" s="157">
        <v>18079</v>
      </c>
      <c r="I181" s="157">
        <v>64</v>
      </c>
      <c r="J181" s="129"/>
      <c r="K181" s="129"/>
      <c r="L181" s="129" t="s">
        <v>39</v>
      </c>
      <c r="M181" s="129" t="s">
        <v>40</v>
      </c>
      <c r="N181" s="129" t="s">
        <v>158</v>
      </c>
      <c r="O181" s="129" t="s">
        <v>520</v>
      </c>
      <c r="P181" s="129" t="s">
        <v>42</v>
      </c>
      <c r="Q181" s="129" t="s">
        <v>42</v>
      </c>
      <c r="R181" s="129" t="s">
        <v>521</v>
      </c>
      <c r="S181" s="129" t="s">
        <v>522</v>
      </c>
      <c r="T181" s="129" t="s">
        <v>418</v>
      </c>
    </row>
    <row r="182" spans="1:20" s="21" customFormat="1">
      <c r="A182" s="129" t="s">
        <v>155</v>
      </c>
      <c r="B182" s="129" t="s">
        <v>29</v>
      </c>
      <c r="C182" s="129" t="s">
        <v>34</v>
      </c>
      <c r="D182" s="129" t="s">
        <v>403</v>
      </c>
      <c r="E182" s="129" t="s">
        <v>433</v>
      </c>
      <c r="F182" s="157">
        <v>654370</v>
      </c>
      <c r="G182" s="157">
        <v>505186</v>
      </c>
      <c r="H182" s="157">
        <v>149184</v>
      </c>
      <c r="I182" s="157">
        <v>22</v>
      </c>
      <c r="J182" s="129"/>
      <c r="K182" s="129"/>
      <c r="L182" s="129" t="s">
        <v>39</v>
      </c>
      <c r="M182" s="129" t="s">
        <v>40</v>
      </c>
      <c r="N182" s="129" t="s">
        <v>158</v>
      </c>
      <c r="O182" s="129" t="s">
        <v>520</v>
      </c>
      <c r="P182" s="129" t="s">
        <v>42</v>
      </c>
      <c r="Q182" s="129" t="s">
        <v>42</v>
      </c>
      <c r="R182" s="129" t="s">
        <v>521</v>
      </c>
      <c r="S182" s="129" t="s">
        <v>522</v>
      </c>
      <c r="T182" s="129" t="s">
        <v>418</v>
      </c>
    </row>
    <row r="183" spans="1:20" s="21" customFormat="1">
      <c r="A183" s="129" t="s">
        <v>155</v>
      </c>
      <c r="B183" s="129" t="s">
        <v>29</v>
      </c>
      <c r="C183" s="129" t="s">
        <v>34</v>
      </c>
      <c r="D183" s="129" t="s">
        <v>385</v>
      </c>
      <c r="E183" s="129" t="s">
        <v>421</v>
      </c>
      <c r="F183" s="157">
        <v>9259</v>
      </c>
      <c r="G183" s="157">
        <v>656</v>
      </c>
      <c r="H183" s="157">
        <v>8603</v>
      </c>
      <c r="I183" s="157">
        <v>92</v>
      </c>
      <c r="J183" s="129"/>
      <c r="K183" s="129"/>
      <c r="L183" s="129" t="s">
        <v>39</v>
      </c>
      <c r="M183" s="129" t="s">
        <v>40</v>
      </c>
      <c r="N183" s="129" t="s">
        <v>158</v>
      </c>
      <c r="O183" s="129" t="s">
        <v>520</v>
      </c>
      <c r="P183" s="129" t="s">
        <v>42</v>
      </c>
      <c r="Q183" s="129" t="s">
        <v>42</v>
      </c>
      <c r="R183" s="129" t="s">
        <v>521</v>
      </c>
      <c r="S183" s="129" t="s">
        <v>522</v>
      </c>
      <c r="T183" s="129" t="s">
        <v>418</v>
      </c>
    </row>
    <row r="184" spans="1:20" s="21" customFormat="1">
      <c r="A184" s="129" t="s">
        <v>155</v>
      </c>
      <c r="B184" s="129" t="s">
        <v>29</v>
      </c>
      <c r="C184" s="129" t="s">
        <v>34</v>
      </c>
      <c r="D184" s="129" t="s">
        <v>385</v>
      </c>
      <c r="E184" s="129" t="s">
        <v>420</v>
      </c>
      <c r="F184" s="157">
        <v>18644</v>
      </c>
      <c r="G184" s="157">
        <v>929</v>
      </c>
      <c r="H184" s="157">
        <v>17715</v>
      </c>
      <c r="I184" s="157">
        <v>95</v>
      </c>
      <c r="J184" s="129"/>
      <c r="K184" s="129"/>
      <c r="L184" s="129" t="s">
        <v>39</v>
      </c>
      <c r="M184" s="129" t="s">
        <v>40</v>
      </c>
      <c r="N184" s="129" t="s">
        <v>158</v>
      </c>
      <c r="O184" s="129" t="s">
        <v>520</v>
      </c>
      <c r="P184" s="129" t="s">
        <v>42</v>
      </c>
      <c r="Q184" s="129" t="s">
        <v>42</v>
      </c>
      <c r="R184" s="129" t="s">
        <v>521</v>
      </c>
      <c r="S184" s="129" t="s">
        <v>522</v>
      </c>
      <c r="T184" s="129" t="s">
        <v>418</v>
      </c>
    </row>
    <row r="185" spans="1:20" s="21" customFormat="1" hidden="1">
      <c r="A185" s="129" t="s">
        <v>159</v>
      </c>
      <c r="B185" s="129" t="s">
        <v>29</v>
      </c>
      <c r="C185" s="129" t="s">
        <v>34</v>
      </c>
      <c r="D185" s="129"/>
      <c r="E185" s="129" t="s">
        <v>523</v>
      </c>
      <c r="F185" s="157">
        <v>1031991</v>
      </c>
      <c r="G185" s="157">
        <v>702</v>
      </c>
      <c r="H185" s="157">
        <v>1031289</v>
      </c>
      <c r="I185" s="157">
        <v>99</v>
      </c>
      <c r="J185" s="129"/>
      <c r="K185" s="129"/>
      <c r="L185" s="129" t="s">
        <v>39</v>
      </c>
      <c r="M185" s="129" t="s">
        <v>40</v>
      </c>
      <c r="N185" s="129" t="s">
        <v>73</v>
      </c>
      <c r="O185" s="129" t="s">
        <v>415</v>
      </c>
      <c r="P185" s="129" t="s">
        <v>42</v>
      </c>
      <c r="Q185" s="129" t="s">
        <v>42</v>
      </c>
      <c r="R185" s="129" t="s">
        <v>524</v>
      </c>
      <c r="S185" s="129" t="s">
        <v>525</v>
      </c>
      <c r="T185" s="129" t="s">
        <v>418</v>
      </c>
    </row>
    <row r="186" spans="1:20" s="21" customFormat="1">
      <c r="A186" s="129" t="s">
        <v>159</v>
      </c>
      <c r="B186" s="129" t="s">
        <v>29</v>
      </c>
      <c r="C186" s="129" t="s">
        <v>34</v>
      </c>
      <c r="D186" s="129" t="s">
        <v>403</v>
      </c>
      <c r="E186" s="129" t="s">
        <v>526</v>
      </c>
      <c r="F186" s="157">
        <v>3003741</v>
      </c>
      <c r="G186" s="157">
        <v>1899818</v>
      </c>
      <c r="H186" s="157">
        <v>1103923</v>
      </c>
      <c r="I186" s="157">
        <v>36</v>
      </c>
      <c r="J186" s="129"/>
      <c r="K186" s="129"/>
      <c r="L186" s="129" t="s">
        <v>39</v>
      </c>
      <c r="M186" s="129" t="s">
        <v>40</v>
      </c>
      <c r="N186" s="129" t="s">
        <v>73</v>
      </c>
      <c r="O186" s="129" t="s">
        <v>415</v>
      </c>
      <c r="P186" s="129" t="s">
        <v>42</v>
      </c>
      <c r="Q186" s="129" t="s">
        <v>42</v>
      </c>
      <c r="R186" s="129" t="s">
        <v>524</v>
      </c>
      <c r="S186" s="129" t="s">
        <v>525</v>
      </c>
      <c r="T186" s="129" t="s">
        <v>418</v>
      </c>
    </row>
    <row r="187" spans="1:20" s="21" customFormat="1" hidden="1">
      <c r="A187" s="129" t="s">
        <v>159</v>
      </c>
      <c r="B187" s="129" t="s">
        <v>29</v>
      </c>
      <c r="C187" s="129" t="s">
        <v>34</v>
      </c>
      <c r="D187" s="129"/>
      <c r="E187" s="129" t="s">
        <v>527</v>
      </c>
      <c r="F187" s="157">
        <v>1031991</v>
      </c>
      <c r="G187" s="157">
        <v>702</v>
      </c>
      <c r="H187" s="157">
        <v>1031289</v>
      </c>
      <c r="I187" s="157">
        <v>99</v>
      </c>
      <c r="J187" s="129"/>
      <c r="K187" s="129"/>
      <c r="L187" s="129" t="s">
        <v>39</v>
      </c>
      <c r="M187" s="129" t="s">
        <v>40</v>
      </c>
      <c r="N187" s="129" t="s">
        <v>73</v>
      </c>
      <c r="O187" s="129" t="s">
        <v>415</v>
      </c>
      <c r="P187" s="129" t="s">
        <v>42</v>
      </c>
      <c r="Q187" s="129" t="s">
        <v>42</v>
      </c>
      <c r="R187" s="129" t="s">
        <v>524</v>
      </c>
      <c r="S187" s="129" t="s">
        <v>525</v>
      </c>
      <c r="T187" s="129" t="s">
        <v>418</v>
      </c>
    </row>
    <row r="188" spans="1:20" s="21" customFormat="1" hidden="1">
      <c r="A188" s="129" t="s">
        <v>159</v>
      </c>
      <c r="B188" s="129" t="s">
        <v>29</v>
      </c>
      <c r="C188" s="129" t="s">
        <v>34</v>
      </c>
      <c r="D188" s="129"/>
      <c r="E188" s="129" t="s">
        <v>528</v>
      </c>
      <c r="F188" s="157">
        <v>1031991</v>
      </c>
      <c r="G188" s="157">
        <v>702</v>
      </c>
      <c r="H188" s="157">
        <v>1031289</v>
      </c>
      <c r="I188" s="157">
        <v>99</v>
      </c>
      <c r="J188" s="129"/>
      <c r="K188" s="129"/>
      <c r="L188" s="129" t="s">
        <v>39</v>
      </c>
      <c r="M188" s="129" t="s">
        <v>40</v>
      </c>
      <c r="N188" s="129" t="s">
        <v>73</v>
      </c>
      <c r="O188" s="129" t="s">
        <v>415</v>
      </c>
      <c r="P188" s="129" t="s">
        <v>42</v>
      </c>
      <c r="Q188" s="129" t="s">
        <v>42</v>
      </c>
      <c r="R188" s="129" t="s">
        <v>524</v>
      </c>
      <c r="S188" s="129" t="s">
        <v>525</v>
      </c>
      <c r="T188" s="129" t="s">
        <v>418</v>
      </c>
    </row>
    <row r="189" spans="1:20" s="21" customFormat="1" hidden="1">
      <c r="A189" s="129" t="s">
        <v>159</v>
      </c>
      <c r="B189" s="129" t="s">
        <v>29</v>
      </c>
      <c r="C189" s="129" t="s">
        <v>34</v>
      </c>
      <c r="D189" s="129"/>
      <c r="E189" s="129" t="s">
        <v>529</v>
      </c>
      <c r="F189" s="157">
        <v>1031991</v>
      </c>
      <c r="G189" s="157">
        <v>702</v>
      </c>
      <c r="H189" s="157">
        <v>1031289</v>
      </c>
      <c r="I189" s="157">
        <v>99</v>
      </c>
      <c r="J189" s="129"/>
      <c r="K189" s="129"/>
      <c r="L189" s="129" t="s">
        <v>39</v>
      </c>
      <c r="M189" s="129" t="s">
        <v>40</v>
      </c>
      <c r="N189" s="129" t="s">
        <v>73</v>
      </c>
      <c r="O189" s="129" t="s">
        <v>415</v>
      </c>
      <c r="P189" s="129" t="s">
        <v>42</v>
      </c>
      <c r="Q189" s="129" t="s">
        <v>42</v>
      </c>
      <c r="R189" s="129" t="s">
        <v>524</v>
      </c>
      <c r="S189" s="129" t="s">
        <v>525</v>
      </c>
      <c r="T189" s="129" t="s">
        <v>418</v>
      </c>
    </row>
    <row r="190" spans="1:20" s="21" customFormat="1" hidden="1">
      <c r="A190" s="129" t="s">
        <v>159</v>
      </c>
      <c r="B190" s="129" t="s">
        <v>29</v>
      </c>
      <c r="C190" s="129" t="s">
        <v>34</v>
      </c>
      <c r="D190" s="129"/>
      <c r="E190" s="129" t="s">
        <v>530</v>
      </c>
      <c r="F190" s="157">
        <v>3096235</v>
      </c>
      <c r="G190" s="157">
        <v>2339212</v>
      </c>
      <c r="H190" s="157">
        <v>757023</v>
      </c>
      <c r="I190" s="157">
        <v>24</v>
      </c>
      <c r="J190" s="129"/>
      <c r="K190" s="129"/>
      <c r="L190" s="129" t="s">
        <v>39</v>
      </c>
      <c r="M190" s="129" t="s">
        <v>40</v>
      </c>
      <c r="N190" s="129" t="s">
        <v>73</v>
      </c>
      <c r="O190" s="129" t="s">
        <v>415</v>
      </c>
      <c r="P190" s="129" t="s">
        <v>42</v>
      </c>
      <c r="Q190" s="129" t="s">
        <v>42</v>
      </c>
      <c r="R190" s="129" t="s">
        <v>524</v>
      </c>
      <c r="S190" s="129" t="s">
        <v>525</v>
      </c>
      <c r="T190" s="129" t="s">
        <v>418</v>
      </c>
    </row>
    <row r="191" spans="1:20" s="21" customFormat="1" hidden="1">
      <c r="A191" s="129" t="s">
        <v>159</v>
      </c>
      <c r="B191" s="129" t="s">
        <v>29</v>
      </c>
      <c r="C191" s="129" t="s">
        <v>34</v>
      </c>
      <c r="D191" s="129"/>
      <c r="E191" s="129" t="s">
        <v>531</v>
      </c>
      <c r="F191" s="157">
        <v>1031991</v>
      </c>
      <c r="G191" s="157">
        <v>702</v>
      </c>
      <c r="H191" s="157">
        <v>1031289</v>
      </c>
      <c r="I191" s="157">
        <v>99</v>
      </c>
      <c r="J191" s="129"/>
      <c r="K191" s="129"/>
      <c r="L191" s="129" t="s">
        <v>39</v>
      </c>
      <c r="M191" s="129" t="s">
        <v>40</v>
      </c>
      <c r="N191" s="129" t="s">
        <v>73</v>
      </c>
      <c r="O191" s="129" t="s">
        <v>415</v>
      </c>
      <c r="P191" s="129" t="s">
        <v>42</v>
      </c>
      <c r="Q191" s="129" t="s">
        <v>42</v>
      </c>
      <c r="R191" s="129" t="s">
        <v>524</v>
      </c>
      <c r="S191" s="129" t="s">
        <v>525</v>
      </c>
      <c r="T191" s="129" t="s">
        <v>418</v>
      </c>
    </row>
    <row r="192" spans="1:20" s="21" customFormat="1" hidden="1">
      <c r="A192" s="129" t="s">
        <v>159</v>
      </c>
      <c r="B192" s="129" t="s">
        <v>29</v>
      </c>
      <c r="C192" s="129" t="s">
        <v>34</v>
      </c>
      <c r="D192" s="129"/>
      <c r="E192" s="129" t="s">
        <v>532</v>
      </c>
      <c r="F192" s="157">
        <v>3096235</v>
      </c>
      <c r="G192" s="157">
        <v>2339212</v>
      </c>
      <c r="H192" s="157">
        <v>757023</v>
      </c>
      <c r="I192" s="157">
        <v>24</v>
      </c>
      <c r="J192" s="129"/>
      <c r="K192" s="129"/>
      <c r="L192" s="129" t="s">
        <v>39</v>
      </c>
      <c r="M192" s="129" t="s">
        <v>40</v>
      </c>
      <c r="N192" s="129" t="s">
        <v>73</v>
      </c>
      <c r="O192" s="129" t="s">
        <v>415</v>
      </c>
      <c r="P192" s="129" t="s">
        <v>42</v>
      </c>
      <c r="Q192" s="129" t="s">
        <v>42</v>
      </c>
      <c r="R192" s="129" t="s">
        <v>524</v>
      </c>
      <c r="S192" s="129" t="s">
        <v>525</v>
      </c>
      <c r="T192" s="129" t="s">
        <v>418</v>
      </c>
    </row>
    <row r="193" spans="1:20" s="21" customFormat="1" hidden="1">
      <c r="A193" s="129" t="s">
        <v>159</v>
      </c>
      <c r="B193" s="129" t="s">
        <v>29</v>
      </c>
      <c r="C193" s="129" t="s">
        <v>34</v>
      </c>
      <c r="D193" s="129"/>
      <c r="E193" s="129" t="s">
        <v>533</v>
      </c>
      <c r="F193" s="157">
        <v>3096235</v>
      </c>
      <c r="G193" s="157">
        <v>2339212</v>
      </c>
      <c r="H193" s="157">
        <v>757023</v>
      </c>
      <c r="I193" s="157">
        <v>24</v>
      </c>
      <c r="J193" s="129"/>
      <c r="K193" s="129"/>
      <c r="L193" s="129" t="s">
        <v>39</v>
      </c>
      <c r="M193" s="129" t="s">
        <v>40</v>
      </c>
      <c r="N193" s="129" t="s">
        <v>73</v>
      </c>
      <c r="O193" s="129" t="s">
        <v>415</v>
      </c>
      <c r="P193" s="129" t="s">
        <v>42</v>
      </c>
      <c r="Q193" s="129" t="s">
        <v>42</v>
      </c>
      <c r="R193" s="129" t="s">
        <v>524</v>
      </c>
      <c r="S193" s="129" t="s">
        <v>525</v>
      </c>
      <c r="T193" s="129" t="s">
        <v>418</v>
      </c>
    </row>
    <row r="194" spans="1:20" s="21" customFormat="1" hidden="1">
      <c r="A194" s="129" t="s">
        <v>159</v>
      </c>
      <c r="B194" s="129" t="s">
        <v>29</v>
      </c>
      <c r="C194" s="129" t="s">
        <v>34</v>
      </c>
      <c r="D194" s="129"/>
      <c r="E194" s="129" t="s">
        <v>534</v>
      </c>
      <c r="F194" s="157">
        <v>1031991</v>
      </c>
      <c r="G194" s="157">
        <v>702</v>
      </c>
      <c r="H194" s="157">
        <v>1031289</v>
      </c>
      <c r="I194" s="157">
        <v>99</v>
      </c>
      <c r="J194" s="129"/>
      <c r="K194" s="129"/>
      <c r="L194" s="129" t="s">
        <v>39</v>
      </c>
      <c r="M194" s="129" t="s">
        <v>40</v>
      </c>
      <c r="N194" s="129" t="s">
        <v>73</v>
      </c>
      <c r="O194" s="129" t="s">
        <v>415</v>
      </c>
      <c r="P194" s="129" t="s">
        <v>42</v>
      </c>
      <c r="Q194" s="129" t="s">
        <v>42</v>
      </c>
      <c r="R194" s="129" t="s">
        <v>524</v>
      </c>
      <c r="S194" s="129" t="s">
        <v>525</v>
      </c>
      <c r="T194" s="129" t="s">
        <v>418</v>
      </c>
    </row>
    <row r="195" spans="1:20" s="21" customFormat="1" hidden="1">
      <c r="A195" s="129" t="s">
        <v>159</v>
      </c>
      <c r="B195" s="129" t="s">
        <v>29</v>
      </c>
      <c r="C195" s="129" t="s">
        <v>34</v>
      </c>
      <c r="D195" s="129"/>
      <c r="E195" s="129" t="s">
        <v>535</v>
      </c>
      <c r="F195" s="157">
        <v>1031991</v>
      </c>
      <c r="G195" s="157">
        <v>702</v>
      </c>
      <c r="H195" s="157">
        <v>1031289</v>
      </c>
      <c r="I195" s="157">
        <v>99</v>
      </c>
      <c r="J195" s="129"/>
      <c r="K195" s="129"/>
      <c r="L195" s="129" t="s">
        <v>39</v>
      </c>
      <c r="M195" s="129" t="s">
        <v>40</v>
      </c>
      <c r="N195" s="129" t="s">
        <v>73</v>
      </c>
      <c r="O195" s="129" t="s">
        <v>415</v>
      </c>
      <c r="P195" s="129" t="s">
        <v>42</v>
      </c>
      <c r="Q195" s="129" t="s">
        <v>42</v>
      </c>
      <c r="R195" s="129" t="s">
        <v>524</v>
      </c>
      <c r="S195" s="129" t="s">
        <v>525</v>
      </c>
      <c r="T195" s="129" t="s">
        <v>418</v>
      </c>
    </row>
    <row r="196" spans="1:20" s="21" customFormat="1" hidden="1">
      <c r="A196" s="129" t="s">
        <v>159</v>
      </c>
      <c r="B196" s="129" t="s">
        <v>29</v>
      </c>
      <c r="C196" s="129" t="s">
        <v>34</v>
      </c>
      <c r="D196" s="129"/>
      <c r="E196" s="129" t="s">
        <v>536</v>
      </c>
      <c r="F196" s="157">
        <v>3096235</v>
      </c>
      <c r="G196" s="157">
        <v>2339212</v>
      </c>
      <c r="H196" s="157">
        <v>757023</v>
      </c>
      <c r="I196" s="157">
        <v>24</v>
      </c>
      <c r="J196" s="129"/>
      <c r="K196" s="129"/>
      <c r="L196" s="129" t="s">
        <v>39</v>
      </c>
      <c r="M196" s="129" t="s">
        <v>40</v>
      </c>
      <c r="N196" s="129" t="s">
        <v>73</v>
      </c>
      <c r="O196" s="129" t="s">
        <v>415</v>
      </c>
      <c r="P196" s="129" t="s">
        <v>42</v>
      </c>
      <c r="Q196" s="129" t="s">
        <v>42</v>
      </c>
      <c r="R196" s="129" t="s">
        <v>524</v>
      </c>
      <c r="S196" s="129" t="s">
        <v>525</v>
      </c>
      <c r="T196" s="129" t="s">
        <v>418</v>
      </c>
    </row>
    <row r="197" spans="1:20" s="21" customFormat="1" hidden="1">
      <c r="A197" s="129" t="s">
        <v>159</v>
      </c>
      <c r="B197" s="129" t="s">
        <v>29</v>
      </c>
      <c r="C197" s="129" t="s">
        <v>34</v>
      </c>
      <c r="D197" s="129"/>
      <c r="E197" s="129" t="s">
        <v>537</v>
      </c>
      <c r="F197" s="157">
        <v>3096235</v>
      </c>
      <c r="G197" s="157">
        <v>2339212</v>
      </c>
      <c r="H197" s="157">
        <v>757023</v>
      </c>
      <c r="I197" s="157">
        <v>24</v>
      </c>
      <c r="J197" s="129"/>
      <c r="K197" s="129"/>
      <c r="L197" s="129" t="s">
        <v>39</v>
      </c>
      <c r="M197" s="129" t="s">
        <v>40</v>
      </c>
      <c r="N197" s="129" t="s">
        <v>73</v>
      </c>
      <c r="O197" s="129" t="s">
        <v>415</v>
      </c>
      <c r="P197" s="129" t="s">
        <v>42</v>
      </c>
      <c r="Q197" s="129" t="s">
        <v>42</v>
      </c>
      <c r="R197" s="129" t="s">
        <v>524</v>
      </c>
      <c r="S197" s="129" t="s">
        <v>525</v>
      </c>
      <c r="T197" s="129" t="s">
        <v>418</v>
      </c>
    </row>
    <row r="198" spans="1:20" s="21" customFormat="1" hidden="1">
      <c r="A198" s="129" t="s">
        <v>159</v>
      </c>
      <c r="B198" s="129" t="s">
        <v>29</v>
      </c>
      <c r="C198" s="129" t="s">
        <v>34</v>
      </c>
      <c r="D198" s="129"/>
      <c r="E198" s="129" t="s">
        <v>538</v>
      </c>
      <c r="F198" s="157">
        <v>1031991</v>
      </c>
      <c r="G198" s="157">
        <v>702</v>
      </c>
      <c r="H198" s="157">
        <v>1031289</v>
      </c>
      <c r="I198" s="157">
        <v>99</v>
      </c>
      <c r="J198" s="129"/>
      <c r="K198" s="129"/>
      <c r="L198" s="129" t="s">
        <v>39</v>
      </c>
      <c r="M198" s="129" t="s">
        <v>40</v>
      </c>
      <c r="N198" s="129" t="s">
        <v>73</v>
      </c>
      <c r="O198" s="129" t="s">
        <v>415</v>
      </c>
      <c r="P198" s="129" t="s">
        <v>42</v>
      </c>
      <c r="Q198" s="129" t="s">
        <v>42</v>
      </c>
      <c r="R198" s="129" t="s">
        <v>524</v>
      </c>
      <c r="S198" s="129" t="s">
        <v>525</v>
      </c>
      <c r="T198" s="129" t="s">
        <v>418</v>
      </c>
    </row>
    <row r="199" spans="1:20" s="21" customFormat="1">
      <c r="A199" s="129" t="s">
        <v>159</v>
      </c>
      <c r="B199" s="129" t="s">
        <v>29</v>
      </c>
      <c r="C199" s="129" t="s">
        <v>34</v>
      </c>
      <c r="D199" s="129" t="s">
        <v>385</v>
      </c>
      <c r="E199" s="129" t="s">
        <v>421</v>
      </c>
      <c r="F199" s="157">
        <v>9482</v>
      </c>
      <c r="G199" s="157">
        <v>1455</v>
      </c>
      <c r="H199" s="157">
        <v>8027</v>
      </c>
      <c r="I199" s="157">
        <v>84</v>
      </c>
      <c r="J199" s="129"/>
      <c r="K199" s="129"/>
      <c r="L199" s="129" t="s">
        <v>39</v>
      </c>
      <c r="M199" s="129" t="s">
        <v>40</v>
      </c>
      <c r="N199" s="129" t="s">
        <v>73</v>
      </c>
      <c r="O199" s="129" t="s">
        <v>415</v>
      </c>
      <c r="P199" s="129" t="s">
        <v>42</v>
      </c>
      <c r="Q199" s="129" t="s">
        <v>42</v>
      </c>
      <c r="R199" s="129" t="s">
        <v>524</v>
      </c>
      <c r="S199" s="129" t="s">
        <v>525</v>
      </c>
      <c r="T199" s="129" t="s">
        <v>418</v>
      </c>
    </row>
    <row r="200" spans="1:20" s="21" customFormat="1" hidden="1">
      <c r="A200" s="129" t="s">
        <v>159</v>
      </c>
      <c r="B200" s="129" t="s">
        <v>29</v>
      </c>
      <c r="C200" s="129" t="s">
        <v>34</v>
      </c>
      <c r="D200" s="129"/>
      <c r="E200" s="129" t="s">
        <v>539</v>
      </c>
      <c r="F200" s="157">
        <v>1031991</v>
      </c>
      <c r="G200" s="157">
        <v>702</v>
      </c>
      <c r="H200" s="157">
        <v>1031289</v>
      </c>
      <c r="I200" s="157">
        <v>99</v>
      </c>
      <c r="J200" s="129"/>
      <c r="K200" s="129"/>
      <c r="L200" s="129" t="s">
        <v>39</v>
      </c>
      <c r="M200" s="129" t="s">
        <v>40</v>
      </c>
      <c r="N200" s="129" t="s">
        <v>73</v>
      </c>
      <c r="O200" s="129" t="s">
        <v>415</v>
      </c>
      <c r="P200" s="129" t="s">
        <v>42</v>
      </c>
      <c r="Q200" s="129" t="s">
        <v>42</v>
      </c>
      <c r="R200" s="129" t="s">
        <v>524</v>
      </c>
      <c r="S200" s="129" t="s">
        <v>525</v>
      </c>
      <c r="T200" s="129" t="s">
        <v>418</v>
      </c>
    </row>
    <row r="201" spans="1:20" s="21" customFormat="1">
      <c r="A201" s="129" t="s">
        <v>159</v>
      </c>
      <c r="B201" s="129" t="s">
        <v>29</v>
      </c>
      <c r="C201" s="129" t="s">
        <v>34</v>
      </c>
      <c r="D201" s="129" t="s">
        <v>540</v>
      </c>
      <c r="E201" s="129" t="s">
        <v>541</v>
      </c>
      <c r="F201" s="157">
        <v>1031991</v>
      </c>
      <c r="G201" s="157">
        <v>702</v>
      </c>
      <c r="H201" s="157">
        <v>1031289</v>
      </c>
      <c r="I201" s="157">
        <v>99</v>
      </c>
      <c r="J201" s="129"/>
      <c r="K201" s="129"/>
      <c r="L201" s="129" t="s">
        <v>39</v>
      </c>
      <c r="M201" s="129" t="s">
        <v>40</v>
      </c>
      <c r="N201" s="129" t="s">
        <v>73</v>
      </c>
      <c r="O201" s="129" t="s">
        <v>415</v>
      </c>
      <c r="P201" s="129" t="s">
        <v>42</v>
      </c>
      <c r="Q201" s="129" t="s">
        <v>42</v>
      </c>
      <c r="R201" s="129" t="s">
        <v>524</v>
      </c>
      <c r="S201" s="129" t="s">
        <v>525</v>
      </c>
      <c r="T201" s="129" t="s">
        <v>418</v>
      </c>
    </row>
    <row r="202" spans="1:20" s="21" customFormat="1">
      <c r="A202" s="129" t="s">
        <v>159</v>
      </c>
      <c r="B202" s="129" t="s">
        <v>29</v>
      </c>
      <c r="C202" s="129" t="s">
        <v>34</v>
      </c>
      <c r="D202" s="129" t="s">
        <v>403</v>
      </c>
      <c r="E202" s="129" t="s">
        <v>542</v>
      </c>
      <c r="F202" s="157">
        <v>2064117</v>
      </c>
      <c r="G202" s="157">
        <v>1603358</v>
      </c>
      <c r="H202" s="157">
        <v>460759</v>
      </c>
      <c r="I202" s="157">
        <v>22</v>
      </c>
      <c r="J202" s="129"/>
      <c r="K202" s="129"/>
      <c r="L202" s="129" t="s">
        <v>39</v>
      </c>
      <c r="M202" s="129" t="s">
        <v>40</v>
      </c>
      <c r="N202" s="129" t="s">
        <v>73</v>
      </c>
      <c r="O202" s="129" t="s">
        <v>415</v>
      </c>
      <c r="P202" s="129" t="s">
        <v>42</v>
      </c>
      <c r="Q202" s="129" t="s">
        <v>42</v>
      </c>
      <c r="R202" s="129" t="s">
        <v>524</v>
      </c>
      <c r="S202" s="129" t="s">
        <v>525</v>
      </c>
      <c r="T202" s="129" t="s">
        <v>418</v>
      </c>
    </row>
    <row r="203" spans="1:20" s="21" customFormat="1">
      <c r="A203" s="129" t="s">
        <v>159</v>
      </c>
      <c r="B203" s="129" t="s">
        <v>29</v>
      </c>
      <c r="C203" s="129" t="s">
        <v>34</v>
      </c>
      <c r="D203" s="129" t="s">
        <v>403</v>
      </c>
      <c r="E203" s="129" t="s">
        <v>543</v>
      </c>
      <c r="F203" s="157">
        <v>6241758</v>
      </c>
      <c r="G203" s="157">
        <v>2210816</v>
      </c>
      <c r="H203" s="157">
        <v>4030942</v>
      </c>
      <c r="I203" s="157">
        <v>64</v>
      </c>
      <c r="J203" s="129"/>
      <c r="K203" s="129"/>
      <c r="L203" s="129" t="s">
        <v>39</v>
      </c>
      <c r="M203" s="129" t="s">
        <v>40</v>
      </c>
      <c r="N203" s="129" t="s">
        <v>73</v>
      </c>
      <c r="O203" s="129" t="s">
        <v>415</v>
      </c>
      <c r="P203" s="129" t="s">
        <v>42</v>
      </c>
      <c r="Q203" s="129" t="s">
        <v>42</v>
      </c>
      <c r="R203" s="129" t="s">
        <v>524</v>
      </c>
      <c r="S203" s="129" t="s">
        <v>525</v>
      </c>
      <c r="T203" s="129" t="s">
        <v>418</v>
      </c>
    </row>
    <row r="204" spans="1:20" s="21" customFormat="1">
      <c r="A204" s="129" t="s">
        <v>159</v>
      </c>
      <c r="B204" s="129" t="s">
        <v>29</v>
      </c>
      <c r="C204" s="129" t="s">
        <v>34</v>
      </c>
      <c r="D204" s="129" t="s">
        <v>385</v>
      </c>
      <c r="E204" s="129" t="s">
        <v>544</v>
      </c>
      <c r="F204" s="170">
        <v>19093</v>
      </c>
      <c r="G204" s="157">
        <v>244</v>
      </c>
      <c r="H204" s="157">
        <v>18849</v>
      </c>
      <c r="I204" s="157">
        <v>98</v>
      </c>
      <c r="J204" s="129"/>
      <c r="K204" s="129"/>
      <c r="L204" s="129" t="s">
        <v>39</v>
      </c>
      <c r="M204" s="129" t="s">
        <v>40</v>
      </c>
      <c r="N204" s="129" t="s">
        <v>73</v>
      </c>
      <c r="O204" s="129" t="s">
        <v>415</v>
      </c>
      <c r="P204" s="129" t="s">
        <v>42</v>
      </c>
      <c r="Q204" s="129" t="s">
        <v>42</v>
      </c>
      <c r="R204" s="129" t="s">
        <v>524</v>
      </c>
      <c r="S204" s="129" t="s">
        <v>525</v>
      </c>
      <c r="T204" s="129" t="s">
        <v>418</v>
      </c>
    </row>
    <row r="205" spans="1:20" s="21" customFormat="1" hidden="1">
      <c r="A205" s="129" t="s">
        <v>159</v>
      </c>
      <c r="B205" s="129" t="s">
        <v>29</v>
      </c>
      <c r="C205" s="129" t="s">
        <v>34</v>
      </c>
      <c r="D205" s="129"/>
      <c r="E205" s="129" t="s">
        <v>545</v>
      </c>
      <c r="F205" s="157">
        <v>3096235</v>
      </c>
      <c r="G205" s="157">
        <v>2339212</v>
      </c>
      <c r="H205" s="157">
        <v>757023</v>
      </c>
      <c r="I205" s="157">
        <v>24</v>
      </c>
      <c r="J205" s="129"/>
      <c r="K205" s="129"/>
      <c r="L205" s="129" t="s">
        <v>39</v>
      </c>
      <c r="M205" s="129" t="s">
        <v>40</v>
      </c>
      <c r="N205" s="129" t="s">
        <v>73</v>
      </c>
      <c r="O205" s="129" t="s">
        <v>415</v>
      </c>
      <c r="P205" s="129" t="s">
        <v>42</v>
      </c>
      <c r="Q205" s="129" t="s">
        <v>42</v>
      </c>
      <c r="R205" s="129" t="s">
        <v>524</v>
      </c>
      <c r="S205" s="129" t="s">
        <v>525</v>
      </c>
      <c r="T205" s="129" t="s">
        <v>418</v>
      </c>
    </row>
    <row r="206" spans="1:20" s="21" customFormat="1" hidden="1">
      <c r="A206" s="129" t="s">
        <v>159</v>
      </c>
      <c r="B206" s="129" t="s">
        <v>29</v>
      </c>
      <c r="C206" s="129" t="s">
        <v>34</v>
      </c>
      <c r="D206" s="129"/>
      <c r="E206" s="129" t="s">
        <v>546</v>
      </c>
      <c r="F206" s="157">
        <v>3096235</v>
      </c>
      <c r="G206" s="157">
        <v>2339212</v>
      </c>
      <c r="H206" s="157">
        <v>757023</v>
      </c>
      <c r="I206" s="157">
        <v>24</v>
      </c>
      <c r="J206" s="129"/>
      <c r="K206" s="129"/>
      <c r="L206" s="129" t="s">
        <v>39</v>
      </c>
      <c r="M206" s="129" t="s">
        <v>40</v>
      </c>
      <c r="N206" s="129" t="s">
        <v>73</v>
      </c>
      <c r="O206" s="129" t="s">
        <v>415</v>
      </c>
      <c r="P206" s="129" t="s">
        <v>42</v>
      </c>
      <c r="Q206" s="129" t="s">
        <v>42</v>
      </c>
      <c r="R206" s="129" t="s">
        <v>524</v>
      </c>
      <c r="S206" s="129" t="s">
        <v>525</v>
      </c>
      <c r="T206" s="129" t="s">
        <v>418</v>
      </c>
    </row>
    <row r="207" spans="1:20" s="21" customFormat="1">
      <c r="A207" s="129" t="s">
        <v>159</v>
      </c>
      <c r="B207" s="129" t="s">
        <v>29</v>
      </c>
      <c r="C207" s="129" t="s">
        <v>34</v>
      </c>
      <c r="D207" s="129" t="s">
        <v>540</v>
      </c>
      <c r="E207" s="129" t="s">
        <v>420</v>
      </c>
      <c r="F207" s="157">
        <v>3096235</v>
      </c>
      <c r="G207" s="157">
        <v>2339212</v>
      </c>
      <c r="H207" s="157">
        <v>757023</v>
      </c>
      <c r="I207" s="157">
        <v>24</v>
      </c>
      <c r="J207" s="129"/>
      <c r="K207" s="129"/>
      <c r="L207" s="129" t="s">
        <v>39</v>
      </c>
      <c r="M207" s="129" t="s">
        <v>40</v>
      </c>
      <c r="N207" s="129" t="s">
        <v>73</v>
      </c>
      <c r="O207" s="129" t="s">
        <v>415</v>
      </c>
      <c r="P207" s="129" t="s">
        <v>42</v>
      </c>
      <c r="Q207" s="129" t="s">
        <v>42</v>
      </c>
      <c r="R207" s="129" t="s">
        <v>524</v>
      </c>
      <c r="S207" s="129" t="s">
        <v>525</v>
      </c>
      <c r="T207" s="129" t="s">
        <v>418</v>
      </c>
    </row>
    <row r="208" spans="1:20" s="21" customFormat="1">
      <c r="A208" s="129" t="s">
        <v>159</v>
      </c>
      <c r="B208" s="129" t="s">
        <v>29</v>
      </c>
      <c r="C208" s="129" t="s">
        <v>34</v>
      </c>
      <c r="D208" s="129" t="s">
        <v>385</v>
      </c>
      <c r="E208" s="129" t="s">
        <v>414</v>
      </c>
      <c r="F208" s="157">
        <v>65535</v>
      </c>
      <c r="G208" s="157">
        <v>5194</v>
      </c>
      <c r="H208" s="157">
        <v>60341</v>
      </c>
      <c r="I208" s="157">
        <v>92</v>
      </c>
      <c r="J208" s="129"/>
      <c r="K208" s="129"/>
      <c r="L208" s="129" t="s">
        <v>39</v>
      </c>
      <c r="M208" s="129" t="s">
        <v>40</v>
      </c>
      <c r="N208" s="129" t="s">
        <v>73</v>
      </c>
      <c r="O208" s="129" t="s">
        <v>415</v>
      </c>
      <c r="P208" s="129" t="s">
        <v>42</v>
      </c>
      <c r="Q208" s="129" t="s">
        <v>42</v>
      </c>
      <c r="R208" s="129" t="s">
        <v>524</v>
      </c>
      <c r="S208" s="129" t="s">
        <v>525</v>
      </c>
      <c r="T208" s="129" t="s">
        <v>418</v>
      </c>
    </row>
    <row r="209" spans="1:20" s="21" customFormat="1" hidden="1">
      <c r="A209" s="129" t="s">
        <v>159</v>
      </c>
      <c r="B209" s="129" t="s">
        <v>29</v>
      </c>
      <c r="C209" s="129" t="s">
        <v>34</v>
      </c>
      <c r="D209" s="129"/>
      <c r="E209" s="129" t="s">
        <v>547</v>
      </c>
      <c r="F209" s="157">
        <v>3096235</v>
      </c>
      <c r="G209" s="157">
        <v>2339212</v>
      </c>
      <c r="H209" s="157">
        <v>757023</v>
      </c>
      <c r="I209" s="157">
        <v>24</v>
      </c>
      <c r="J209" s="129"/>
      <c r="K209" s="129"/>
      <c r="L209" s="129" t="s">
        <v>39</v>
      </c>
      <c r="M209" s="129" t="s">
        <v>40</v>
      </c>
      <c r="N209" s="129" t="s">
        <v>73</v>
      </c>
      <c r="O209" s="129" t="s">
        <v>415</v>
      </c>
      <c r="P209" s="129" t="s">
        <v>42</v>
      </c>
      <c r="Q209" s="129" t="s">
        <v>42</v>
      </c>
      <c r="R209" s="129" t="s">
        <v>524</v>
      </c>
      <c r="S209" s="129" t="s">
        <v>525</v>
      </c>
      <c r="T209" s="129" t="s">
        <v>418</v>
      </c>
    </row>
    <row r="210" spans="1:20" s="21" customFormat="1" hidden="1">
      <c r="A210" s="129" t="s">
        <v>159</v>
      </c>
      <c r="B210" s="129" t="s">
        <v>29</v>
      </c>
      <c r="C210" s="129" t="s">
        <v>34</v>
      </c>
      <c r="D210" s="129"/>
      <c r="E210" s="129" t="s">
        <v>548</v>
      </c>
      <c r="F210" s="157">
        <v>3096235</v>
      </c>
      <c r="G210" s="157">
        <v>2339212</v>
      </c>
      <c r="H210" s="157">
        <v>757023</v>
      </c>
      <c r="I210" s="157">
        <v>24</v>
      </c>
      <c r="J210" s="129"/>
      <c r="K210" s="129"/>
      <c r="L210" s="129" t="s">
        <v>39</v>
      </c>
      <c r="M210" s="129" t="s">
        <v>40</v>
      </c>
      <c r="N210" s="129" t="s">
        <v>73</v>
      </c>
      <c r="O210" s="129" t="s">
        <v>415</v>
      </c>
      <c r="P210" s="129" t="s">
        <v>42</v>
      </c>
      <c r="Q210" s="129" t="s">
        <v>42</v>
      </c>
      <c r="R210" s="129" t="s">
        <v>524</v>
      </c>
      <c r="S210" s="129" t="s">
        <v>525</v>
      </c>
      <c r="T210" s="129" t="s">
        <v>418</v>
      </c>
    </row>
    <row r="211" spans="1:20" s="21" customFormat="1" hidden="1">
      <c r="A211" s="129" t="s">
        <v>159</v>
      </c>
      <c r="B211" s="129" t="s">
        <v>29</v>
      </c>
      <c r="C211" s="129" t="s">
        <v>34</v>
      </c>
      <c r="D211" s="129"/>
      <c r="E211" s="129" t="s">
        <v>549</v>
      </c>
      <c r="F211" s="157">
        <v>3096235</v>
      </c>
      <c r="G211" s="157">
        <v>2339212</v>
      </c>
      <c r="H211" s="157">
        <v>757023</v>
      </c>
      <c r="I211" s="157">
        <v>24</v>
      </c>
      <c r="J211" s="129"/>
      <c r="K211" s="129"/>
      <c r="L211" s="129" t="s">
        <v>39</v>
      </c>
      <c r="M211" s="129" t="s">
        <v>40</v>
      </c>
      <c r="N211" s="129" t="s">
        <v>73</v>
      </c>
      <c r="O211" s="129" t="s">
        <v>415</v>
      </c>
      <c r="P211" s="129" t="s">
        <v>42</v>
      </c>
      <c r="Q211" s="129" t="s">
        <v>42</v>
      </c>
      <c r="R211" s="129" t="s">
        <v>524</v>
      </c>
      <c r="S211" s="129" t="s">
        <v>525</v>
      </c>
      <c r="T211" s="129" t="s">
        <v>418</v>
      </c>
    </row>
    <row r="212" spans="1:20" s="21" customFormat="1" hidden="1">
      <c r="A212" s="129" t="s">
        <v>159</v>
      </c>
      <c r="B212" s="129" t="s">
        <v>29</v>
      </c>
      <c r="C212" s="129" t="s">
        <v>34</v>
      </c>
      <c r="D212" s="129"/>
      <c r="E212" s="129" t="s">
        <v>550</v>
      </c>
      <c r="F212" s="157">
        <v>3096235</v>
      </c>
      <c r="G212" s="157">
        <v>2339212</v>
      </c>
      <c r="H212" s="157">
        <v>757023</v>
      </c>
      <c r="I212" s="157">
        <v>24</v>
      </c>
      <c r="J212" s="129"/>
      <c r="K212" s="129"/>
      <c r="L212" s="129" t="s">
        <v>39</v>
      </c>
      <c r="M212" s="129" t="s">
        <v>40</v>
      </c>
      <c r="N212" s="129" t="s">
        <v>73</v>
      </c>
      <c r="O212" s="129" t="s">
        <v>415</v>
      </c>
      <c r="P212" s="129" t="s">
        <v>42</v>
      </c>
      <c r="Q212" s="129" t="s">
        <v>42</v>
      </c>
      <c r="R212" s="129" t="s">
        <v>524</v>
      </c>
      <c r="S212" s="129" t="s">
        <v>525</v>
      </c>
      <c r="T212" s="129" t="s">
        <v>418</v>
      </c>
    </row>
    <row r="213" spans="1:20" s="21" customFormat="1" hidden="1">
      <c r="A213" s="129" t="s">
        <v>159</v>
      </c>
      <c r="B213" s="129" t="s">
        <v>29</v>
      </c>
      <c r="C213" s="129" t="s">
        <v>34</v>
      </c>
      <c r="D213" s="129"/>
      <c r="E213" s="129" t="s">
        <v>551</v>
      </c>
      <c r="F213" s="157">
        <v>3096235</v>
      </c>
      <c r="G213" s="157">
        <v>2339212</v>
      </c>
      <c r="H213" s="157">
        <v>757023</v>
      </c>
      <c r="I213" s="157">
        <v>24</v>
      </c>
      <c r="J213" s="129"/>
      <c r="K213" s="129"/>
      <c r="L213" s="129" t="s">
        <v>39</v>
      </c>
      <c r="M213" s="129" t="s">
        <v>40</v>
      </c>
      <c r="N213" s="129" t="s">
        <v>73</v>
      </c>
      <c r="O213" s="129" t="s">
        <v>415</v>
      </c>
      <c r="P213" s="129" t="s">
        <v>42</v>
      </c>
      <c r="Q213" s="129" t="s">
        <v>42</v>
      </c>
      <c r="R213" s="129" t="s">
        <v>524</v>
      </c>
      <c r="S213" s="129" t="s">
        <v>525</v>
      </c>
      <c r="T213" s="129" t="s">
        <v>418</v>
      </c>
    </row>
    <row r="214" spans="1:20" s="21" customFormat="1" hidden="1">
      <c r="A214" s="129" t="s">
        <v>159</v>
      </c>
      <c r="B214" s="129" t="s">
        <v>29</v>
      </c>
      <c r="C214" s="129" t="s">
        <v>34</v>
      </c>
      <c r="D214" s="129"/>
      <c r="E214" s="129" t="s">
        <v>552</v>
      </c>
      <c r="F214" s="157">
        <v>3096235</v>
      </c>
      <c r="G214" s="157">
        <v>2339212</v>
      </c>
      <c r="H214" s="157">
        <v>757023</v>
      </c>
      <c r="I214" s="157">
        <v>24</v>
      </c>
      <c r="J214" s="129"/>
      <c r="K214" s="129"/>
      <c r="L214" s="129" t="s">
        <v>39</v>
      </c>
      <c r="M214" s="129" t="s">
        <v>40</v>
      </c>
      <c r="N214" s="129" t="s">
        <v>73</v>
      </c>
      <c r="O214" s="129" t="s">
        <v>415</v>
      </c>
      <c r="P214" s="129" t="s">
        <v>42</v>
      </c>
      <c r="Q214" s="129" t="s">
        <v>42</v>
      </c>
      <c r="R214" s="129" t="s">
        <v>524</v>
      </c>
      <c r="S214" s="129" t="s">
        <v>525</v>
      </c>
      <c r="T214" s="129" t="s">
        <v>418</v>
      </c>
    </row>
    <row r="215" spans="1:20" s="21" customFormat="1" hidden="1">
      <c r="A215" s="129" t="s">
        <v>159</v>
      </c>
      <c r="B215" s="129" t="s">
        <v>29</v>
      </c>
      <c r="C215" s="129" t="s">
        <v>34</v>
      </c>
      <c r="D215" s="129"/>
      <c r="E215" s="129" t="s">
        <v>553</v>
      </c>
      <c r="F215" s="157">
        <v>3096235</v>
      </c>
      <c r="G215" s="157">
        <v>2339212</v>
      </c>
      <c r="H215" s="157">
        <v>757023</v>
      </c>
      <c r="I215" s="157">
        <v>24</v>
      </c>
      <c r="J215" s="129"/>
      <c r="K215" s="129"/>
      <c r="L215" s="129" t="s">
        <v>39</v>
      </c>
      <c r="M215" s="129" t="s">
        <v>40</v>
      </c>
      <c r="N215" s="129" t="s">
        <v>73</v>
      </c>
      <c r="O215" s="129" t="s">
        <v>415</v>
      </c>
      <c r="P215" s="129" t="s">
        <v>42</v>
      </c>
      <c r="Q215" s="129" t="s">
        <v>42</v>
      </c>
      <c r="R215" s="129" t="s">
        <v>524</v>
      </c>
      <c r="S215" s="129" t="s">
        <v>525</v>
      </c>
      <c r="T215" s="129" t="s">
        <v>418</v>
      </c>
    </row>
    <row r="216" spans="1:20" s="21" customFormat="1">
      <c r="A216" s="129" t="s">
        <v>159</v>
      </c>
      <c r="B216" s="129" t="s">
        <v>29</v>
      </c>
      <c r="C216" s="129" t="s">
        <v>34</v>
      </c>
      <c r="D216" s="129" t="s">
        <v>385</v>
      </c>
      <c r="E216" s="129" t="s">
        <v>422</v>
      </c>
      <c r="F216" s="157">
        <v>4675</v>
      </c>
      <c r="G216" s="157">
        <v>10</v>
      </c>
      <c r="H216" s="157">
        <v>4665</v>
      </c>
      <c r="I216" s="157">
        <v>99</v>
      </c>
      <c r="J216" s="129"/>
      <c r="K216" s="129"/>
      <c r="L216" s="129" t="s">
        <v>39</v>
      </c>
      <c r="M216" s="129" t="s">
        <v>40</v>
      </c>
      <c r="N216" s="129" t="s">
        <v>73</v>
      </c>
      <c r="O216" s="129" t="s">
        <v>415</v>
      </c>
      <c r="P216" s="129" t="s">
        <v>42</v>
      </c>
      <c r="Q216" s="129" t="s">
        <v>42</v>
      </c>
      <c r="R216" s="129" t="s">
        <v>524</v>
      </c>
      <c r="S216" s="129" t="s">
        <v>525</v>
      </c>
      <c r="T216" s="129" t="s">
        <v>418</v>
      </c>
    </row>
    <row r="217" spans="1:20" s="21" customFormat="1">
      <c r="A217" s="129" t="s">
        <v>159</v>
      </c>
      <c r="B217" s="129" t="s">
        <v>29</v>
      </c>
      <c r="C217" s="129" t="s">
        <v>34</v>
      </c>
      <c r="D217" s="129" t="s">
        <v>385</v>
      </c>
      <c r="E217" s="129" t="s">
        <v>430</v>
      </c>
      <c r="F217" s="157">
        <v>471</v>
      </c>
      <c r="G217" s="157">
        <v>462</v>
      </c>
      <c r="H217" s="157">
        <v>9</v>
      </c>
      <c r="I217" s="157">
        <v>2</v>
      </c>
      <c r="J217" s="129"/>
      <c r="K217" s="129"/>
      <c r="L217" s="129" t="s">
        <v>39</v>
      </c>
      <c r="M217" s="129" t="s">
        <v>40</v>
      </c>
      <c r="N217" s="129" t="s">
        <v>73</v>
      </c>
      <c r="O217" s="129" t="s">
        <v>415</v>
      </c>
      <c r="P217" s="129" t="s">
        <v>42</v>
      </c>
      <c r="Q217" s="129" t="s">
        <v>42</v>
      </c>
      <c r="R217" s="129" t="s">
        <v>524</v>
      </c>
      <c r="S217" s="129" t="s">
        <v>525</v>
      </c>
      <c r="T217" s="129" t="s">
        <v>418</v>
      </c>
    </row>
    <row r="218" spans="1:20" s="21" customFormat="1" hidden="1">
      <c r="A218" s="129" t="s">
        <v>159</v>
      </c>
      <c r="B218" s="129" t="s">
        <v>29</v>
      </c>
      <c r="C218" s="129" t="s">
        <v>34</v>
      </c>
      <c r="D218" s="129"/>
      <c r="E218" s="129" t="s">
        <v>554</v>
      </c>
      <c r="F218" s="157">
        <v>3096235</v>
      </c>
      <c r="G218" s="157">
        <v>2339212</v>
      </c>
      <c r="H218" s="157">
        <v>757023</v>
      </c>
      <c r="I218" s="157">
        <v>24</v>
      </c>
      <c r="J218" s="129"/>
      <c r="K218" s="129"/>
      <c r="L218" s="129" t="s">
        <v>39</v>
      </c>
      <c r="M218" s="129" t="s">
        <v>40</v>
      </c>
      <c r="N218" s="129" t="s">
        <v>73</v>
      </c>
      <c r="O218" s="129" t="s">
        <v>415</v>
      </c>
      <c r="P218" s="129" t="s">
        <v>42</v>
      </c>
      <c r="Q218" s="129" t="s">
        <v>42</v>
      </c>
      <c r="R218" s="129" t="s">
        <v>524</v>
      </c>
      <c r="S218" s="129" t="s">
        <v>525</v>
      </c>
      <c r="T218" s="129" t="s">
        <v>418</v>
      </c>
    </row>
    <row r="219" spans="1:20" s="21" customFormat="1" hidden="1">
      <c r="A219" s="129" t="s">
        <v>159</v>
      </c>
      <c r="B219" s="129" t="s">
        <v>29</v>
      </c>
      <c r="C219" s="129" t="s">
        <v>34</v>
      </c>
      <c r="D219" s="129"/>
      <c r="E219" s="129" t="s">
        <v>555</v>
      </c>
      <c r="F219" s="157">
        <v>3096235</v>
      </c>
      <c r="G219" s="157">
        <v>2339212</v>
      </c>
      <c r="H219" s="157">
        <v>757023</v>
      </c>
      <c r="I219" s="157">
        <v>24</v>
      </c>
      <c r="J219" s="129"/>
      <c r="K219" s="129"/>
      <c r="L219" s="129" t="s">
        <v>39</v>
      </c>
      <c r="M219" s="129" t="s">
        <v>40</v>
      </c>
      <c r="N219" s="129" t="s">
        <v>73</v>
      </c>
      <c r="O219" s="129" t="s">
        <v>415</v>
      </c>
      <c r="P219" s="129" t="s">
        <v>42</v>
      </c>
      <c r="Q219" s="129" t="s">
        <v>42</v>
      </c>
      <c r="R219" s="129" t="s">
        <v>524</v>
      </c>
      <c r="S219" s="129" t="s">
        <v>525</v>
      </c>
      <c r="T219" s="129" t="s">
        <v>418</v>
      </c>
    </row>
    <row r="220" spans="1:20" s="21" customFormat="1" hidden="1">
      <c r="A220" s="129" t="s">
        <v>159</v>
      </c>
      <c r="B220" s="129" t="s">
        <v>29</v>
      </c>
      <c r="C220" s="129" t="s">
        <v>34</v>
      </c>
      <c r="D220" s="129"/>
      <c r="E220" s="129" t="s">
        <v>556</v>
      </c>
      <c r="F220" s="157">
        <v>3096235</v>
      </c>
      <c r="G220" s="157">
        <v>2339212</v>
      </c>
      <c r="H220" s="157">
        <v>757023</v>
      </c>
      <c r="I220" s="157">
        <v>24</v>
      </c>
      <c r="J220" s="129"/>
      <c r="K220" s="129"/>
      <c r="L220" s="129" t="s">
        <v>39</v>
      </c>
      <c r="M220" s="129" t="s">
        <v>40</v>
      </c>
      <c r="N220" s="129" t="s">
        <v>73</v>
      </c>
      <c r="O220" s="129" t="s">
        <v>415</v>
      </c>
      <c r="P220" s="129" t="s">
        <v>42</v>
      </c>
      <c r="Q220" s="129" t="s">
        <v>42</v>
      </c>
      <c r="R220" s="129" t="s">
        <v>524</v>
      </c>
      <c r="S220" s="129" t="s">
        <v>525</v>
      </c>
      <c r="T220" s="129" t="s">
        <v>418</v>
      </c>
    </row>
    <row r="221" spans="1:20" s="21" customFormat="1" hidden="1">
      <c r="A221" s="129" t="s">
        <v>159</v>
      </c>
      <c r="B221" s="129" t="s">
        <v>29</v>
      </c>
      <c r="C221" s="129" t="s">
        <v>34</v>
      </c>
      <c r="D221" s="129"/>
      <c r="E221" s="129" t="s">
        <v>557</v>
      </c>
      <c r="F221" s="157">
        <v>3096235</v>
      </c>
      <c r="G221" s="157">
        <v>2339212</v>
      </c>
      <c r="H221" s="157">
        <v>757023</v>
      </c>
      <c r="I221" s="157">
        <v>24</v>
      </c>
      <c r="J221" s="129"/>
      <c r="K221" s="129"/>
      <c r="L221" s="129" t="s">
        <v>39</v>
      </c>
      <c r="M221" s="129" t="s">
        <v>40</v>
      </c>
      <c r="N221" s="129" t="s">
        <v>73</v>
      </c>
      <c r="O221" s="129" t="s">
        <v>415</v>
      </c>
      <c r="P221" s="129" t="s">
        <v>42</v>
      </c>
      <c r="Q221" s="129" t="s">
        <v>42</v>
      </c>
      <c r="R221" s="129" t="s">
        <v>524</v>
      </c>
      <c r="S221" s="129" t="s">
        <v>525</v>
      </c>
      <c r="T221" s="129" t="s">
        <v>418</v>
      </c>
    </row>
    <row r="222" spans="1:20" s="21" customFormat="1" hidden="1">
      <c r="A222" s="129" t="s">
        <v>159</v>
      </c>
      <c r="B222" s="129" t="s">
        <v>29</v>
      </c>
      <c r="C222" s="129" t="s">
        <v>34</v>
      </c>
      <c r="D222" s="129"/>
      <c r="E222" s="129" t="s">
        <v>558</v>
      </c>
      <c r="F222" s="157">
        <v>3096235</v>
      </c>
      <c r="G222" s="157">
        <v>2339212</v>
      </c>
      <c r="H222" s="157">
        <v>757023</v>
      </c>
      <c r="I222" s="157">
        <v>24</v>
      </c>
      <c r="J222" s="129"/>
      <c r="K222" s="129"/>
      <c r="L222" s="129" t="s">
        <v>39</v>
      </c>
      <c r="M222" s="129" t="s">
        <v>40</v>
      </c>
      <c r="N222" s="129" t="s">
        <v>73</v>
      </c>
      <c r="O222" s="129" t="s">
        <v>415</v>
      </c>
      <c r="P222" s="129" t="s">
        <v>42</v>
      </c>
      <c r="Q222" s="129" t="s">
        <v>42</v>
      </c>
      <c r="R222" s="129" t="s">
        <v>524</v>
      </c>
      <c r="S222" s="129" t="s">
        <v>525</v>
      </c>
      <c r="T222" s="129" t="s">
        <v>418</v>
      </c>
    </row>
    <row r="223" spans="1:20" s="21" customFormat="1" hidden="1">
      <c r="A223" s="129" t="s">
        <v>159</v>
      </c>
      <c r="B223" s="129" t="s">
        <v>29</v>
      </c>
      <c r="C223" s="129" t="s">
        <v>34</v>
      </c>
      <c r="D223" s="129"/>
      <c r="E223" s="129" t="s">
        <v>559</v>
      </c>
      <c r="F223" s="157">
        <v>3096235</v>
      </c>
      <c r="G223" s="157">
        <v>2339212</v>
      </c>
      <c r="H223" s="157">
        <v>757023</v>
      </c>
      <c r="I223" s="157">
        <v>24</v>
      </c>
      <c r="J223" s="129"/>
      <c r="K223" s="129"/>
      <c r="L223" s="129" t="s">
        <v>39</v>
      </c>
      <c r="M223" s="129" t="s">
        <v>40</v>
      </c>
      <c r="N223" s="129" t="s">
        <v>73</v>
      </c>
      <c r="O223" s="129" t="s">
        <v>415</v>
      </c>
      <c r="P223" s="129" t="s">
        <v>42</v>
      </c>
      <c r="Q223" s="129" t="s">
        <v>42</v>
      </c>
      <c r="R223" s="129" t="s">
        <v>524</v>
      </c>
      <c r="S223" s="129" t="s">
        <v>525</v>
      </c>
      <c r="T223" s="129" t="s">
        <v>418</v>
      </c>
    </row>
    <row r="224" spans="1:20" s="21" customFormat="1" hidden="1">
      <c r="A224" s="129" t="s">
        <v>159</v>
      </c>
      <c r="B224" s="129" t="s">
        <v>29</v>
      </c>
      <c r="C224" s="129" t="s">
        <v>34</v>
      </c>
      <c r="D224" s="129"/>
      <c r="E224" s="129" t="s">
        <v>560</v>
      </c>
      <c r="F224" s="157">
        <v>3096235</v>
      </c>
      <c r="G224" s="157">
        <v>2339212</v>
      </c>
      <c r="H224" s="157">
        <v>757023</v>
      </c>
      <c r="I224" s="157">
        <v>24</v>
      </c>
      <c r="J224" s="129"/>
      <c r="K224" s="129"/>
      <c r="L224" s="129" t="s">
        <v>39</v>
      </c>
      <c r="M224" s="129" t="s">
        <v>40</v>
      </c>
      <c r="N224" s="129" t="s">
        <v>73</v>
      </c>
      <c r="O224" s="129" t="s">
        <v>415</v>
      </c>
      <c r="P224" s="129" t="s">
        <v>42</v>
      </c>
      <c r="Q224" s="129" t="s">
        <v>42</v>
      </c>
      <c r="R224" s="129" t="s">
        <v>524</v>
      </c>
      <c r="S224" s="129" t="s">
        <v>525</v>
      </c>
      <c r="T224" s="129" t="s">
        <v>418</v>
      </c>
    </row>
    <row r="225" spans="1:20" s="21" customFormat="1" hidden="1">
      <c r="A225" s="129" t="s">
        <v>159</v>
      </c>
      <c r="B225" s="129" t="s">
        <v>29</v>
      </c>
      <c r="C225" s="129" t="s">
        <v>34</v>
      </c>
      <c r="D225" s="129"/>
      <c r="E225" s="129" t="s">
        <v>561</v>
      </c>
      <c r="F225" s="157">
        <v>3096235</v>
      </c>
      <c r="G225" s="157">
        <v>2339212</v>
      </c>
      <c r="H225" s="157">
        <v>757023</v>
      </c>
      <c r="I225" s="157">
        <v>24</v>
      </c>
      <c r="J225" s="129"/>
      <c r="K225" s="129"/>
      <c r="L225" s="129" t="s">
        <v>39</v>
      </c>
      <c r="M225" s="129" t="s">
        <v>40</v>
      </c>
      <c r="N225" s="129" t="s">
        <v>73</v>
      </c>
      <c r="O225" s="129" t="s">
        <v>415</v>
      </c>
      <c r="P225" s="129" t="s">
        <v>42</v>
      </c>
      <c r="Q225" s="129" t="s">
        <v>42</v>
      </c>
      <c r="R225" s="129" t="s">
        <v>524</v>
      </c>
      <c r="S225" s="129" t="s">
        <v>525</v>
      </c>
      <c r="T225" s="129" t="s">
        <v>418</v>
      </c>
    </row>
    <row r="226" spans="1:20" s="21" customFormat="1" hidden="1">
      <c r="A226" s="129" t="s">
        <v>159</v>
      </c>
      <c r="B226" s="129" t="s">
        <v>29</v>
      </c>
      <c r="C226" s="129" t="s">
        <v>34</v>
      </c>
      <c r="D226" s="129"/>
      <c r="E226" s="129" t="s">
        <v>562</v>
      </c>
      <c r="F226" s="157">
        <v>3096235</v>
      </c>
      <c r="G226" s="157">
        <v>2339212</v>
      </c>
      <c r="H226" s="157">
        <v>757023</v>
      </c>
      <c r="I226" s="157">
        <v>24</v>
      </c>
      <c r="J226" s="129"/>
      <c r="K226" s="129"/>
      <c r="L226" s="129" t="s">
        <v>39</v>
      </c>
      <c r="M226" s="129" t="s">
        <v>40</v>
      </c>
      <c r="N226" s="129" t="s">
        <v>73</v>
      </c>
      <c r="O226" s="129" t="s">
        <v>415</v>
      </c>
      <c r="P226" s="129" t="s">
        <v>42</v>
      </c>
      <c r="Q226" s="129" t="s">
        <v>42</v>
      </c>
      <c r="R226" s="129" t="s">
        <v>524</v>
      </c>
      <c r="S226" s="129" t="s">
        <v>525</v>
      </c>
      <c r="T226" s="129" t="s">
        <v>418</v>
      </c>
    </row>
    <row r="227" spans="1:20" s="21" customFormat="1" hidden="1">
      <c r="A227" s="129" t="s">
        <v>159</v>
      </c>
      <c r="B227" s="129" t="s">
        <v>29</v>
      </c>
      <c r="C227" s="129" t="s">
        <v>34</v>
      </c>
      <c r="D227" s="129"/>
      <c r="E227" s="129" t="s">
        <v>563</v>
      </c>
      <c r="F227" s="157">
        <v>3096235</v>
      </c>
      <c r="G227" s="157">
        <v>2339212</v>
      </c>
      <c r="H227" s="157">
        <v>757023</v>
      </c>
      <c r="I227" s="157">
        <v>24</v>
      </c>
      <c r="J227" s="129"/>
      <c r="K227" s="129"/>
      <c r="L227" s="129" t="s">
        <v>39</v>
      </c>
      <c r="M227" s="129" t="s">
        <v>40</v>
      </c>
      <c r="N227" s="129" t="s">
        <v>73</v>
      </c>
      <c r="O227" s="129" t="s">
        <v>415</v>
      </c>
      <c r="P227" s="129" t="s">
        <v>42</v>
      </c>
      <c r="Q227" s="129" t="s">
        <v>42</v>
      </c>
      <c r="R227" s="129" t="s">
        <v>524</v>
      </c>
      <c r="S227" s="129" t="s">
        <v>525</v>
      </c>
      <c r="T227" s="129" t="s">
        <v>418</v>
      </c>
    </row>
    <row r="228" spans="1:20" s="21" customFormat="1" hidden="1">
      <c r="A228" s="129" t="s">
        <v>159</v>
      </c>
      <c r="B228" s="129" t="s">
        <v>29</v>
      </c>
      <c r="C228" s="129" t="s">
        <v>34</v>
      </c>
      <c r="D228" s="129"/>
      <c r="E228" s="129" t="s">
        <v>564</v>
      </c>
      <c r="F228" s="157">
        <v>3096235</v>
      </c>
      <c r="G228" s="157">
        <v>2339212</v>
      </c>
      <c r="H228" s="157">
        <v>757023</v>
      </c>
      <c r="I228" s="157">
        <v>24</v>
      </c>
      <c r="J228" s="129"/>
      <c r="K228" s="129"/>
      <c r="L228" s="129" t="s">
        <v>39</v>
      </c>
      <c r="M228" s="129" t="s">
        <v>40</v>
      </c>
      <c r="N228" s="129" t="s">
        <v>73</v>
      </c>
      <c r="O228" s="129" t="s">
        <v>415</v>
      </c>
      <c r="P228" s="129" t="s">
        <v>42</v>
      </c>
      <c r="Q228" s="129" t="s">
        <v>42</v>
      </c>
      <c r="R228" s="129" t="s">
        <v>524</v>
      </c>
      <c r="S228" s="129" t="s">
        <v>525</v>
      </c>
      <c r="T228" s="129" t="s">
        <v>418</v>
      </c>
    </row>
    <row r="229" spans="1:20" s="21" customFormat="1" hidden="1">
      <c r="A229" s="129" t="s">
        <v>159</v>
      </c>
      <c r="B229" s="129" t="s">
        <v>29</v>
      </c>
      <c r="C229" s="129" t="s">
        <v>34</v>
      </c>
      <c r="D229" s="129"/>
      <c r="E229" s="129" t="s">
        <v>565</v>
      </c>
      <c r="F229" s="157">
        <v>3096235</v>
      </c>
      <c r="G229" s="157">
        <v>2339212</v>
      </c>
      <c r="H229" s="157">
        <v>757023</v>
      </c>
      <c r="I229" s="157">
        <v>24</v>
      </c>
      <c r="J229" s="129"/>
      <c r="K229" s="129"/>
      <c r="L229" s="129" t="s">
        <v>39</v>
      </c>
      <c r="M229" s="129" t="s">
        <v>40</v>
      </c>
      <c r="N229" s="129" t="s">
        <v>73</v>
      </c>
      <c r="O229" s="129" t="s">
        <v>415</v>
      </c>
      <c r="P229" s="129" t="s">
        <v>42</v>
      </c>
      <c r="Q229" s="129" t="s">
        <v>42</v>
      </c>
      <c r="R229" s="129" t="s">
        <v>524</v>
      </c>
      <c r="S229" s="129" t="s">
        <v>525</v>
      </c>
      <c r="T229" s="129" t="s">
        <v>418</v>
      </c>
    </row>
    <row r="230" spans="1:20" s="21" customFormat="1" hidden="1">
      <c r="A230" s="129" t="s">
        <v>159</v>
      </c>
      <c r="B230" s="129" t="s">
        <v>29</v>
      </c>
      <c r="C230" s="129" t="s">
        <v>34</v>
      </c>
      <c r="D230" s="129"/>
      <c r="E230" s="129" t="s">
        <v>566</v>
      </c>
      <c r="F230" s="157">
        <v>1031991</v>
      </c>
      <c r="G230" s="157">
        <v>702</v>
      </c>
      <c r="H230" s="157">
        <v>1031289</v>
      </c>
      <c r="I230" s="157">
        <v>99</v>
      </c>
      <c r="J230" s="129"/>
      <c r="K230" s="129"/>
      <c r="L230" s="129" t="s">
        <v>39</v>
      </c>
      <c r="M230" s="129" t="s">
        <v>40</v>
      </c>
      <c r="N230" s="129" t="s">
        <v>73</v>
      </c>
      <c r="O230" s="129" t="s">
        <v>415</v>
      </c>
      <c r="P230" s="129" t="s">
        <v>42</v>
      </c>
      <c r="Q230" s="129" t="s">
        <v>42</v>
      </c>
      <c r="R230" s="129" t="s">
        <v>524</v>
      </c>
      <c r="S230" s="129" t="s">
        <v>525</v>
      </c>
      <c r="T230" s="129" t="s">
        <v>418</v>
      </c>
    </row>
    <row r="231" spans="1:20" s="21" customFormat="1" hidden="1">
      <c r="A231" s="129" t="s">
        <v>159</v>
      </c>
      <c r="B231" s="129" t="s">
        <v>29</v>
      </c>
      <c r="C231" s="129" t="s">
        <v>34</v>
      </c>
      <c r="D231" s="129"/>
      <c r="E231" s="129" t="s">
        <v>567</v>
      </c>
      <c r="F231" s="157">
        <v>1031991</v>
      </c>
      <c r="G231" s="157">
        <v>702</v>
      </c>
      <c r="H231" s="157">
        <v>1031289</v>
      </c>
      <c r="I231" s="157">
        <v>99</v>
      </c>
      <c r="J231" s="129"/>
      <c r="K231" s="129"/>
      <c r="L231" s="129" t="s">
        <v>39</v>
      </c>
      <c r="M231" s="129" t="s">
        <v>40</v>
      </c>
      <c r="N231" s="129" t="s">
        <v>73</v>
      </c>
      <c r="O231" s="129" t="s">
        <v>415</v>
      </c>
      <c r="P231" s="129" t="s">
        <v>42</v>
      </c>
      <c r="Q231" s="129" t="s">
        <v>42</v>
      </c>
      <c r="R231" s="129" t="s">
        <v>524</v>
      </c>
      <c r="S231" s="129" t="s">
        <v>525</v>
      </c>
      <c r="T231" s="129" t="s">
        <v>418</v>
      </c>
    </row>
    <row r="232" spans="1:20" s="21" customFormat="1" hidden="1">
      <c r="A232" s="129" t="s">
        <v>159</v>
      </c>
      <c r="B232" s="129" t="s">
        <v>29</v>
      </c>
      <c r="C232" s="129" t="s">
        <v>34</v>
      </c>
      <c r="D232" s="129"/>
      <c r="E232" s="129" t="s">
        <v>568</v>
      </c>
      <c r="F232" s="157">
        <v>3096235</v>
      </c>
      <c r="G232" s="157">
        <v>2339212</v>
      </c>
      <c r="H232" s="157">
        <v>757023</v>
      </c>
      <c r="I232" s="157">
        <v>24</v>
      </c>
      <c r="J232" s="129"/>
      <c r="K232" s="129"/>
      <c r="L232" s="129" t="s">
        <v>39</v>
      </c>
      <c r="M232" s="129" t="s">
        <v>40</v>
      </c>
      <c r="N232" s="129" t="s">
        <v>73</v>
      </c>
      <c r="O232" s="129" t="s">
        <v>415</v>
      </c>
      <c r="P232" s="129" t="s">
        <v>42</v>
      </c>
      <c r="Q232" s="129" t="s">
        <v>42</v>
      </c>
      <c r="R232" s="129" t="s">
        <v>524</v>
      </c>
      <c r="S232" s="129" t="s">
        <v>525</v>
      </c>
      <c r="T232" s="129" t="s">
        <v>418</v>
      </c>
    </row>
    <row r="233" spans="1:20" s="21" customFormat="1" hidden="1">
      <c r="A233" s="129" t="s">
        <v>159</v>
      </c>
      <c r="B233" s="129" t="s">
        <v>29</v>
      </c>
      <c r="C233" s="129" t="s">
        <v>34</v>
      </c>
      <c r="D233" s="129"/>
      <c r="E233" s="129" t="s">
        <v>569</v>
      </c>
      <c r="F233" s="157">
        <v>3096235</v>
      </c>
      <c r="G233" s="157">
        <v>2339212</v>
      </c>
      <c r="H233" s="157">
        <v>757023</v>
      </c>
      <c r="I233" s="157">
        <v>24</v>
      </c>
      <c r="J233" s="129"/>
      <c r="K233" s="129"/>
      <c r="L233" s="129" t="s">
        <v>39</v>
      </c>
      <c r="M233" s="129" t="s">
        <v>40</v>
      </c>
      <c r="N233" s="129" t="s">
        <v>73</v>
      </c>
      <c r="O233" s="129" t="s">
        <v>415</v>
      </c>
      <c r="P233" s="129" t="s">
        <v>42</v>
      </c>
      <c r="Q233" s="129" t="s">
        <v>42</v>
      </c>
      <c r="R233" s="129" t="s">
        <v>524</v>
      </c>
      <c r="S233" s="129" t="s">
        <v>525</v>
      </c>
      <c r="T233" s="129" t="s">
        <v>418</v>
      </c>
    </row>
    <row r="234" spans="1:20" s="21" customFormat="1" hidden="1">
      <c r="A234" s="129" t="s">
        <v>159</v>
      </c>
      <c r="B234" s="129" t="s">
        <v>29</v>
      </c>
      <c r="C234" s="129" t="s">
        <v>34</v>
      </c>
      <c r="D234" s="129"/>
      <c r="E234" s="129" t="s">
        <v>570</v>
      </c>
      <c r="F234" s="157">
        <v>3096235</v>
      </c>
      <c r="G234" s="157">
        <v>2339212</v>
      </c>
      <c r="H234" s="157">
        <v>757023</v>
      </c>
      <c r="I234" s="157">
        <v>24</v>
      </c>
      <c r="J234" s="129"/>
      <c r="K234" s="129"/>
      <c r="L234" s="129" t="s">
        <v>39</v>
      </c>
      <c r="M234" s="129" t="s">
        <v>40</v>
      </c>
      <c r="N234" s="129" t="s">
        <v>73</v>
      </c>
      <c r="O234" s="129" t="s">
        <v>415</v>
      </c>
      <c r="P234" s="129" t="s">
        <v>42</v>
      </c>
      <c r="Q234" s="129" t="s">
        <v>42</v>
      </c>
      <c r="R234" s="129" t="s">
        <v>524</v>
      </c>
      <c r="S234" s="129" t="s">
        <v>525</v>
      </c>
      <c r="T234" s="129" t="s">
        <v>418</v>
      </c>
    </row>
    <row r="235" spans="1:20" s="21" customFormat="1" hidden="1">
      <c r="A235" s="129" t="s">
        <v>159</v>
      </c>
      <c r="B235" s="129" t="s">
        <v>29</v>
      </c>
      <c r="C235" s="129" t="s">
        <v>34</v>
      </c>
      <c r="D235" s="129"/>
      <c r="E235" s="129" t="s">
        <v>571</v>
      </c>
      <c r="F235" s="157">
        <v>3096235</v>
      </c>
      <c r="G235" s="157">
        <v>2339212</v>
      </c>
      <c r="H235" s="157">
        <v>757023</v>
      </c>
      <c r="I235" s="157">
        <v>24</v>
      </c>
      <c r="J235" s="129"/>
      <c r="K235" s="129"/>
      <c r="L235" s="129" t="s">
        <v>39</v>
      </c>
      <c r="M235" s="129" t="s">
        <v>40</v>
      </c>
      <c r="N235" s="129" t="s">
        <v>73</v>
      </c>
      <c r="O235" s="129" t="s">
        <v>415</v>
      </c>
      <c r="P235" s="129" t="s">
        <v>42</v>
      </c>
      <c r="Q235" s="129" t="s">
        <v>42</v>
      </c>
      <c r="R235" s="129" t="s">
        <v>524</v>
      </c>
      <c r="S235" s="129" t="s">
        <v>525</v>
      </c>
      <c r="T235" s="129" t="s">
        <v>418</v>
      </c>
    </row>
    <row r="236" spans="1:20" s="21" customFormat="1" hidden="1">
      <c r="A236" s="129" t="s">
        <v>159</v>
      </c>
      <c r="B236" s="129" t="s">
        <v>29</v>
      </c>
      <c r="C236" s="129" t="s">
        <v>34</v>
      </c>
      <c r="D236" s="129"/>
      <c r="E236" s="129" t="s">
        <v>572</v>
      </c>
      <c r="F236" s="157">
        <v>3096235</v>
      </c>
      <c r="G236" s="157">
        <v>2339212</v>
      </c>
      <c r="H236" s="157">
        <v>757023</v>
      </c>
      <c r="I236" s="157">
        <v>24</v>
      </c>
      <c r="J236" s="129"/>
      <c r="K236" s="129"/>
      <c r="L236" s="129" t="s">
        <v>39</v>
      </c>
      <c r="M236" s="129" t="s">
        <v>40</v>
      </c>
      <c r="N236" s="129" t="s">
        <v>73</v>
      </c>
      <c r="O236" s="129" t="s">
        <v>415</v>
      </c>
      <c r="P236" s="129" t="s">
        <v>42</v>
      </c>
      <c r="Q236" s="129" t="s">
        <v>42</v>
      </c>
      <c r="R236" s="129" t="s">
        <v>524</v>
      </c>
      <c r="S236" s="129" t="s">
        <v>525</v>
      </c>
      <c r="T236" s="129" t="s">
        <v>418</v>
      </c>
    </row>
    <row r="237" spans="1:20" s="21" customFormat="1" hidden="1">
      <c r="A237" s="129" t="s">
        <v>159</v>
      </c>
      <c r="B237" s="129" t="s">
        <v>29</v>
      </c>
      <c r="C237" s="129" t="s">
        <v>34</v>
      </c>
      <c r="D237" s="129"/>
      <c r="E237" s="129" t="s">
        <v>573</v>
      </c>
      <c r="F237" s="157">
        <v>3096235</v>
      </c>
      <c r="G237" s="157">
        <v>2339212</v>
      </c>
      <c r="H237" s="157">
        <v>757023</v>
      </c>
      <c r="I237" s="157">
        <v>24</v>
      </c>
      <c r="J237" s="129"/>
      <c r="K237" s="129"/>
      <c r="L237" s="129" t="s">
        <v>39</v>
      </c>
      <c r="M237" s="129" t="s">
        <v>40</v>
      </c>
      <c r="N237" s="129" t="s">
        <v>73</v>
      </c>
      <c r="O237" s="129" t="s">
        <v>415</v>
      </c>
      <c r="P237" s="129" t="s">
        <v>42</v>
      </c>
      <c r="Q237" s="129" t="s">
        <v>42</v>
      </c>
      <c r="R237" s="129" t="s">
        <v>524</v>
      </c>
      <c r="S237" s="129" t="s">
        <v>525</v>
      </c>
      <c r="T237" s="129" t="s">
        <v>418</v>
      </c>
    </row>
    <row r="238" spans="1:20" s="21" customFormat="1" hidden="1">
      <c r="A238" s="129" t="s">
        <v>159</v>
      </c>
      <c r="B238" s="129" t="s">
        <v>29</v>
      </c>
      <c r="C238" s="129" t="s">
        <v>34</v>
      </c>
      <c r="D238" s="129"/>
      <c r="E238" s="129" t="s">
        <v>574</v>
      </c>
      <c r="F238" s="157">
        <v>3096235</v>
      </c>
      <c r="G238" s="157">
        <v>2339212</v>
      </c>
      <c r="H238" s="157">
        <v>757023</v>
      </c>
      <c r="I238" s="157">
        <v>24</v>
      </c>
      <c r="J238" s="129"/>
      <c r="K238" s="129"/>
      <c r="L238" s="129" t="s">
        <v>39</v>
      </c>
      <c r="M238" s="129" t="s">
        <v>40</v>
      </c>
      <c r="N238" s="129" t="s">
        <v>73</v>
      </c>
      <c r="O238" s="129" t="s">
        <v>415</v>
      </c>
      <c r="P238" s="129" t="s">
        <v>42</v>
      </c>
      <c r="Q238" s="129" t="s">
        <v>42</v>
      </c>
      <c r="R238" s="129" t="s">
        <v>524</v>
      </c>
      <c r="S238" s="129" t="s">
        <v>525</v>
      </c>
      <c r="T238" s="129" t="s">
        <v>418</v>
      </c>
    </row>
    <row r="239" spans="1:20" s="21" customFormat="1" hidden="1">
      <c r="A239" s="129" t="s">
        <v>159</v>
      </c>
      <c r="B239" s="129" t="s">
        <v>29</v>
      </c>
      <c r="C239" s="129" t="s">
        <v>34</v>
      </c>
      <c r="D239" s="129"/>
      <c r="E239" s="129" t="s">
        <v>575</v>
      </c>
      <c r="F239" s="157">
        <v>3096235</v>
      </c>
      <c r="G239" s="157">
        <v>2339212</v>
      </c>
      <c r="H239" s="157">
        <v>757023</v>
      </c>
      <c r="I239" s="157">
        <v>24</v>
      </c>
      <c r="J239" s="129"/>
      <c r="K239" s="129"/>
      <c r="L239" s="129" t="s">
        <v>39</v>
      </c>
      <c r="M239" s="129" t="s">
        <v>40</v>
      </c>
      <c r="N239" s="129" t="s">
        <v>73</v>
      </c>
      <c r="O239" s="129" t="s">
        <v>415</v>
      </c>
      <c r="P239" s="129" t="s">
        <v>42</v>
      </c>
      <c r="Q239" s="129" t="s">
        <v>42</v>
      </c>
      <c r="R239" s="129" t="s">
        <v>524</v>
      </c>
      <c r="S239" s="129" t="s">
        <v>525</v>
      </c>
      <c r="T239" s="129" t="s">
        <v>418</v>
      </c>
    </row>
    <row r="240" spans="1:20" s="21" customFormat="1" hidden="1">
      <c r="A240" s="129" t="s">
        <v>159</v>
      </c>
      <c r="B240" s="129" t="s">
        <v>29</v>
      </c>
      <c r="C240" s="129" t="s">
        <v>34</v>
      </c>
      <c r="D240" s="129"/>
      <c r="E240" s="129" t="s">
        <v>576</v>
      </c>
      <c r="F240" s="157">
        <v>3096235</v>
      </c>
      <c r="G240" s="157">
        <v>2339212</v>
      </c>
      <c r="H240" s="157">
        <v>757023</v>
      </c>
      <c r="I240" s="157">
        <v>24</v>
      </c>
      <c r="J240" s="129"/>
      <c r="K240" s="129"/>
      <c r="L240" s="129" t="s">
        <v>39</v>
      </c>
      <c r="M240" s="129" t="s">
        <v>40</v>
      </c>
      <c r="N240" s="129" t="s">
        <v>73</v>
      </c>
      <c r="O240" s="129" t="s">
        <v>415</v>
      </c>
      <c r="P240" s="129" t="s">
        <v>42</v>
      </c>
      <c r="Q240" s="129" t="s">
        <v>42</v>
      </c>
      <c r="R240" s="129" t="s">
        <v>524</v>
      </c>
      <c r="S240" s="129" t="s">
        <v>525</v>
      </c>
      <c r="T240" s="129" t="s">
        <v>418</v>
      </c>
    </row>
    <row r="241" spans="1:20" s="21" customFormat="1" hidden="1">
      <c r="A241" s="129" t="s">
        <v>159</v>
      </c>
      <c r="B241" s="129" t="s">
        <v>29</v>
      </c>
      <c r="C241" s="129" t="s">
        <v>34</v>
      </c>
      <c r="D241" s="129"/>
      <c r="E241" s="129" t="s">
        <v>577</v>
      </c>
      <c r="F241" s="157">
        <v>3096235</v>
      </c>
      <c r="G241" s="157">
        <v>2339212</v>
      </c>
      <c r="H241" s="157">
        <v>757023</v>
      </c>
      <c r="I241" s="157">
        <v>24</v>
      </c>
      <c r="J241" s="129"/>
      <c r="K241" s="129"/>
      <c r="L241" s="129" t="s">
        <v>39</v>
      </c>
      <c r="M241" s="129" t="s">
        <v>40</v>
      </c>
      <c r="N241" s="129" t="s">
        <v>73</v>
      </c>
      <c r="O241" s="129" t="s">
        <v>415</v>
      </c>
      <c r="P241" s="129" t="s">
        <v>42</v>
      </c>
      <c r="Q241" s="129" t="s">
        <v>42</v>
      </c>
      <c r="R241" s="129" t="s">
        <v>524</v>
      </c>
      <c r="S241" s="129" t="s">
        <v>525</v>
      </c>
      <c r="T241" s="129" t="s">
        <v>418</v>
      </c>
    </row>
    <row r="242" spans="1:20" s="21" customFormat="1" hidden="1">
      <c r="A242" s="129" t="s">
        <v>159</v>
      </c>
      <c r="B242" s="129" t="s">
        <v>29</v>
      </c>
      <c r="C242" s="129" t="s">
        <v>34</v>
      </c>
      <c r="D242" s="129"/>
      <c r="E242" s="129" t="s">
        <v>578</v>
      </c>
      <c r="F242" s="157">
        <v>3096235</v>
      </c>
      <c r="G242" s="157">
        <v>2339212</v>
      </c>
      <c r="H242" s="157">
        <v>757023</v>
      </c>
      <c r="I242" s="157">
        <v>24</v>
      </c>
      <c r="J242" s="129"/>
      <c r="K242" s="129"/>
      <c r="L242" s="129" t="s">
        <v>39</v>
      </c>
      <c r="M242" s="129" t="s">
        <v>40</v>
      </c>
      <c r="N242" s="129" t="s">
        <v>73</v>
      </c>
      <c r="O242" s="129" t="s">
        <v>415</v>
      </c>
      <c r="P242" s="129" t="s">
        <v>42</v>
      </c>
      <c r="Q242" s="129" t="s">
        <v>42</v>
      </c>
      <c r="R242" s="129" t="s">
        <v>524</v>
      </c>
      <c r="S242" s="129" t="s">
        <v>525</v>
      </c>
      <c r="T242" s="129" t="s">
        <v>418</v>
      </c>
    </row>
    <row r="243" spans="1:20" s="21" customFormat="1" hidden="1">
      <c r="A243" s="129" t="s">
        <v>159</v>
      </c>
      <c r="B243" s="129" t="s">
        <v>29</v>
      </c>
      <c r="C243" s="129" t="s">
        <v>34</v>
      </c>
      <c r="D243" s="129"/>
      <c r="E243" s="129" t="s">
        <v>579</v>
      </c>
      <c r="F243" s="157">
        <v>3096235</v>
      </c>
      <c r="G243" s="157">
        <v>2339212</v>
      </c>
      <c r="H243" s="157">
        <v>757023</v>
      </c>
      <c r="I243" s="157">
        <v>24</v>
      </c>
      <c r="J243" s="129"/>
      <c r="K243" s="129"/>
      <c r="L243" s="129" t="s">
        <v>39</v>
      </c>
      <c r="M243" s="129" t="s">
        <v>40</v>
      </c>
      <c r="N243" s="129" t="s">
        <v>73</v>
      </c>
      <c r="O243" s="129" t="s">
        <v>415</v>
      </c>
      <c r="P243" s="129" t="s">
        <v>42</v>
      </c>
      <c r="Q243" s="129" t="s">
        <v>42</v>
      </c>
      <c r="R243" s="129" t="s">
        <v>524</v>
      </c>
      <c r="S243" s="129" t="s">
        <v>525</v>
      </c>
      <c r="T243" s="129" t="s">
        <v>418</v>
      </c>
    </row>
    <row r="244" spans="1:20" s="21" customFormat="1" hidden="1">
      <c r="A244" s="129" t="s">
        <v>159</v>
      </c>
      <c r="B244" s="129" t="s">
        <v>29</v>
      </c>
      <c r="C244" s="129" t="s">
        <v>34</v>
      </c>
      <c r="D244" s="129"/>
      <c r="E244" s="129" t="s">
        <v>580</v>
      </c>
      <c r="F244" s="157">
        <v>3096235</v>
      </c>
      <c r="G244" s="157">
        <v>2339212</v>
      </c>
      <c r="H244" s="157">
        <v>757023</v>
      </c>
      <c r="I244" s="157">
        <v>24</v>
      </c>
      <c r="J244" s="129"/>
      <c r="K244" s="129"/>
      <c r="L244" s="129" t="s">
        <v>39</v>
      </c>
      <c r="M244" s="129" t="s">
        <v>40</v>
      </c>
      <c r="N244" s="129" t="s">
        <v>73</v>
      </c>
      <c r="O244" s="129" t="s">
        <v>415</v>
      </c>
      <c r="P244" s="129" t="s">
        <v>42</v>
      </c>
      <c r="Q244" s="129" t="s">
        <v>42</v>
      </c>
      <c r="R244" s="129" t="s">
        <v>524</v>
      </c>
      <c r="S244" s="129" t="s">
        <v>525</v>
      </c>
      <c r="T244" s="129" t="s">
        <v>418</v>
      </c>
    </row>
    <row r="245" spans="1:20" s="21" customFormat="1" hidden="1">
      <c r="A245" s="129" t="s">
        <v>159</v>
      </c>
      <c r="B245" s="129" t="s">
        <v>29</v>
      </c>
      <c r="C245" s="129" t="s">
        <v>34</v>
      </c>
      <c r="D245" s="129"/>
      <c r="E245" s="129" t="s">
        <v>581</v>
      </c>
      <c r="F245" s="157">
        <v>3096235</v>
      </c>
      <c r="G245" s="157">
        <v>2339212</v>
      </c>
      <c r="H245" s="157">
        <v>757023</v>
      </c>
      <c r="I245" s="157">
        <v>24</v>
      </c>
      <c r="J245" s="129"/>
      <c r="K245" s="129"/>
      <c r="L245" s="129" t="s">
        <v>39</v>
      </c>
      <c r="M245" s="129" t="s">
        <v>40</v>
      </c>
      <c r="N245" s="129" t="s">
        <v>73</v>
      </c>
      <c r="O245" s="129" t="s">
        <v>415</v>
      </c>
      <c r="P245" s="129" t="s">
        <v>42</v>
      </c>
      <c r="Q245" s="129" t="s">
        <v>42</v>
      </c>
      <c r="R245" s="129" t="s">
        <v>524</v>
      </c>
      <c r="S245" s="129" t="s">
        <v>525</v>
      </c>
      <c r="T245" s="129" t="s">
        <v>418</v>
      </c>
    </row>
    <row r="246" spans="1:20" s="21" customFormat="1" hidden="1">
      <c r="A246" s="129" t="s">
        <v>159</v>
      </c>
      <c r="B246" s="129" t="s">
        <v>29</v>
      </c>
      <c r="C246" s="129" t="s">
        <v>34</v>
      </c>
      <c r="D246" s="129"/>
      <c r="E246" s="129" t="s">
        <v>582</v>
      </c>
      <c r="F246" s="157">
        <v>3096235</v>
      </c>
      <c r="G246" s="157">
        <v>2339212</v>
      </c>
      <c r="H246" s="157">
        <v>757023</v>
      </c>
      <c r="I246" s="157">
        <v>24</v>
      </c>
      <c r="J246" s="129"/>
      <c r="K246" s="129"/>
      <c r="L246" s="129" t="s">
        <v>39</v>
      </c>
      <c r="M246" s="129" t="s">
        <v>40</v>
      </c>
      <c r="N246" s="129" t="s">
        <v>73</v>
      </c>
      <c r="O246" s="129" t="s">
        <v>415</v>
      </c>
      <c r="P246" s="129" t="s">
        <v>42</v>
      </c>
      <c r="Q246" s="129" t="s">
        <v>42</v>
      </c>
      <c r="R246" s="129" t="s">
        <v>524</v>
      </c>
      <c r="S246" s="129" t="s">
        <v>525</v>
      </c>
      <c r="T246" s="129" t="s">
        <v>418</v>
      </c>
    </row>
    <row r="247" spans="1:20" s="21" customFormat="1" hidden="1">
      <c r="A247" s="129" t="s">
        <v>159</v>
      </c>
      <c r="B247" s="129" t="s">
        <v>29</v>
      </c>
      <c r="C247" s="129" t="s">
        <v>34</v>
      </c>
      <c r="D247" s="129"/>
      <c r="E247" s="129" t="s">
        <v>583</v>
      </c>
      <c r="F247" s="157">
        <v>3096235</v>
      </c>
      <c r="G247" s="157">
        <v>2339212</v>
      </c>
      <c r="H247" s="157">
        <v>757023</v>
      </c>
      <c r="I247" s="157">
        <v>24</v>
      </c>
      <c r="J247" s="129"/>
      <c r="K247" s="129"/>
      <c r="L247" s="129" t="s">
        <v>39</v>
      </c>
      <c r="M247" s="129" t="s">
        <v>40</v>
      </c>
      <c r="N247" s="129" t="s">
        <v>73</v>
      </c>
      <c r="O247" s="129" t="s">
        <v>415</v>
      </c>
      <c r="P247" s="129" t="s">
        <v>42</v>
      </c>
      <c r="Q247" s="129" t="s">
        <v>42</v>
      </c>
      <c r="R247" s="129" t="s">
        <v>524</v>
      </c>
      <c r="S247" s="129" t="s">
        <v>525</v>
      </c>
      <c r="T247" s="129" t="s">
        <v>418</v>
      </c>
    </row>
    <row r="248" spans="1:20" s="21" customFormat="1" hidden="1">
      <c r="A248" s="129" t="s">
        <v>159</v>
      </c>
      <c r="B248" s="129" t="s">
        <v>29</v>
      </c>
      <c r="C248" s="129" t="s">
        <v>34</v>
      </c>
      <c r="D248" s="129"/>
      <c r="E248" s="129" t="s">
        <v>584</v>
      </c>
      <c r="F248" s="157">
        <v>3096235</v>
      </c>
      <c r="G248" s="157">
        <v>2339212</v>
      </c>
      <c r="H248" s="157">
        <v>757023</v>
      </c>
      <c r="I248" s="157">
        <v>24</v>
      </c>
      <c r="J248" s="129"/>
      <c r="K248" s="129"/>
      <c r="L248" s="129" t="s">
        <v>39</v>
      </c>
      <c r="M248" s="129" t="s">
        <v>40</v>
      </c>
      <c r="N248" s="129" t="s">
        <v>73</v>
      </c>
      <c r="O248" s="129" t="s">
        <v>415</v>
      </c>
      <c r="P248" s="129" t="s">
        <v>42</v>
      </c>
      <c r="Q248" s="129" t="s">
        <v>42</v>
      </c>
      <c r="R248" s="129" t="s">
        <v>524</v>
      </c>
      <c r="S248" s="129" t="s">
        <v>525</v>
      </c>
      <c r="T248" s="129" t="s">
        <v>418</v>
      </c>
    </row>
    <row r="249" spans="1:20" s="21" customFormat="1" hidden="1">
      <c r="A249" s="129" t="s">
        <v>159</v>
      </c>
      <c r="B249" s="129" t="s">
        <v>29</v>
      </c>
      <c r="C249" s="129" t="s">
        <v>34</v>
      </c>
      <c r="D249" s="129"/>
      <c r="E249" s="129" t="s">
        <v>585</v>
      </c>
      <c r="F249" s="157">
        <v>3096235</v>
      </c>
      <c r="G249" s="157">
        <v>2339212</v>
      </c>
      <c r="H249" s="157">
        <v>757023</v>
      </c>
      <c r="I249" s="157">
        <v>24</v>
      </c>
      <c r="J249" s="129"/>
      <c r="K249" s="129"/>
      <c r="L249" s="129" t="s">
        <v>39</v>
      </c>
      <c r="M249" s="129" t="s">
        <v>40</v>
      </c>
      <c r="N249" s="129" t="s">
        <v>73</v>
      </c>
      <c r="O249" s="129" t="s">
        <v>415</v>
      </c>
      <c r="P249" s="129" t="s">
        <v>42</v>
      </c>
      <c r="Q249" s="129" t="s">
        <v>42</v>
      </c>
      <c r="R249" s="129" t="s">
        <v>524</v>
      </c>
      <c r="S249" s="129" t="s">
        <v>525</v>
      </c>
      <c r="T249" s="129" t="s">
        <v>418</v>
      </c>
    </row>
    <row r="250" spans="1:20" s="21" customFormat="1" hidden="1">
      <c r="A250" s="129" t="s">
        <v>159</v>
      </c>
      <c r="B250" s="129" t="s">
        <v>29</v>
      </c>
      <c r="C250" s="129" t="s">
        <v>34</v>
      </c>
      <c r="D250" s="129"/>
      <c r="E250" s="129" t="s">
        <v>586</v>
      </c>
      <c r="F250" s="157">
        <v>3096235</v>
      </c>
      <c r="G250" s="157">
        <v>2339212</v>
      </c>
      <c r="H250" s="157">
        <v>757023</v>
      </c>
      <c r="I250" s="157">
        <v>24</v>
      </c>
      <c r="J250" s="129"/>
      <c r="K250" s="129"/>
      <c r="L250" s="129" t="s">
        <v>39</v>
      </c>
      <c r="M250" s="129" t="s">
        <v>40</v>
      </c>
      <c r="N250" s="129" t="s">
        <v>73</v>
      </c>
      <c r="O250" s="129" t="s">
        <v>415</v>
      </c>
      <c r="P250" s="129" t="s">
        <v>42</v>
      </c>
      <c r="Q250" s="129" t="s">
        <v>42</v>
      </c>
      <c r="R250" s="129" t="s">
        <v>524</v>
      </c>
      <c r="S250" s="129" t="s">
        <v>525</v>
      </c>
      <c r="T250" s="129" t="s">
        <v>418</v>
      </c>
    </row>
    <row r="251" spans="1:20" s="21" customFormat="1" hidden="1">
      <c r="A251" s="129" t="s">
        <v>159</v>
      </c>
      <c r="B251" s="129" t="s">
        <v>29</v>
      </c>
      <c r="C251" s="129" t="s">
        <v>34</v>
      </c>
      <c r="D251" s="129"/>
      <c r="E251" s="129" t="s">
        <v>587</v>
      </c>
      <c r="F251" s="157">
        <v>3096235</v>
      </c>
      <c r="G251" s="157">
        <v>2339212</v>
      </c>
      <c r="H251" s="157">
        <v>757023</v>
      </c>
      <c r="I251" s="157">
        <v>24</v>
      </c>
      <c r="J251" s="129"/>
      <c r="K251" s="129"/>
      <c r="L251" s="129" t="s">
        <v>39</v>
      </c>
      <c r="M251" s="129" t="s">
        <v>40</v>
      </c>
      <c r="N251" s="129" t="s">
        <v>73</v>
      </c>
      <c r="O251" s="129" t="s">
        <v>415</v>
      </c>
      <c r="P251" s="129" t="s">
        <v>42</v>
      </c>
      <c r="Q251" s="129" t="s">
        <v>42</v>
      </c>
      <c r="R251" s="129" t="s">
        <v>524</v>
      </c>
      <c r="S251" s="129" t="s">
        <v>525</v>
      </c>
      <c r="T251" s="129" t="s">
        <v>418</v>
      </c>
    </row>
    <row r="252" spans="1:20" s="21" customFormat="1" hidden="1">
      <c r="A252" s="129" t="s">
        <v>159</v>
      </c>
      <c r="B252" s="129" t="s">
        <v>29</v>
      </c>
      <c r="C252" s="129" t="s">
        <v>34</v>
      </c>
      <c r="D252" s="129"/>
      <c r="E252" s="129" t="s">
        <v>588</v>
      </c>
      <c r="F252" s="157">
        <v>3096235</v>
      </c>
      <c r="G252" s="157">
        <v>2339212</v>
      </c>
      <c r="H252" s="157">
        <v>757023</v>
      </c>
      <c r="I252" s="157">
        <v>24</v>
      </c>
      <c r="J252" s="129"/>
      <c r="K252" s="129"/>
      <c r="L252" s="129" t="s">
        <v>39</v>
      </c>
      <c r="M252" s="129" t="s">
        <v>40</v>
      </c>
      <c r="N252" s="129" t="s">
        <v>73</v>
      </c>
      <c r="O252" s="129" t="s">
        <v>415</v>
      </c>
      <c r="P252" s="129" t="s">
        <v>42</v>
      </c>
      <c r="Q252" s="129" t="s">
        <v>42</v>
      </c>
      <c r="R252" s="129" t="s">
        <v>524</v>
      </c>
      <c r="S252" s="129" t="s">
        <v>525</v>
      </c>
      <c r="T252" s="129" t="s">
        <v>418</v>
      </c>
    </row>
    <row r="253" spans="1:20" s="21" customFormat="1" hidden="1">
      <c r="A253" s="129" t="s">
        <v>159</v>
      </c>
      <c r="B253" s="129" t="s">
        <v>29</v>
      </c>
      <c r="C253" s="129" t="s">
        <v>34</v>
      </c>
      <c r="D253" s="129"/>
      <c r="E253" s="129" t="s">
        <v>589</v>
      </c>
      <c r="F253" s="157">
        <v>3096235</v>
      </c>
      <c r="G253" s="157">
        <v>2339212</v>
      </c>
      <c r="H253" s="157">
        <v>757023</v>
      </c>
      <c r="I253" s="157">
        <v>24</v>
      </c>
      <c r="J253" s="129"/>
      <c r="K253" s="129"/>
      <c r="L253" s="129" t="s">
        <v>39</v>
      </c>
      <c r="M253" s="129" t="s">
        <v>40</v>
      </c>
      <c r="N253" s="129" t="s">
        <v>73</v>
      </c>
      <c r="O253" s="129" t="s">
        <v>415</v>
      </c>
      <c r="P253" s="129" t="s">
        <v>42</v>
      </c>
      <c r="Q253" s="129" t="s">
        <v>42</v>
      </c>
      <c r="R253" s="129" t="s">
        <v>524</v>
      </c>
      <c r="S253" s="129" t="s">
        <v>525</v>
      </c>
      <c r="T253" s="129" t="s">
        <v>418</v>
      </c>
    </row>
    <row r="254" spans="1:20" s="21" customFormat="1" hidden="1">
      <c r="A254" s="129" t="s">
        <v>159</v>
      </c>
      <c r="B254" s="129" t="s">
        <v>29</v>
      </c>
      <c r="C254" s="129" t="s">
        <v>34</v>
      </c>
      <c r="D254" s="129"/>
      <c r="E254" s="129" t="s">
        <v>590</v>
      </c>
      <c r="F254" s="157">
        <v>3096235</v>
      </c>
      <c r="G254" s="157">
        <v>2339212</v>
      </c>
      <c r="H254" s="157">
        <v>757023</v>
      </c>
      <c r="I254" s="157">
        <v>24</v>
      </c>
      <c r="J254" s="129"/>
      <c r="K254" s="129"/>
      <c r="L254" s="129" t="s">
        <v>39</v>
      </c>
      <c r="M254" s="129" t="s">
        <v>40</v>
      </c>
      <c r="N254" s="129" t="s">
        <v>73</v>
      </c>
      <c r="O254" s="129" t="s">
        <v>415</v>
      </c>
      <c r="P254" s="129" t="s">
        <v>42</v>
      </c>
      <c r="Q254" s="129" t="s">
        <v>42</v>
      </c>
      <c r="R254" s="129" t="s">
        <v>524</v>
      </c>
      <c r="S254" s="129" t="s">
        <v>525</v>
      </c>
      <c r="T254" s="129" t="s">
        <v>418</v>
      </c>
    </row>
    <row r="255" spans="1:20" s="21" customFormat="1" hidden="1">
      <c r="A255" s="129" t="s">
        <v>159</v>
      </c>
      <c r="B255" s="129" t="s">
        <v>29</v>
      </c>
      <c r="C255" s="129" t="s">
        <v>34</v>
      </c>
      <c r="D255" s="129"/>
      <c r="E255" s="129" t="s">
        <v>591</v>
      </c>
      <c r="F255" s="157">
        <v>3096235</v>
      </c>
      <c r="G255" s="157">
        <v>2339212</v>
      </c>
      <c r="H255" s="157">
        <v>757023</v>
      </c>
      <c r="I255" s="157">
        <v>24</v>
      </c>
      <c r="J255" s="129"/>
      <c r="K255" s="129"/>
      <c r="L255" s="129" t="s">
        <v>39</v>
      </c>
      <c r="M255" s="129" t="s">
        <v>40</v>
      </c>
      <c r="N255" s="129" t="s">
        <v>73</v>
      </c>
      <c r="O255" s="129" t="s">
        <v>415</v>
      </c>
      <c r="P255" s="129" t="s">
        <v>42</v>
      </c>
      <c r="Q255" s="129" t="s">
        <v>42</v>
      </c>
      <c r="R255" s="129" t="s">
        <v>524</v>
      </c>
      <c r="S255" s="129" t="s">
        <v>525</v>
      </c>
      <c r="T255" s="129" t="s">
        <v>418</v>
      </c>
    </row>
    <row r="256" spans="1:20" s="21" customFormat="1" hidden="1">
      <c r="A256" s="129" t="s">
        <v>159</v>
      </c>
      <c r="B256" s="129" t="s">
        <v>29</v>
      </c>
      <c r="C256" s="129" t="s">
        <v>34</v>
      </c>
      <c r="D256" s="129"/>
      <c r="E256" s="129" t="s">
        <v>592</v>
      </c>
      <c r="F256" s="157">
        <v>3096235</v>
      </c>
      <c r="G256" s="157">
        <v>2339212</v>
      </c>
      <c r="H256" s="157">
        <v>757023</v>
      </c>
      <c r="I256" s="157">
        <v>24</v>
      </c>
      <c r="J256" s="129"/>
      <c r="K256" s="129"/>
      <c r="L256" s="129" t="s">
        <v>39</v>
      </c>
      <c r="M256" s="129" t="s">
        <v>40</v>
      </c>
      <c r="N256" s="129" t="s">
        <v>73</v>
      </c>
      <c r="O256" s="129" t="s">
        <v>415</v>
      </c>
      <c r="P256" s="129" t="s">
        <v>42</v>
      </c>
      <c r="Q256" s="129" t="s">
        <v>42</v>
      </c>
      <c r="R256" s="129" t="s">
        <v>524</v>
      </c>
      <c r="S256" s="129" t="s">
        <v>525</v>
      </c>
      <c r="T256" s="129" t="s">
        <v>418</v>
      </c>
    </row>
    <row r="257" spans="1:20" s="21" customFormat="1" hidden="1">
      <c r="A257" s="129" t="s">
        <v>159</v>
      </c>
      <c r="B257" s="129" t="s">
        <v>29</v>
      </c>
      <c r="C257" s="129" t="s">
        <v>34</v>
      </c>
      <c r="D257" s="129"/>
      <c r="E257" s="129" t="s">
        <v>593</v>
      </c>
      <c r="F257" s="157">
        <v>3096235</v>
      </c>
      <c r="G257" s="157">
        <v>2339212</v>
      </c>
      <c r="H257" s="157">
        <v>757023</v>
      </c>
      <c r="I257" s="157">
        <v>24</v>
      </c>
      <c r="J257" s="129"/>
      <c r="K257" s="129"/>
      <c r="L257" s="129" t="s">
        <v>39</v>
      </c>
      <c r="M257" s="129" t="s">
        <v>40</v>
      </c>
      <c r="N257" s="129" t="s">
        <v>73</v>
      </c>
      <c r="O257" s="129" t="s">
        <v>415</v>
      </c>
      <c r="P257" s="129" t="s">
        <v>42</v>
      </c>
      <c r="Q257" s="129" t="s">
        <v>42</v>
      </c>
      <c r="R257" s="129" t="s">
        <v>524</v>
      </c>
      <c r="S257" s="129" t="s">
        <v>525</v>
      </c>
      <c r="T257" s="129" t="s">
        <v>418</v>
      </c>
    </row>
    <row r="258" spans="1:20" s="21" customFormat="1" hidden="1">
      <c r="A258" s="129" t="s">
        <v>159</v>
      </c>
      <c r="B258" s="129" t="s">
        <v>29</v>
      </c>
      <c r="C258" s="129" t="s">
        <v>34</v>
      </c>
      <c r="D258" s="129"/>
      <c r="E258" s="129" t="s">
        <v>594</v>
      </c>
      <c r="F258" s="157">
        <v>3096235</v>
      </c>
      <c r="G258" s="157">
        <v>2339212</v>
      </c>
      <c r="H258" s="157">
        <v>757023</v>
      </c>
      <c r="I258" s="157">
        <v>24</v>
      </c>
      <c r="J258" s="129"/>
      <c r="K258" s="129"/>
      <c r="L258" s="129" t="s">
        <v>39</v>
      </c>
      <c r="M258" s="129" t="s">
        <v>40</v>
      </c>
      <c r="N258" s="129" t="s">
        <v>73</v>
      </c>
      <c r="O258" s="129" t="s">
        <v>415</v>
      </c>
      <c r="P258" s="129" t="s">
        <v>42</v>
      </c>
      <c r="Q258" s="129" t="s">
        <v>42</v>
      </c>
      <c r="R258" s="129" t="s">
        <v>524</v>
      </c>
      <c r="S258" s="129" t="s">
        <v>525</v>
      </c>
      <c r="T258" s="129" t="s">
        <v>418</v>
      </c>
    </row>
    <row r="259" spans="1:20" s="21" customFormat="1" hidden="1">
      <c r="A259" s="129" t="s">
        <v>159</v>
      </c>
      <c r="B259" s="129" t="s">
        <v>29</v>
      </c>
      <c r="C259" s="129" t="s">
        <v>34</v>
      </c>
      <c r="D259" s="129"/>
      <c r="E259" s="129" t="s">
        <v>595</v>
      </c>
      <c r="F259" s="157">
        <v>3096235</v>
      </c>
      <c r="G259" s="157">
        <v>2339212</v>
      </c>
      <c r="H259" s="157">
        <v>757023</v>
      </c>
      <c r="I259" s="157">
        <v>24</v>
      </c>
      <c r="J259" s="129"/>
      <c r="K259" s="129"/>
      <c r="L259" s="129" t="s">
        <v>39</v>
      </c>
      <c r="M259" s="129" t="s">
        <v>40</v>
      </c>
      <c r="N259" s="129" t="s">
        <v>73</v>
      </c>
      <c r="O259" s="129" t="s">
        <v>415</v>
      </c>
      <c r="P259" s="129" t="s">
        <v>42</v>
      </c>
      <c r="Q259" s="129" t="s">
        <v>42</v>
      </c>
      <c r="R259" s="129" t="s">
        <v>524</v>
      </c>
      <c r="S259" s="129" t="s">
        <v>525</v>
      </c>
      <c r="T259" s="129" t="s">
        <v>418</v>
      </c>
    </row>
    <row r="260" spans="1:20" s="21" customFormat="1" hidden="1">
      <c r="A260" s="129" t="s">
        <v>159</v>
      </c>
      <c r="B260" s="129" t="s">
        <v>29</v>
      </c>
      <c r="C260" s="129" t="s">
        <v>34</v>
      </c>
      <c r="D260" s="129"/>
      <c r="E260" s="129" t="s">
        <v>596</v>
      </c>
      <c r="F260" s="157">
        <v>3096235</v>
      </c>
      <c r="G260" s="157">
        <v>2339212</v>
      </c>
      <c r="H260" s="157">
        <v>757023</v>
      </c>
      <c r="I260" s="157">
        <v>24</v>
      </c>
      <c r="J260" s="129"/>
      <c r="K260" s="129"/>
      <c r="L260" s="129" t="s">
        <v>39</v>
      </c>
      <c r="M260" s="129" t="s">
        <v>40</v>
      </c>
      <c r="N260" s="129" t="s">
        <v>73</v>
      </c>
      <c r="O260" s="129" t="s">
        <v>415</v>
      </c>
      <c r="P260" s="129" t="s">
        <v>42</v>
      </c>
      <c r="Q260" s="129" t="s">
        <v>42</v>
      </c>
      <c r="R260" s="129" t="s">
        <v>524</v>
      </c>
      <c r="S260" s="129" t="s">
        <v>525</v>
      </c>
      <c r="T260" s="129" t="s">
        <v>418</v>
      </c>
    </row>
    <row r="261" spans="1:20" s="21" customFormat="1" hidden="1">
      <c r="A261" s="129" t="s">
        <v>159</v>
      </c>
      <c r="B261" s="129" t="s">
        <v>29</v>
      </c>
      <c r="C261" s="129" t="s">
        <v>34</v>
      </c>
      <c r="D261" s="129"/>
      <c r="E261" s="129" t="s">
        <v>597</v>
      </c>
      <c r="F261" s="157">
        <v>3096235</v>
      </c>
      <c r="G261" s="157">
        <v>2339212</v>
      </c>
      <c r="H261" s="157">
        <v>757023</v>
      </c>
      <c r="I261" s="157">
        <v>24</v>
      </c>
      <c r="J261" s="129"/>
      <c r="K261" s="129"/>
      <c r="L261" s="129" t="s">
        <v>39</v>
      </c>
      <c r="M261" s="129" t="s">
        <v>40</v>
      </c>
      <c r="N261" s="129" t="s">
        <v>73</v>
      </c>
      <c r="O261" s="129" t="s">
        <v>415</v>
      </c>
      <c r="P261" s="129" t="s">
        <v>42</v>
      </c>
      <c r="Q261" s="129" t="s">
        <v>42</v>
      </c>
      <c r="R261" s="129" t="s">
        <v>524</v>
      </c>
      <c r="S261" s="129" t="s">
        <v>525</v>
      </c>
      <c r="T261" s="129" t="s">
        <v>418</v>
      </c>
    </row>
    <row r="262" spans="1:20" s="21" customFormat="1" hidden="1">
      <c r="A262" s="129" t="s">
        <v>159</v>
      </c>
      <c r="B262" s="129" t="s">
        <v>29</v>
      </c>
      <c r="C262" s="129" t="s">
        <v>34</v>
      </c>
      <c r="D262" s="129"/>
      <c r="E262" s="129" t="s">
        <v>598</v>
      </c>
      <c r="F262" s="157">
        <v>3096235</v>
      </c>
      <c r="G262" s="157">
        <v>2339212</v>
      </c>
      <c r="H262" s="157">
        <v>757023</v>
      </c>
      <c r="I262" s="157">
        <v>24</v>
      </c>
      <c r="J262" s="129"/>
      <c r="K262" s="129"/>
      <c r="L262" s="129" t="s">
        <v>39</v>
      </c>
      <c r="M262" s="129" t="s">
        <v>40</v>
      </c>
      <c r="N262" s="129" t="s">
        <v>73</v>
      </c>
      <c r="O262" s="129" t="s">
        <v>415</v>
      </c>
      <c r="P262" s="129" t="s">
        <v>42</v>
      </c>
      <c r="Q262" s="129" t="s">
        <v>42</v>
      </c>
      <c r="R262" s="129" t="s">
        <v>524</v>
      </c>
      <c r="S262" s="129" t="s">
        <v>525</v>
      </c>
      <c r="T262" s="129" t="s">
        <v>418</v>
      </c>
    </row>
    <row r="263" spans="1:20" s="21" customFormat="1" hidden="1">
      <c r="A263" s="129" t="s">
        <v>159</v>
      </c>
      <c r="B263" s="129" t="s">
        <v>29</v>
      </c>
      <c r="C263" s="129" t="s">
        <v>34</v>
      </c>
      <c r="D263" s="129"/>
      <c r="E263" s="129" t="s">
        <v>599</v>
      </c>
      <c r="F263" s="157">
        <v>3096235</v>
      </c>
      <c r="G263" s="157">
        <v>2339212</v>
      </c>
      <c r="H263" s="157">
        <v>757023</v>
      </c>
      <c r="I263" s="157">
        <v>24</v>
      </c>
      <c r="J263" s="129"/>
      <c r="K263" s="129"/>
      <c r="L263" s="129" t="s">
        <v>39</v>
      </c>
      <c r="M263" s="129" t="s">
        <v>40</v>
      </c>
      <c r="N263" s="129" t="s">
        <v>73</v>
      </c>
      <c r="O263" s="129" t="s">
        <v>415</v>
      </c>
      <c r="P263" s="129" t="s">
        <v>42</v>
      </c>
      <c r="Q263" s="129" t="s">
        <v>42</v>
      </c>
      <c r="R263" s="129" t="s">
        <v>524</v>
      </c>
      <c r="S263" s="129" t="s">
        <v>525</v>
      </c>
      <c r="T263" s="129" t="s">
        <v>418</v>
      </c>
    </row>
    <row r="264" spans="1:20" s="21" customFormat="1" hidden="1">
      <c r="A264" s="129" t="s">
        <v>159</v>
      </c>
      <c r="B264" s="129" t="s">
        <v>29</v>
      </c>
      <c r="C264" s="129" t="s">
        <v>34</v>
      </c>
      <c r="D264" s="129"/>
      <c r="E264" s="129" t="s">
        <v>600</v>
      </c>
      <c r="F264" s="157">
        <v>3096235</v>
      </c>
      <c r="G264" s="157">
        <v>2339212</v>
      </c>
      <c r="H264" s="157">
        <v>757023</v>
      </c>
      <c r="I264" s="157">
        <v>24</v>
      </c>
      <c r="J264" s="129"/>
      <c r="K264" s="129"/>
      <c r="L264" s="129" t="s">
        <v>39</v>
      </c>
      <c r="M264" s="129" t="s">
        <v>40</v>
      </c>
      <c r="N264" s="129" t="s">
        <v>73</v>
      </c>
      <c r="O264" s="129" t="s">
        <v>415</v>
      </c>
      <c r="P264" s="129" t="s">
        <v>42</v>
      </c>
      <c r="Q264" s="129" t="s">
        <v>42</v>
      </c>
      <c r="R264" s="129" t="s">
        <v>524</v>
      </c>
      <c r="S264" s="129" t="s">
        <v>525</v>
      </c>
      <c r="T264" s="129" t="s">
        <v>418</v>
      </c>
    </row>
    <row r="265" spans="1:20" s="21" customFormat="1" hidden="1">
      <c r="A265" s="129" t="s">
        <v>159</v>
      </c>
      <c r="B265" s="129" t="s">
        <v>29</v>
      </c>
      <c r="C265" s="129" t="s">
        <v>34</v>
      </c>
      <c r="D265" s="129"/>
      <c r="E265" s="129" t="s">
        <v>601</v>
      </c>
      <c r="F265" s="157">
        <v>3096235</v>
      </c>
      <c r="G265" s="157">
        <v>2339212</v>
      </c>
      <c r="H265" s="157">
        <v>757023</v>
      </c>
      <c r="I265" s="157">
        <v>24</v>
      </c>
      <c r="J265" s="129"/>
      <c r="K265" s="129"/>
      <c r="L265" s="129" t="s">
        <v>39</v>
      </c>
      <c r="M265" s="129" t="s">
        <v>40</v>
      </c>
      <c r="N265" s="129" t="s">
        <v>73</v>
      </c>
      <c r="O265" s="129" t="s">
        <v>415</v>
      </c>
      <c r="P265" s="129" t="s">
        <v>42</v>
      </c>
      <c r="Q265" s="129" t="s">
        <v>42</v>
      </c>
      <c r="R265" s="129" t="s">
        <v>524</v>
      </c>
      <c r="S265" s="129" t="s">
        <v>525</v>
      </c>
      <c r="T265" s="129" t="s">
        <v>418</v>
      </c>
    </row>
    <row r="266" spans="1:20" s="21" customFormat="1" hidden="1">
      <c r="A266" s="129" t="s">
        <v>159</v>
      </c>
      <c r="B266" s="129" t="s">
        <v>29</v>
      </c>
      <c r="C266" s="129" t="s">
        <v>34</v>
      </c>
      <c r="D266" s="129"/>
      <c r="E266" s="129" t="s">
        <v>602</v>
      </c>
      <c r="F266" s="157">
        <v>3096235</v>
      </c>
      <c r="G266" s="157">
        <v>2339212</v>
      </c>
      <c r="H266" s="157">
        <v>757023</v>
      </c>
      <c r="I266" s="157">
        <v>24</v>
      </c>
      <c r="J266" s="129"/>
      <c r="K266" s="129"/>
      <c r="L266" s="129" t="s">
        <v>39</v>
      </c>
      <c r="M266" s="129" t="s">
        <v>40</v>
      </c>
      <c r="N266" s="129" t="s">
        <v>73</v>
      </c>
      <c r="O266" s="129" t="s">
        <v>415</v>
      </c>
      <c r="P266" s="129" t="s">
        <v>42</v>
      </c>
      <c r="Q266" s="129" t="s">
        <v>42</v>
      </c>
      <c r="R266" s="129" t="s">
        <v>524</v>
      </c>
      <c r="S266" s="129" t="s">
        <v>525</v>
      </c>
      <c r="T266" s="129" t="s">
        <v>418</v>
      </c>
    </row>
    <row r="267" spans="1:20" s="21" customFormat="1" hidden="1">
      <c r="A267" s="129" t="s">
        <v>159</v>
      </c>
      <c r="B267" s="129" t="s">
        <v>29</v>
      </c>
      <c r="C267" s="129" t="s">
        <v>34</v>
      </c>
      <c r="D267" s="129"/>
      <c r="E267" s="129" t="s">
        <v>603</v>
      </c>
      <c r="F267" s="157">
        <v>3096235</v>
      </c>
      <c r="G267" s="157">
        <v>2339212</v>
      </c>
      <c r="H267" s="157">
        <v>757023</v>
      </c>
      <c r="I267" s="157">
        <v>24</v>
      </c>
      <c r="J267" s="129"/>
      <c r="K267" s="129"/>
      <c r="L267" s="129" t="s">
        <v>39</v>
      </c>
      <c r="M267" s="129" t="s">
        <v>40</v>
      </c>
      <c r="N267" s="129" t="s">
        <v>73</v>
      </c>
      <c r="O267" s="129" t="s">
        <v>415</v>
      </c>
      <c r="P267" s="129" t="s">
        <v>42</v>
      </c>
      <c r="Q267" s="129" t="s">
        <v>42</v>
      </c>
      <c r="R267" s="129" t="s">
        <v>524</v>
      </c>
      <c r="S267" s="129" t="s">
        <v>525</v>
      </c>
      <c r="T267" s="129" t="s">
        <v>418</v>
      </c>
    </row>
    <row r="268" spans="1:20" s="21" customFormat="1" hidden="1">
      <c r="A268" s="129" t="s">
        <v>159</v>
      </c>
      <c r="B268" s="129" t="s">
        <v>29</v>
      </c>
      <c r="C268" s="129" t="s">
        <v>34</v>
      </c>
      <c r="D268" s="129"/>
      <c r="E268" s="129" t="s">
        <v>604</v>
      </c>
      <c r="F268" s="157">
        <v>3096235</v>
      </c>
      <c r="G268" s="157">
        <v>2339212</v>
      </c>
      <c r="H268" s="157">
        <v>757023</v>
      </c>
      <c r="I268" s="157">
        <v>24</v>
      </c>
      <c r="J268" s="129"/>
      <c r="K268" s="129"/>
      <c r="L268" s="129" t="s">
        <v>39</v>
      </c>
      <c r="M268" s="129" t="s">
        <v>40</v>
      </c>
      <c r="N268" s="129" t="s">
        <v>73</v>
      </c>
      <c r="O268" s="129" t="s">
        <v>415</v>
      </c>
      <c r="P268" s="129" t="s">
        <v>42</v>
      </c>
      <c r="Q268" s="129" t="s">
        <v>42</v>
      </c>
      <c r="R268" s="129" t="s">
        <v>524</v>
      </c>
      <c r="S268" s="129" t="s">
        <v>525</v>
      </c>
      <c r="T268" s="129" t="s">
        <v>418</v>
      </c>
    </row>
    <row r="269" spans="1:20" s="21" customFormat="1" hidden="1">
      <c r="A269" s="129" t="s">
        <v>159</v>
      </c>
      <c r="B269" s="129" t="s">
        <v>29</v>
      </c>
      <c r="C269" s="129" t="s">
        <v>34</v>
      </c>
      <c r="D269" s="129"/>
      <c r="E269" s="129" t="s">
        <v>605</v>
      </c>
      <c r="F269" s="157">
        <v>3096235</v>
      </c>
      <c r="G269" s="157">
        <v>2339212</v>
      </c>
      <c r="H269" s="157">
        <v>757023</v>
      </c>
      <c r="I269" s="157">
        <v>24</v>
      </c>
      <c r="J269" s="129"/>
      <c r="K269" s="129"/>
      <c r="L269" s="129" t="s">
        <v>39</v>
      </c>
      <c r="M269" s="129" t="s">
        <v>40</v>
      </c>
      <c r="N269" s="129" t="s">
        <v>73</v>
      </c>
      <c r="O269" s="129" t="s">
        <v>415</v>
      </c>
      <c r="P269" s="129" t="s">
        <v>42</v>
      </c>
      <c r="Q269" s="129" t="s">
        <v>42</v>
      </c>
      <c r="R269" s="129" t="s">
        <v>524</v>
      </c>
      <c r="S269" s="129" t="s">
        <v>525</v>
      </c>
      <c r="T269" s="129" t="s">
        <v>418</v>
      </c>
    </row>
    <row r="270" spans="1:20" s="21" customFormat="1" hidden="1">
      <c r="A270" s="129" t="s">
        <v>159</v>
      </c>
      <c r="B270" s="129" t="s">
        <v>29</v>
      </c>
      <c r="C270" s="129" t="s">
        <v>34</v>
      </c>
      <c r="D270" s="129"/>
      <c r="E270" s="129" t="s">
        <v>606</v>
      </c>
      <c r="F270" s="157">
        <v>3096235</v>
      </c>
      <c r="G270" s="157">
        <v>2339212</v>
      </c>
      <c r="H270" s="157">
        <v>757023</v>
      </c>
      <c r="I270" s="157">
        <v>24</v>
      </c>
      <c r="J270" s="129"/>
      <c r="K270" s="129"/>
      <c r="L270" s="129" t="s">
        <v>39</v>
      </c>
      <c r="M270" s="129" t="s">
        <v>40</v>
      </c>
      <c r="N270" s="129" t="s">
        <v>73</v>
      </c>
      <c r="O270" s="129" t="s">
        <v>415</v>
      </c>
      <c r="P270" s="129" t="s">
        <v>42</v>
      </c>
      <c r="Q270" s="129" t="s">
        <v>42</v>
      </c>
      <c r="R270" s="129" t="s">
        <v>524</v>
      </c>
      <c r="S270" s="129" t="s">
        <v>525</v>
      </c>
      <c r="T270" s="129" t="s">
        <v>418</v>
      </c>
    </row>
    <row r="271" spans="1:20" s="21" customFormat="1" hidden="1">
      <c r="A271" s="129" t="s">
        <v>159</v>
      </c>
      <c r="B271" s="129" t="s">
        <v>29</v>
      </c>
      <c r="C271" s="129" t="s">
        <v>34</v>
      </c>
      <c r="D271" s="129"/>
      <c r="E271" s="129" t="s">
        <v>607</v>
      </c>
      <c r="F271" s="157">
        <v>3096235</v>
      </c>
      <c r="G271" s="157">
        <v>2339212</v>
      </c>
      <c r="H271" s="157">
        <v>757023</v>
      </c>
      <c r="I271" s="157">
        <v>24</v>
      </c>
      <c r="J271" s="129"/>
      <c r="K271" s="129"/>
      <c r="L271" s="129" t="s">
        <v>39</v>
      </c>
      <c r="M271" s="129" t="s">
        <v>40</v>
      </c>
      <c r="N271" s="129" t="s">
        <v>73</v>
      </c>
      <c r="O271" s="129" t="s">
        <v>415</v>
      </c>
      <c r="P271" s="129" t="s">
        <v>42</v>
      </c>
      <c r="Q271" s="129" t="s">
        <v>42</v>
      </c>
      <c r="R271" s="129" t="s">
        <v>524</v>
      </c>
      <c r="S271" s="129" t="s">
        <v>525</v>
      </c>
      <c r="T271" s="129" t="s">
        <v>418</v>
      </c>
    </row>
    <row r="272" spans="1:20" s="21" customFormat="1" hidden="1">
      <c r="A272" s="129" t="s">
        <v>159</v>
      </c>
      <c r="B272" s="129" t="s">
        <v>29</v>
      </c>
      <c r="C272" s="129" t="s">
        <v>34</v>
      </c>
      <c r="D272" s="129"/>
      <c r="E272" s="129" t="s">
        <v>608</v>
      </c>
      <c r="F272" s="157">
        <v>3096235</v>
      </c>
      <c r="G272" s="157">
        <v>2339212</v>
      </c>
      <c r="H272" s="157">
        <v>757023</v>
      </c>
      <c r="I272" s="157">
        <v>24</v>
      </c>
      <c r="J272" s="129"/>
      <c r="K272" s="129"/>
      <c r="L272" s="129" t="s">
        <v>39</v>
      </c>
      <c r="M272" s="129" t="s">
        <v>40</v>
      </c>
      <c r="N272" s="129" t="s">
        <v>73</v>
      </c>
      <c r="O272" s="129" t="s">
        <v>415</v>
      </c>
      <c r="P272" s="129" t="s">
        <v>42</v>
      </c>
      <c r="Q272" s="129" t="s">
        <v>42</v>
      </c>
      <c r="R272" s="129" t="s">
        <v>524</v>
      </c>
      <c r="S272" s="129" t="s">
        <v>525</v>
      </c>
      <c r="T272" s="129" t="s">
        <v>418</v>
      </c>
    </row>
    <row r="273" spans="1:20" s="21" customFormat="1" hidden="1">
      <c r="A273" s="129" t="s">
        <v>159</v>
      </c>
      <c r="B273" s="129" t="s">
        <v>29</v>
      </c>
      <c r="C273" s="129" t="s">
        <v>34</v>
      </c>
      <c r="D273" s="129"/>
      <c r="E273" s="129" t="s">
        <v>609</v>
      </c>
      <c r="F273" s="157">
        <v>3096235</v>
      </c>
      <c r="G273" s="157">
        <v>2339212</v>
      </c>
      <c r="H273" s="157">
        <v>757023</v>
      </c>
      <c r="I273" s="157">
        <v>24</v>
      </c>
      <c r="J273" s="129"/>
      <c r="K273" s="129"/>
      <c r="L273" s="129" t="s">
        <v>39</v>
      </c>
      <c r="M273" s="129" t="s">
        <v>40</v>
      </c>
      <c r="N273" s="129" t="s">
        <v>73</v>
      </c>
      <c r="O273" s="129" t="s">
        <v>415</v>
      </c>
      <c r="P273" s="129" t="s">
        <v>42</v>
      </c>
      <c r="Q273" s="129" t="s">
        <v>42</v>
      </c>
      <c r="R273" s="129" t="s">
        <v>524</v>
      </c>
      <c r="S273" s="129" t="s">
        <v>525</v>
      </c>
      <c r="T273" s="129" t="s">
        <v>418</v>
      </c>
    </row>
    <row r="274" spans="1:20" s="21" customFormat="1" hidden="1">
      <c r="A274" s="129" t="s">
        <v>159</v>
      </c>
      <c r="B274" s="129" t="s">
        <v>29</v>
      </c>
      <c r="C274" s="129" t="s">
        <v>34</v>
      </c>
      <c r="D274" s="129"/>
      <c r="E274" s="129" t="s">
        <v>610</v>
      </c>
      <c r="F274" s="157">
        <v>3096235</v>
      </c>
      <c r="G274" s="157">
        <v>2339212</v>
      </c>
      <c r="H274" s="157">
        <v>757023</v>
      </c>
      <c r="I274" s="157">
        <v>24</v>
      </c>
      <c r="J274" s="129"/>
      <c r="K274" s="129"/>
      <c r="L274" s="129" t="s">
        <v>39</v>
      </c>
      <c r="M274" s="129" t="s">
        <v>40</v>
      </c>
      <c r="N274" s="129" t="s">
        <v>73</v>
      </c>
      <c r="O274" s="129" t="s">
        <v>415</v>
      </c>
      <c r="P274" s="129" t="s">
        <v>42</v>
      </c>
      <c r="Q274" s="129" t="s">
        <v>42</v>
      </c>
      <c r="R274" s="129" t="s">
        <v>524</v>
      </c>
      <c r="S274" s="129" t="s">
        <v>525</v>
      </c>
      <c r="T274" s="129" t="s">
        <v>418</v>
      </c>
    </row>
    <row r="275" spans="1:20" s="21" customFormat="1" hidden="1">
      <c r="A275" s="129" t="s">
        <v>159</v>
      </c>
      <c r="B275" s="129" t="s">
        <v>29</v>
      </c>
      <c r="C275" s="129" t="s">
        <v>34</v>
      </c>
      <c r="D275" s="129"/>
      <c r="E275" s="129" t="s">
        <v>611</v>
      </c>
      <c r="F275" s="157">
        <v>3096235</v>
      </c>
      <c r="G275" s="157">
        <v>2339212</v>
      </c>
      <c r="H275" s="157">
        <v>757023</v>
      </c>
      <c r="I275" s="157">
        <v>24</v>
      </c>
      <c r="J275" s="129"/>
      <c r="K275" s="129"/>
      <c r="L275" s="129" t="s">
        <v>39</v>
      </c>
      <c r="M275" s="129" t="s">
        <v>40</v>
      </c>
      <c r="N275" s="129" t="s">
        <v>73</v>
      </c>
      <c r="O275" s="129" t="s">
        <v>415</v>
      </c>
      <c r="P275" s="129" t="s">
        <v>42</v>
      </c>
      <c r="Q275" s="129" t="s">
        <v>42</v>
      </c>
      <c r="R275" s="129" t="s">
        <v>524</v>
      </c>
      <c r="S275" s="129" t="s">
        <v>525</v>
      </c>
      <c r="T275" s="129" t="s">
        <v>418</v>
      </c>
    </row>
    <row r="276" spans="1:20" s="21" customFormat="1" hidden="1">
      <c r="A276" s="129" t="s">
        <v>159</v>
      </c>
      <c r="B276" s="129" t="s">
        <v>29</v>
      </c>
      <c r="C276" s="129" t="s">
        <v>34</v>
      </c>
      <c r="D276" s="129"/>
      <c r="E276" s="129" t="s">
        <v>612</v>
      </c>
      <c r="F276" s="157">
        <v>3096235</v>
      </c>
      <c r="G276" s="157">
        <v>2339212</v>
      </c>
      <c r="H276" s="157">
        <v>757023</v>
      </c>
      <c r="I276" s="157">
        <v>24</v>
      </c>
      <c r="J276" s="129"/>
      <c r="K276" s="129"/>
      <c r="L276" s="129" t="s">
        <v>39</v>
      </c>
      <c r="M276" s="129" t="s">
        <v>40</v>
      </c>
      <c r="N276" s="129" t="s">
        <v>73</v>
      </c>
      <c r="O276" s="129" t="s">
        <v>415</v>
      </c>
      <c r="P276" s="129" t="s">
        <v>42</v>
      </c>
      <c r="Q276" s="129" t="s">
        <v>42</v>
      </c>
      <c r="R276" s="129" t="s">
        <v>524</v>
      </c>
      <c r="S276" s="129" t="s">
        <v>525</v>
      </c>
      <c r="T276" s="129" t="s">
        <v>418</v>
      </c>
    </row>
    <row r="277" spans="1:20" s="21" customFormat="1" hidden="1">
      <c r="A277" s="129" t="s">
        <v>159</v>
      </c>
      <c r="B277" s="129" t="s">
        <v>29</v>
      </c>
      <c r="C277" s="129" t="s">
        <v>34</v>
      </c>
      <c r="D277" s="129"/>
      <c r="E277" s="129" t="s">
        <v>613</v>
      </c>
      <c r="F277" s="157">
        <v>3096235</v>
      </c>
      <c r="G277" s="157">
        <v>2339212</v>
      </c>
      <c r="H277" s="157">
        <v>757023</v>
      </c>
      <c r="I277" s="157">
        <v>24</v>
      </c>
      <c r="J277" s="129"/>
      <c r="K277" s="129"/>
      <c r="L277" s="129" t="s">
        <v>39</v>
      </c>
      <c r="M277" s="129" t="s">
        <v>40</v>
      </c>
      <c r="N277" s="129" t="s">
        <v>73</v>
      </c>
      <c r="O277" s="129" t="s">
        <v>415</v>
      </c>
      <c r="P277" s="129" t="s">
        <v>42</v>
      </c>
      <c r="Q277" s="129" t="s">
        <v>42</v>
      </c>
      <c r="R277" s="129" t="s">
        <v>524</v>
      </c>
      <c r="S277" s="129" t="s">
        <v>525</v>
      </c>
      <c r="T277" s="129" t="s">
        <v>418</v>
      </c>
    </row>
    <row r="278" spans="1:20" s="21" customFormat="1" hidden="1">
      <c r="A278" s="129" t="s">
        <v>159</v>
      </c>
      <c r="B278" s="129" t="s">
        <v>29</v>
      </c>
      <c r="C278" s="129" t="s">
        <v>34</v>
      </c>
      <c r="D278" s="129"/>
      <c r="E278" s="129" t="s">
        <v>614</v>
      </c>
      <c r="F278" s="157">
        <v>3096235</v>
      </c>
      <c r="G278" s="157">
        <v>2339212</v>
      </c>
      <c r="H278" s="157">
        <v>757023</v>
      </c>
      <c r="I278" s="157">
        <v>24</v>
      </c>
      <c r="J278" s="129"/>
      <c r="K278" s="129"/>
      <c r="L278" s="129" t="s">
        <v>39</v>
      </c>
      <c r="M278" s="129" t="s">
        <v>40</v>
      </c>
      <c r="N278" s="129" t="s">
        <v>73</v>
      </c>
      <c r="O278" s="129" t="s">
        <v>415</v>
      </c>
      <c r="P278" s="129" t="s">
        <v>42</v>
      </c>
      <c r="Q278" s="129" t="s">
        <v>42</v>
      </c>
      <c r="R278" s="129" t="s">
        <v>524</v>
      </c>
      <c r="S278" s="129" t="s">
        <v>525</v>
      </c>
      <c r="T278" s="129" t="s">
        <v>418</v>
      </c>
    </row>
    <row r="279" spans="1:20" s="21" customFormat="1" hidden="1">
      <c r="A279" s="129" t="s">
        <v>159</v>
      </c>
      <c r="B279" s="129" t="s">
        <v>29</v>
      </c>
      <c r="C279" s="129" t="s">
        <v>34</v>
      </c>
      <c r="D279" s="129"/>
      <c r="E279" s="129" t="s">
        <v>615</v>
      </c>
      <c r="F279" s="157">
        <v>3096235</v>
      </c>
      <c r="G279" s="157">
        <v>2339212</v>
      </c>
      <c r="H279" s="157">
        <v>757023</v>
      </c>
      <c r="I279" s="157">
        <v>24</v>
      </c>
      <c r="J279" s="129"/>
      <c r="K279" s="129"/>
      <c r="L279" s="129" t="s">
        <v>39</v>
      </c>
      <c r="M279" s="129" t="s">
        <v>40</v>
      </c>
      <c r="N279" s="129" t="s">
        <v>73</v>
      </c>
      <c r="O279" s="129" t="s">
        <v>415</v>
      </c>
      <c r="P279" s="129" t="s">
        <v>42</v>
      </c>
      <c r="Q279" s="129" t="s">
        <v>42</v>
      </c>
      <c r="R279" s="129" t="s">
        <v>524</v>
      </c>
      <c r="S279" s="129" t="s">
        <v>525</v>
      </c>
      <c r="T279" s="129" t="s">
        <v>418</v>
      </c>
    </row>
    <row r="280" spans="1:20" s="21" customFormat="1" hidden="1">
      <c r="A280" s="129" t="s">
        <v>159</v>
      </c>
      <c r="B280" s="129" t="s">
        <v>29</v>
      </c>
      <c r="C280" s="129" t="s">
        <v>34</v>
      </c>
      <c r="D280" s="129"/>
      <c r="E280" s="129" t="s">
        <v>616</v>
      </c>
      <c r="F280" s="157">
        <v>3096235</v>
      </c>
      <c r="G280" s="157">
        <v>2339212</v>
      </c>
      <c r="H280" s="157">
        <v>757023</v>
      </c>
      <c r="I280" s="157">
        <v>24</v>
      </c>
      <c r="J280" s="129"/>
      <c r="K280" s="129"/>
      <c r="L280" s="129" t="s">
        <v>39</v>
      </c>
      <c r="M280" s="129" t="s">
        <v>40</v>
      </c>
      <c r="N280" s="129" t="s">
        <v>73</v>
      </c>
      <c r="O280" s="129" t="s">
        <v>415</v>
      </c>
      <c r="P280" s="129" t="s">
        <v>42</v>
      </c>
      <c r="Q280" s="129" t="s">
        <v>42</v>
      </c>
      <c r="R280" s="129" t="s">
        <v>524</v>
      </c>
      <c r="S280" s="129" t="s">
        <v>525</v>
      </c>
      <c r="T280" s="129" t="s">
        <v>418</v>
      </c>
    </row>
    <row r="281" spans="1:20" s="21" customFormat="1" hidden="1">
      <c r="A281" s="129" t="s">
        <v>159</v>
      </c>
      <c r="B281" s="129" t="s">
        <v>29</v>
      </c>
      <c r="C281" s="129" t="s">
        <v>34</v>
      </c>
      <c r="D281" s="129"/>
      <c r="E281" s="129" t="s">
        <v>617</v>
      </c>
      <c r="F281" s="157">
        <v>3096235</v>
      </c>
      <c r="G281" s="157">
        <v>2339212</v>
      </c>
      <c r="H281" s="157">
        <v>757023</v>
      </c>
      <c r="I281" s="157">
        <v>24</v>
      </c>
      <c r="J281" s="129"/>
      <c r="K281" s="129"/>
      <c r="L281" s="129" t="s">
        <v>39</v>
      </c>
      <c r="M281" s="129" t="s">
        <v>40</v>
      </c>
      <c r="N281" s="129" t="s">
        <v>73</v>
      </c>
      <c r="O281" s="129" t="s">
        <v>415</v>
      </c>
      <c r="P281" s="129" t="s">
        <v>42</v>
      </c>
      <c r="Q281" s="129" t="s">
        <v>42</v>
      </c>
      <c r="R281" s="129" t="s">
        <v>524</v>
      </c>
      <c r="S281" s="129" t="s">
        <v>525</v>
      </c>
      <c r="T281" s="129" t="s">
        <v>418</v>
      </c>
    </row>
    <row r="282" spans="1:20" s="21" customFormat="1" hidden="1">
      <c r="A282" s="129" t="s">
        <v>159</v>
      </c>
      <c r="B282" s="129" t="s">
        <v>29</v>
      </c>
      <c r="C282" s="129" t="s">
        <v>34</v>
      </c>
      <c r="D282" s="129"/>
      <c r="E282" s="129" t="s">
        <v>618</v>
      </c>
      <c r="F282" s="157">
        <v>3096235</v>
      </c>
      <c r="G282" s="157">
        <v>2339212</v>
      </c>
      <c r="H282" s="157">
        <v>757023</v>
      </c>
      <c r="I282" s="157">
        <v>24</v>
      </c>
      <c r="J282" s="129"/>
      <c r="K282" s="129"/>
      <c r="L282" s="129" t="s">
        <v>39</v>
      </c>
      <c r="M282" s="129" t="s">
        <v>40</v>
      </c>
      <c r="N282" s="129" t="s">
        <v>73</v>
      </c>
      <c r="O282" s="129" t="s">
        <v>415</v>
      </c>
      <c r="P282" s="129" t="s">
        <v>42</v>
      </c>
      <c r="Q282" s="129" t="s">
        <v>42</v>
      </c>
      <c r="R282" s="129" t="s">
        <v>524</v>
      </c>
      <c r="S282" s="129" t="s">
        <v>525</v>
      </c>
      <c r="T282" s="129" t="s">
        <v>418</v>
      </c>
    </row>
    <row r="283" spans="1:20" s="21" customFormat="1" hidden="1">
      <c r="A283" s="129" t="s">
        <v>159</v>
      </c>
      <c r="B283" s="129" t="s">
        <v>29</v>
      </c>
      <c r="C283" s="129" t="s">
        <v>34</v>
      </c>
      <c r="D283" s="129"/>
      <c r="E283" s="129" t="s">
        <v>619</v>
      </c>
      <c r="F283" s="157">
        <v>3096235</v>
      </c>
      <c r="G283" s="157">
        <v>2339212</v>
      </c>
      <c r="H283" s="157">
        <v>757023</v>
      </c>
      <c r="I283" s="157">
        <v>24</v>
      </c>
      <c r="J283" s="129"/>
      <c r="K283" s="129"/>
      <c r="L283" s="129" t="s">
        <v>39</v>
      </c>
      <c r="M283" s="129" t="s">
        <v>40</v>
      </c>
      <c r="N283" s="129" t="s">
        <v>73</v>
      </c>
      <c r="O283" s="129" t="s">
        <v>415</v>
      </c>
      <c r="P283" s="129" t="s">
        <v>42</v>
      </c>
      <c r="Q283" s="129" t="s">
        <v>42</v>
      </c>
      <c r="R283" s="129" t="s">
        <v>524</v>
      </c>
      <c r="S283" s="129" t="s">
        <v>525</v>
      </c>
      <c r="T283" s="129" t="s">
        <v>418</v>
      </c>
    </row>
    <row r="284" spans="1:20" s="21" customFormat="1" hidden="1">
      <c r="A284" s="129" t="s">
        <v>159</v>
      </c>
      <c r="B284" s="129" t="s">
        <v>29</v>
      </c>
      <c r="C284" s="129" t="s">
        <v>34</v>
      </c>
      <c r="D284" s="129"/>
      <c r="E284" s="129" t="s">
        <v>620</v>
      </c>
      <c r="F284" s="157">
        <v>3096235</v>
      </c>
      <c r="G284" s="157">
        <v>2339212</v>
      </c>
      <c r="H284" s="157">
        <v>757023</v>
      </c>
      <c r="I284" s="157">
        <v>24</v>
      </c>
      <c r="J284" s="129"/>
      <c r="K284" s="129"/>
      <c r="L284" s="129" t="s">
        <v>39</v>
      </c>
      <c r="M284" s="129" t="s">
        <v>40</v>
      </c>
      <c r="N284" s="129" t="s">
        <v>73</v>
      </c>
      <c r="O284" s="129" t="s">
        <v>415</v>
      </c>
      <c r="P284" s="129" t="s">
        <v>42</v>
      </c>
      <c r="Q284" s="129" t="s">
        <v>42</v>
      </c>
      <c r="R284" s="129" t="s">
        <v>524</v>
      </c>
      <c r="S284" s="129" t="s">
        <v>525</v>
      </c>
      <c r="T284" s="129" t="s">
        <v>418</v>
      </c>
    </row>
    <row r="285" spans="1:20" s="21" customFormat="1" hidden="1">
      <c r="A285" s="129" t="s">
        <v>159</v>
      </c>
      <c r="B285" s="129" t="s">
        <v>29</v>
      </c>
      <c r="C285" s="129" t="s">
        <v>34</v>
      </c>
      <c r="D285" s="129"/>
      <c r="E285" s="129" t="s">
        <v>621</v>
      </c>
      <c r="F285" s="157">
        <v>3096235</v>
      </c>
      <c r="G285" s="157">
        <v>2339212</v>
      </c>
      <c r="H285" s="157">
        <v>757023</v>
      </c>
      <c r="I285" s="157">
        <v>24</v>
      </c>
      <c r="J285" s="129"/>
      <c r="K285" s="129"/>
      <c r="L285" s="129" t="s">
        <v>39</v>
      </c>
      <c r="M285" s="129" t="s">
        <v>40</v>
      </c>
      <c r="N285" s="129" t="s">
        <v>73</v>
      </c>
      <c r="O285" s="129" t="s">
        <v>415</v>
      </c>
      <c r="P285" s="129" t="s">
        <v>42</v>
      </c>
      <c r="Q285" s="129" t="s">
        <v>42</v>
      </c>
      <c r="R285" s="129" t="s">
        <v>524</v>
      </c>
      <c r="S285" s="129" t="s">
        <v>525</v>
      </c>
      <c r="T285" s="129" t="s">
        <v>418</v>
      </c>
    </row>
    <row r="286" spans="1:20" s="21" customFormat="1" hidden="1">
      <c r="A286" s="129" t="s">
        <v>159</v>
      </c>
      <c r="B286" s="129" t="s">
        <v>29</v>
      </c>
      <c r="C286" s="129" t="s">
        <v>34</v>
      </c>
      <c r="D286" s="129"/>
      <c r="E286" s="129" t="s">
        <v>622</v>
      </c>
      <c r="F286" s="157">
        <v>3096235</v>
      </c>
      <c r="G286" s="157">
        <v>2339212</v>
      </c>
      <c r="H286" s="157">
        <v>757023</v>
      </c>
      <c r="I286" s="157">
        <v>24</v>
      </c>
      <c r="J286" s="129"/>
      <c r="K286" s="129"/>
      <c r="L286" s="129" t="s">
        <v>39</v>
      </c>
      <c r="M286" s="129" t="s">
        <v>40</v>
      </c>
      <c r="N286" s="129" t="s">
        <v>73</v>
      </c>
      <c r="O286" s="129" t="s">
        <v>415</v>
      </c>
      <c r="P286" s="129" t="s">
        <v>42</v>
      </c>
      <c r="Q286" s="129" t="s">
        <v>42</v>
      </c>
      <c r="R286" s="129" t="s">
        <v>524</v>
      </c>
      <c r="S286" s="129" t="s">
        <v>525</v>
      </c>
      <c r="T286" s="129" t="s">
        <v>418</v>
      </c>
    </row>
    <row r="287" spans="1:20" s="21" customFormat="1" hidden="1">
      <c r="A287" s="129" t="s">
        <v>159</v>
      </c>
      <c r="B287" s="129" t="s">
        <v>29</v>
      </c>
      <c r="C287" s="129" t="s">
        <v>34</v>
      </c>
      <c r="D287" s="129"/>
      <c r="E287" s="129" t="s">
        <v>623</v>
      </c>
      <c r="F287" s="157">
        <v>3096235</v>
      </c>
      <c r="G287" s="157">
        <v>2339212</v>
      </c>
      <c r="H287" s="157">
        <v>757023</v>
      </c>
      <c r="I287" s="157">
        <v>24</v>
      </c>
      <c r="J287" s="129"/>
      <c r="K287" s="129"/>
      <c r="L287" s="129" t="s">
        <v>39</v>
      </c>
      <c r="M287" s="129" t="s">
        <v>40</v>
      </c>
      <c r="N287" s="129" t="s">
        <v>73</v>
      </c>
      <c r="O287" s="129" t="s">
        <v>415</v>
      </c>
      <c r="P287" s="129" t="s">
        <v>42</v>
      </c>
      <c r="Q287" s="129" t="s">
        <v>42</v>
      </c>
      <c r="R287" s="129" t="s">
        <v>524</v>
      </c>
      <c r="S287" s="129" t="s">
        <v>525</v>
      </c>
      <c r="T287" s="129" t="s">
        <v>418</v>
      </c>
    </row>
    <row r="288" spans="1:20" s="21" customFormat="1" hidden="1">
      <c r="A288" s="129" t="s">
        <v>159</v>
      </c>
      <c r="B288" s="129" t="s">
        <v>29</v>
      </c>
      <c r="C288" s="129" t="s">
        <v>34</v>
      </c>
      <c r="D288" s="129"/>
      <c r="E288" s="129" t="s">
        <v>624</v>
      </c>
      <c r="F288" s="157">
        <v>3096235</v>
      </c>
      <c r="G288" s="157">
        <v>2339212</v>
      </c>
      <c r="H288" s="157">
        <v>757023</v>
      </c>
      <c r="I288" s="157">
        <v>24</v>
      </c>
      <c r="J288" s="129"/>
      <c r="K288" s="129"/>
      <c r="L288" s="129" t="s">
        <v>39</v>
      </c>
      <c r="M288" s="129" t="s">
        <v>40</v>
      </c>
      <c r="N288" s="129" t="s">
        <v>73</v>
      </c>
      <c r="O288" s="129" t="s">
        <v>415</v>
      </c>
      <c r="P288" s="129" t="s">
        <v>42</v>
      </c>
      <c r="Q288" s="129" t="s">
        <v>42</v>
      </c>
      <c r="R288" s="129" t="s">
        <v>524</v>
      </c>
      <c r="S288" s="129" t="s">
        <v>525</v>
      </c>
      <c r="T288" s="129" t="s">
        <v>418</v>
      </c>
    </row>
    <row r="289" spans="1:20" s="21" customFormat="1" hidden="1">
      <c r="A289" s="129" t="s">
        <v>159</v>
      </c>
      <c r="B289" s="129" t="s">
        <v>29</v>
      </c>
      <c r="C289" s="129" t="s">
        <v>34</v>
      </c>
      <c r="D289" s="129"/>
      <c r="E289" s="129" t="s">
        <v>625</v>
      </c>
      <c r="F289" s="157">
        <v>3096235</v>
      </c>
      <c r="G289" s="157">
        <v>2339212</v>
      </c>
      <c r="H289" s="157">
        <v>757023</v>
      </c>
      <c r="I289" s="157">
        <v>24</v>
      </c>
      <c r="J289" s="129"/>
      <c r="K289" s="129"/>
      <c r="L289" s="129" t="s">
        <v>39</v>
      </c>
      <c r="M289" s="129" t="s">
        <v>40</v>
      </c>
      <c r="N289" s="129" t="s">
        <v>73</v>
      </c>
      <c r="O289" s="129" t="s">
        <v>415</v>
      </c>
      <c r="P289" s="129" t="s">
        <v>42</v>
      </c>
      <c r="Q289" s="129" t="s">
        <v>42</v>
      </c>
      <c r="R289" s="129" t="s">
        <v>524</v>
      </c>
      <c r="S289" s="129" t="s">
        <v>525</v>
      </c>
      <c r="T289" s="129" t="s">
        <v>418</v>
      </c>
    </row>
    <row r="290" spans="1:20" s="21" customFormat="1">
      <c r="A290" s="129" t="s">
        <v>162</v>
      </c>
      <c r="B290" s="129" t="s">
        <v>29</v>
      </c>
      <c r="C290" s="129" t="s">
        <v>34</v>
      </c>
      <c r="D290" s="129" t="s">
        <v>385</v>
      </c>
      <c r="E290" s="129" t="s">
        <v>414</v>
      </c>
      <c r="F290" s="157">
        <v>51447</v>
      </c>
      <c r="G290" s="157">
        <v>13459</v>
      </c>
      <c r="H290" s="157">
        <v>37988</v>
      </c>
      <c r="I290" s="157">
        <v>73</v>
      </c>
      <c r="J290" s="129"/>
      <c r="K290" s="129" t="s">
        <v>165</v>
      </c>
      <c r="L290" s="129" t="s">
        <v>39</v>
      </c>
      <c r="M290" s="129" t="s">
        <v>40</v>
      </c>
      <c r="N290" s="129" t="s">
        <v>73</v>
      </c>
      <c r="O290" s="129" t="s">
        <v>415</v>
      </c>
      <c r="P290" s="129" t="s">
        <v>166</v>
      </c>
      <c r="Q290" s="129" t="s">
        <v>166</v>
      </c>
      <c r="R290" s="129" t="s">
        <v>626</v>
      </c>
      <c r="S290" s="129" t="s">
        <v>627</v>
      </c>
      <c r="T290" s="129" t="s">
        <v>418</v>
      </c>
    </row>
    <row r="291" spans="1:20" s="21" customFormat="1">
      <c r="A291" s="129" t="s">
        <v>162</v>
      </c>
      <c r="B291" s="129" t="s">
        <v>29</v>
      </c>
      <c r="C291" s="129" t="s">
        <v>34</v>
      </c>
      <c r="D291" s="129" t="s">
        <v>385</v>
      </c>
      <c r="E291" s="129" t="s">
        <v>421</v>
      </c>
      <c r="F291" s="157">
        <v>19557</v>
      </c>
      <c r="G291" s="157">
        <v>409</v>
      </c>
      <c r="H291" s="157">
        <v>19148</v>
      </c>
      <c r="I291" s="157">
        <v>97</v>
      </c>
      <c r="J291" s="129"/>
      <c r="K291" s="129" t="s">
        <v>165</v>
      </c>
      <c r="L291" s="129" t="s">
        <v>39</v>
      </c>
      <c r="M291" s="129" t="s">
        <v>40</v>
      </c>
      <c r="N291" s="129" t="s">
        <v>73</v>
      </c>
      <c r="O291" s="129" t="s">
        <v>415</v>
      </c>
      <c r="P291" s="129" t="s">
        <v>166</v>
      </c>
      <c r="Q291" s="129" t="s">
        <v>166</v>
      </c>
      <c r="R291" s="129" t="s">
        <v>626</v>
      </c>
      <c r="S291" s="129" t="s">
        <v>627</v>
      </c>
      <c r="T291" s="129" t="s">
        <v>418</v>
      </c>
    </row>
    <row r="292" spans="1:20" s="21" customFormat="1">
      <c r="A292" s="129" t="s">
        <v>162</v>
      </c>
      <c r="B292" s="129" t="s">
        <v>29</v>
      </c>
      <c r="C292" s="129" t="s">
        <v>34</v>
      </c>
      <c r="D292" s="129" t="s">
        <v>403</v>
      </c>
      <c r="E292" s="129" t="s">
        <v>475</v>
      </c>
      <c r="F292" s="157">
        <v>2064117</v>
      </c>
      <c r="G292" s="157">
        <v>117570</v>
      </c>
      <c r="H292" s="157">
        <v>1946547</v>
      </c>
      <c r="I292" s="157">
        <v>94</v>
      </c>
      <c r="J292" s="129"/>
      <c r="K292" s="129" t="s">
        <v>165</v>
      </c>
      <c r="L292" s="129" t="s">
        <v>39</v>
      </c>
      <c r="M292" s="129" t="s">
        <v>40</v>
      </c>
      <c r="N292" s="129" t="s">
        <v>73</v>
      </c>
      <c r="O292" s="129" t="s">
        <v>415</v>
      </c>
      <c r="P292" s="129" t="s">
        <v>166</v>
      </c>
      <c r="Q292" s="129" t="s">
        <v>166</v>
      </c>
      <c r="R292" s="129" t="s">
        <v>626</v>
      </c>
      <c r="S292" s="129" t="s">
        <v>627</v>
      </c>
      <c r="T292" s="129" t="s">
        <v>418</v>
      </c>
    </row>
    <row r="293" spans="1:20" s="21" customFormat="1">
      <c r="A293" s="129" t="s">
        <v>162</v>
      </c>
      <c r="B293" s="129" t="s">
        <v>29</v>
      </c>
      <c r="C293" s="129" t="s">
        <v>34</v>
      </c>
      <c r="D293" s="129" t="s">
        <v>385</v>
      </c>
      <c r="E293" s="129" t="s">
        <v>422</v>
      </c>
      <c r="F293" s="157">
        <v>9714</v>
      </c>
      <c r="G293" s="157">
        <v>22</v>
      </c>
      <c r="H293" s="157">
        <v>9692</v>
      </c>
      <c r="I293" s="157">
        <v>99</v>
      </c>
      <c r="J293" s="129"/>
      <c r="K293" s="129" t="s">
        <v>165</v>
      </c>
      <c r="L293" s="129" t="s">
        <v>39</v>
      </c>
      <c r="M293" s="129" t="s">
        <v>40</v>
      </c>
      <c r="N293" s="129" t="s">
        <v>73</v>
      </c>
      <c r="O293" s="129" t="s">
        <v>415</v>
      </c>
      <c r="P293" s="129" t="s">
        <v>166</v>
      </c>
      <c r="Q293" s="129" t="s">
        <v>166</v>
      </c>
      <c r="R293" s="129" t="s">
        <v>626</v>
      </c>
      <c r="S293" s="129" t="s">
        <v>627</v>
      </c>
      <c r="T293" s="129" t="s">
        <v>418</v>
      </c>
    </row>
    <row r="294" spans="1:20" s="21" customFormat="1">
      <c r="A294" s="129" t="s">
        <v>162</v>
      </c>
      <c r="B294" s="129" t="s">
        <v>29</v>
      </c>
      <c r="C294" s="129" t="s">
        <v>34</v>
      </c>
      <c r="D294" s="129" t="s">
        <v>385</v>
      </c>
      <c r="E294" s="129" t="s">
        <v>423</v>
      </c>
      <c r="F294" s="157">
        <v>14636</v>
      </c>
      <c r="G294" s="157">
        <v>96</v>
      </c>
      <c r="H294" s="157">
        <v>14540</v>
      </c>
      <c r="I294" s="157">
        <v>99</v>
      </c>
      <c r="J294" s="129"/>
      <c r="K294" s="129" t="s">
        <v>165</v>
      </c>
      <c r="L294" s="129" t="s">
        <v>39</v>
      </c>
      <c r="M294" s="129" t="s">
        <v>40</v>
      </c>
      <c r="N294" s="129" t="s">
        <v>73</v>
      </c>
      <c r="O294" s="129" t="s">
        <v>415</v>
      </c>
      <c r="P294" s="129" t="s">
        <v>166</v>
      </c>
      <c r="Q294" s="129" t="s">
        <v>166</v>
      </c>
      <c r="R294" s="129" t="s">
        <v>626</v>
      </c>
      <c r="S294" s="129" t="s">
        <v>627</v>
      </c>
      <c r="T294" s="129" t="s">
        <v>418</v>
      </c>
    </row>
    <row r="295" spans="1:20" s="21" customFormat="1">
      <c r="A295" s="129" t="s">
        <v>162</v>
      </c>
      <c r="B295" s="129" t="s">
        <v>29</v>
      </c>
      <c r="C295" s="129" t="s">
        <v>34</v>
      </c>
      <c r="D295" s="129" t="s">
        <v>385</v>
      </c>
      <c r="E295" s="129" t="s">
        <v>420</v>
      </c>
      <c r="F295" s="157">
        <v>9950</v>
      </c>
      <c r="G295" s="157">
        <v>4826</v>
      </c>
      <c r="H295" s="157">
        <v>5124</v>
      </c>
      <c r="I295" s="157">
        <v>51</v>
      </c>
      <c r="J295" s="129"/>
      <c r="K295" s="129" t="s">
        <v>165</v>
      </c>
      <c r="L295" s="129" t="s">
        <v>39</v>
      </c>
      <c r="M295" s="129" t="s">
        <v>40</v>
      </c>
      <c r="N295" s="129" t="s">
        <v>73</v>
      </c>
      <c r="O295" s="129" t="s">
        <v>415</v>
      </c>
      <c r="P295" s="129" t="s">
        <v>166</v>
      </c>
      <c r="Q295" s="129" t="s">
        <v>166</v>
      </c>
      <c r="R295" s="129" t="s">
        <v>626</v>
      </c>
      <c r="S295" s="129" t="s">
        <v>627</v>
      </c>
      <c r="T295" s="129" t="s">
        <v>418</v>
      </c>
    </row>
    <row r="296" spans="1:20" s="21" customFormat="1">
      <c r="A296" s="129" t="s">
        <v>175</v>
      </c>
      <c r="B296" s="129" t="s">
        <v>29</v>
      </c>
      <c r="C296" s="129" t="s">
        <v>34</v>
      </c>
      <c r="D296" s="129" t="s">
        <v>385</v>
      </c>
      <c r="E296" s="129" t="s">
        <v>422</v>
      </c>
      <c r="F296" s="157">
        <v>4675</v>
      </c>
      <c r="G296" s="157">
        <v>10</v>
      </c>
      <c r="H296" s="157">
        <v>4665</v>
      </c>
      <c r="I296" s="157">
        <v>99</v>
      </c>
      <c r="J296" s="129"/>
      <c r="K296" s="129"/>
      <c r="L296" s="129" t="s">
        <v>39</v>
      </c>
      <c r="M296" s="129" t="s">
        <v>40</v>
      </c>
      <c r="N296" s="129" t="s">
        <v>62</v>
      </c>
      <c r="O296" s="129" t="s">
        <v>438</v>
      </c>
      <c r="P296" s="129" t="s">
        <v>42</v>
      </c>
      <c r="Q296" s="129" t="s">
        <v>42</v>
      </c>
      <c r="R296" s="129" t="s">
        <v>628</v>
      </c>
      <c r="S296" s="129" t="s">
        <v>629</v>
      </c>
      <c r="T296" s="129" t="s">
        <v>418</v>
      </c>
    </row>
    <row r="297" spans="1:20" s="21" customFormat="1">
      <c r="A297" s="129" t="s">
        <v>175</v>
      </c>
      <c r="B297" s="129" t="s">
        <v>29</v>
      </c>
      <c r="C297" s="129" t="s">
        <v>34</v>
      </c>
      <c r="D297" s="129" t="s">
        <v>385</v>
      </c>
      <c r="E297" s="129" t="s">
        <v>421</v>
      </c>
      <c r="F297" s="157">
        <v>9482</v>
      </c>
      <c r="G297" s="157">
        <v>5499</v>
      </c>
      <c r="H297" s="157">
        <v>3983</v>
      </c>
      <c r="I297" s="157">
        <v>42</v>
      </c>
      <c r="J297" s="129"/>
      <c r="K297" s="129"/>
      <c r="L297" s="129" t="s">
        <v>39</v>
      </c>
      <c r="M297" s="129" t="s">
        <v>40</v>
      </c>
      <c r="N297" s="129" t="s">
        <v>62</v>
      </c>
      <c r="O297" s="129" t="s">
        <v>438</v>
      </c>
      <c r="P297" s="129" t="s">
        <v>42</v>
      </c>
      <c r="Q297" s="129" t="s">
        <v>42</v>
      </c>
      <c r="R297" s="129" t="s">
        <v>628</v>
      </c>
      <c r="S297" s="129" t="s">
        <v>629</v>
      </c>
      <c r="T297" s="129" t="s">
        <v>418</v>
      </c>
    </row>
    <row r="298" spans="1:20" s="21" customFormat="1">
      <c r="A298" s="129" t="s">
        <v>175</v>
      </c>
      <c r="B298" s="129" t="s">
        <v>29</v>
      </c>
      <c r="C298" s="129" t="s">
        <v>34</v>
      </c>
      <c r="D298" s="129" t="s">
        <v>385</v>
      </c>
      <c r="E298" s="129" t="s">
        <v>430</v>
      </c>
      <c r="F298" s="157">
        <v>471</v>
      </c>
      <c r="G298" s="157">
        <v>467</v>
      </c>
      <c r="H298" s="157">
        <v>4</v>
      </c>
      <c r="I298" s="157">
        <v>0</v>
      </c>
      <c r="J298" s="129"/>
      <c r="K298" s="129"/>
      <c r="L298" s="129" t="s">
        <v>39</v>
      </c>
      <c r="M298" s="129" t="s">
        <v>40</v>
      </c>
      <c r="N298" s="129" t="s">
        <v>62</v>
      </c>
      <c r="O298" s="129" t="s">
        <v>438</v>
      </c>
      <c r="P298" s="129" t="s">
        <v>42</v>
      </c>
      <c r="Q298" s="129" t="s">
        <v>42</v>
      </c>
      <c r="R298" s="129" t="s">
        <v>628</v>
      </c>
      <c r="S298" s="129" t="s">
        <v>629</v>
      </c>
      <c r="T298" s="129" t="s">
        <v>418</v>
      </c>
    </row>
    <row r="299" spans="1:20" s="21" customFormat="1">
      <c r="A299" s="129" t="s">
        <v>175</v>
      </c>
      <c r="B299" s="129" t="s">
        <v>29</v>
      </c>
      <c r="C299" s="129" t="s">
        <v>34</v>
      </c>
      <c r="D299" s="129" t="s">
        <v>385</v>
      </c>
      <c r="E299" s="129" t="s">
        <v>414</v>
      </c>
      <c r="F299" s="157">
        <v>65535</v>
      </c>
      <c r="G299" s="157">
        <v>5448</v>
      </c>
      <c r="H299" s="157">
        <v>60087</v>
      </c>
      <c r="I299" s="157">
        <v>91</v>
      </c>
      <c r="J299" s="129"/>
      <c r="K299" s="129"/>
      <c r="L299" s="129" t="s">
        <v>39</v>
      </c>
      <c r="M299" s="129" t="s">
        <v>40</v>
      </c>
      <c r="N299" s="129" t="s">
        <v>62</v>
      </c>
      <c r="O299" s="129" t="s">
        <v>438</v>
      </c>
      <c r="P299" s="129" t="s">
        <v>42</v>
      </c>
      <c r="Q299" s="129" t="s">
        <v>42</v>
      </c>
      <c r="R299" s="129" t="s">
        <v>628</v>
      </c>
      <c r="S299" s="129" t="s">
        <v>629</v>
      </c>
      <c r="T299" s="129" t="s">
        <v>418</v>
      </c>
    </row>
    <row r="300" spans="1:20" s="21" customFormat="1">
      <c r="A300" s="129" t="s">
        <v>175</v>
      </c>
      <c r="B300" s="129" t="s">
        <v>29</v>
      </c>
      <c r="C300" s="129" t="s">
        <v>34</v>
      </c>
      <c r="D300" s="129" t="s">
        <v>385</v>
      </c>
      <c r="E300" s="129" t="s">
        <v>420</v>
      </c>
      <c r="F300" s="157">
        <v>19093</v>
      </c>
      <c r="G300" s="157">
        <v>244</v>
      </c>
      <c r="H300" s="157">
        <v>18849</v>
      </c>
      <c r="I300" s="157">
        <v>98</v>
      </c>
      <c r="J300" s="129"/>
      <c r="K300" s="129"/>
      <c r="L300" s="129" t="s">
        <v>39</v>
      </c>
      <c r="M300" s="129" t="s">
        <v>40</v>
      </c>
      <c r="N300" s="129" t="s">
        <v>62</v>
      </c>
      <c r="O300" s="129" t="s">
        <v>438</v>
      </c>
      <c r="P300" s="129" t="s">
        <v>42</v>
      </c>
      <c r="Q300" s="129" t="s">
        <v>42</v>
      </c>
      <c r="R300" s="129" t="s">
        <v>628</v>
      </c>
      <c r="S300" s="129" t="s">
        <v>629</v>
      </c>
      <c r="T300" s="129" t="s">
        <v>418</v>
      </c>
    </row>
    <row r="301" spans="1:20" s="21" customFormat="1">
      <c r="A301" s="129" t="s">
        <v>178</v>
      </c>
      <c r="B301" s="129" t="s">
        <v>29</v>
      </c>
      <c r="C301" s="129" t="s">
        <v>34</v>
      </c>
      <c r="D301" s="129" t="s">
        <v>385</v>
      </c>
      <c r="E301" s="129" t="s">
        <v>414</v>
      </c>
      <c r="F301" s="157">
        <v>65535</v>
      </c>
      <c r="G301" s="157">
        <v>9159</v>
      </c>
      <c r="H301" s="157">
        <v>56376</v>
      </c>
      <c r="I301" s="157">
        <v>86</v>
      </c>
      <c r="J301" s="129"/>
      <c r="K301" s="129"/>
      <c r="L301" s="129" t="s">
        <v>39</v>
      </c>
      <c r="M301" s="129" t="s">
        <v>40</v>
      </c>
      <c r="N301" s="129" t="s">
        <v>62</v>
      </c>
      <c r="O301" s="129" t="s">
        <v>438</v>
      </c>
      <c r="P301" s="129" t="s">
        <v>42</v>
      </c>
      <c r="Q301" s="129" t="s">
        <v>42</v>
      </c>
      <c r="R301" s="129" t="s">
        <v>630</v>
      </c>
      <c r="S301" s="129" t="s">
        <v>631</v>
      </c>
      <c r="T301" s="129" t="s">
        <v>418</v>
      </c>
    </row>
    <row r="302" spans="1:20" s="21" customFormat="1">
      <c r="A302" s="129" t="s">
        <v>178</v>
      </c>
      <c r="B302" s="129" t="s">
        <v>29</v>
      </c>
      <c r="C302" s="129" t="s">
        <v>34</v>
      </c>
      <c r="D302" s="129" t="s">
        <v>385</v>
      </c>
      <c r="E302" s="129" t="s">
        <v>420</v>
      </c>
      <c r="F302" s="157">
        <v>19093</v>
      </c>
      <c r="G302" s="157">
        <v>361</v>
      </c>
      <c r="H302" s="157">
        <v>18732</v>
      </c>
      <c r="I302" s="157">
        <v>98</v>
      </c>
      <c r="J302" s="129"/>
      <c r="K302" s="129"/>
      <c r="L302" s="129" t="s">
        <v>39</v>
      </c>
      <c r="M302" s="129" t="s">
        <v>40</v>
      </c>
      <c r="N302" s="129" t="s">
        <v>62</v>
      </c>
      <c r="O302" s="129" t="s">
        <v>438</v>
      </c>
      <c r="P302" s="129" t="s">
        <v>42</v>
      </c>
      <c r="Q302" s="129" t="s">
        <v>42</v>
      </c>
      <c r="R302" s="129" t="s">
        <v>630</v>
      </c>
      <c r="S302" s="129" t="s">
        <v>631</v>
      </c>
      <c r="T302" s="129" t="s">
        <v>418</v>
      </c>
    </row>
    <row r="303" spans="1:20" s="21" customFormat="1">
      <c r="A303" s="129" t="s">
        <v>178</v>
      </c>
      <c r="B303" s="129" t="s">
        <v>29</v>
      </c>
      <c r="C303" s="129" t="s">
        <v>34</v>
      </c>
      <c r="D303" s="129" t="s">
        <v>385</v>
      </c>
      <c r="E303" s="129" t="s">
        <v>421</v>
      </c>
      <c r="F303" s="157">
        <v>9482</v>
      </c>
      <c r="G303" s="157">
        <v>3426</v>
      </c>
      <c r="H303" s="157">
        <v>6056</v>
      </c>
      <c r="I303" s="157">
        <v>63</v>
      </c>
      <c r="J303" s="129"/>
      <c r="K303" s="129"/>
      <c r="L303" s="129" t="s">
        <v>39</v>
      </c>
      <c r="M303" s="129" t="s">
        <v>40</v>
      </c>
      <c r="N303" s="129" t="s">
        <v>62</v>
      </c>
      <c r="O303" s="129" t="s">
        <v>438</v>
      </c>
      <c r="P303" s="129" t="s">
        <v>42</v>
      </c>
      <c r="Q303" s="129" t="s">
        <v>42</v>
      </c>
      <c r="R303" s="129" t="s">
        <v>630</v>
      </c>
      <c r="S303" s="129" t="s">
        <v>631</v>
      </c>
      <c r="T303" s="129" t="s">
        <v>418</v>
      </c>
    </row>
    <row r="304" spans="1:20" s="21" customFormat="1">
      <c r="A304" s="129" t="s">
        <v>178</v>
      </c>
      <c r="B304" s="129" t="s">
        <v>29</v>
      </c>
      <c r="C304" s="129" t="s">
        <v>34</v>
      </c>
      <c r="D304" s="129" t="s">
        <v>385</v>
      </c>
      <c r="E304" s="129" t="s">
        <v>430</v>
      </c>
      <c r="F304" s="157">
        <v>471</v>
      </c>
      <c r="G304" s="157">
        <v>470</v>
      </c>
      <c r="H304" s="157">
        <v>1</v>
      </c>
      <c r="I304" s="157">
        <v>0</v>
      </c>
      <c r="J304" s="129"/>
      <c r="K304" s="129"/>
      <c r="L304" s="129" t="s">
        <v>39</v>
      </c>
      <c r="M304" s="129" t="s">
        <v>40</v>
      </c>
      <c r="N304" s="129" t="s">
        <v>62</v>
      </c>
      <c r="O304" s="129" t="s">
        <v>438</v>
      </c>
      <c r="P304" s="129" t="s">
        <v>42</v>
      </c>
      <c r="Q304" s="129" t="s">
        <v>42</v>
      </c>
      <c r="R304" s="129" t="s">
        <v>630</v>
      </c>
      <c r="S304" s="129" t="s">
        <v>631</v>
      </c>
      <c r="T304" s="129" t="s">
        <v>418</v>
      </c>
    </row>
    <row r="305" spans="1:20" s="21" customFormat="1">
      <c r="A305" s="129" t="s">
        <v>178</v>
      </c>
      <c r="B305" s="129" t="s">
        <v>29</v>
      </c>
      <c r="C305" s="129" t="s">
        <v>34</v>
      </c>
      <c r="D305" s="129" t="s">
        <v>403</v>
      </c>
      <c r="E305" s="129" t="s">
        <v>419</v>
      </c>
      <c r="F305" s="157">
        <v>100661</v>
      </c>
      <c r="G305" s="157">
        <v>23952</v>
      </c>
      <c r="H305" s="157">
        <v>76709</v>
      </c>
      <c r="I305" s="157">
        <v>76</v>
      </c>
      <c r="J305" s="129"/>
      <c r="K305" s="129"/>
      <c r="L305" s="129" t="s">
        <v>39</v>
      </c>
      <c r="M305" s="129" t="s">
        <v>40</v>
      </c>
      <c r="N305" s="129" t="s">
        <v>62</v>
      </c>
      <c r="O305" s="129" t="s">
        <v>438</v>
      </c>
      <c r="P305" s="129" t="s">
        <v>42</v>
      </c>
      <c r="Q305" s="129" t="s">
        <v>42</v>
      </c>
      <c r="R305" s="129" t="s">
        <v>630</v>
      </c>
      <c r="S305" s="129" t="s">
        <v>631</v>
      </c>
      <c r="T305" s="129" t="s">
        <v>418</v>
      </c>
    </row>
    <row r="306" spans="1:20" s="21" customFormat="1">
      <c r="A306" s="129" t="s">
        <v>178</v>
      </c>
      <c r="B306" s="129" t="s">
        <v>29</v>
      </c>
      <c r="C306" s="129" t="s">
        <v>34</v>
      </c>
      <c r="D306" s="129" t="s">
        <v>385</v>
      </c>
      <c r="E306" s="129" t="s">
        <v>422</v>
      </c>
      <c r="F306" s="157">
        <v>4675</v>
      </c>
      <c r="G306" s="157">
        <v>10</v>
      </c>
      <c r="H306" s="157">
        <v>4665</v>
      </c>
      <c r="I306" s="157">
        <v>99</v>
      </c>
      <c r="J306" s="129"/>
      <c r="K306" s="129"/>
      <c r="L306" s="129" t="s">
        <v>39</v>
      </c>
      <c r="M306" s="129" t="s">
        <v>40</v>
      </c>
      <c r="N306" s="129" t="s">
        <v>62</v>
      </c>
      <c r="O306" s="129" t="s">
        <v>438</v>
      </c>
      <c r="P306" s="129" t="s">
        <v>42</v>
      </c>
      <c r="Q306" s="129" t="s">
        <v>42</v>
      </c>
      <c r="R306" s="129" t="s">
        <v>630</v>
      </c>
      <c r="S306" s="129" t="s">
        <v>631</v>
      </c>
      <c r="T306" s="129" t="s">
        <v>418</v>
      </c>
    </row>
    <row r="307" spans="1:20" s="21" customFormat="1">
      <c r="A307" s="129" t="s">
        <v>178</v>
      </c>
      <c r="B307" s="129" t="s">
        <v>29</v>
      </c>
      <c r="C307" s="129" t="s">
        <v>34</v>
      </c>
      <c r="D307" s="129" t="s">
        <v>403</v>
      </c>
      <c r="E307" s="129" t="s">
        <v>426</v>
      </c>
      <c r="F307" s="157">
        <v>15994</v>
      </c>
      <c r="G307" s="157">
        <v>3519</v>
      </c>
      <c r="H307" s="157">
        <v>12475</v>
      </c>
      <c r="I307" s="157">
        <v>77</v>
      </c>
      <c r="J307" s="129"/>
      <c r="K307" s="129"/>
      <c r="L307" s="129" t="s">
        <v>39</v>
      </c>
      <c r="M307" s="129" t="s">
        <v>40</v>
      </c>
      <c r="N307" s="129" t="s">
        <v>62</v>
      </c>
      <c r="O307" s="129" t="s">
        <v>438</v>
      </c>
      <c r="P307" s="129" t="s">
        <v>42</v>
      </c>
      <c r="Q307" s="129" t="s">
        <v>42</v>
      </c>
      <c r="R307" s="129" t="s">
        <v>630</v>
      </c>
      <c r="S307" s="129" t="s">
        <v>631</v>
      </c>
      <c r="T307" s="129" t="s">
        <v>418</v>
      </c>
    </row>
    <row r="308" spans="1:20" s="21" customFormat="1">
      <c r="A308" s="129" t="s">
        <v>180</v>
      </c>
      <c r="B308" s="129" t="s">
        <v>29</v>
      </c>
      <c r="C308" s="129" t="s">
        <v>34</v>
      </c>
      <c r="D308" s="129" t="s">
        <v>385</v>
      </c>
      <c r="E308" s="129" t="s">
        <v>421</v>
      </c>
      <c r="F308" s="157">
        <v>9482</v>
      </c>
      <c r="G308" s="157">
        <v>2135</v>
      </c>
      <c r="H308" s="157">
        <v>7347</v>
      </c>
      <c r="I308" s="157">
        <v>77</v>
      </c>
      <c r="J308" s="129"/>
      <c r="K308" s="129"/>
      <c r="L308" s="129" t="s">
        <v>39</v>
      </c>
      <c r="M308" s="129" t="s">
        <v>40</v>
      </c>
      <c r="N308" s="129" t="s">
        <v>62</v>
      </c>
      <c r="O308" s="129" t="s">
        <v>438</v>
      </c>
      <c r="P308" s="129" t="s">
        <v>42</v>
      </c>
      <c r="Q308" s="129" t="s">
        <v>42</v>
      </c>
      <c r="R308" s="129" t="s">
        <v>632</v>
      </c>
      <c r="S308" s="129" t="s">
        <v>633</v>
      </c>
      <c r="T308" s="129" t="s">
        <v>418</v>
      </c>
    </row>
    <row r="309" spans="1:20" s="21" customFormat="1">
      <c r="A309" s="129" t="s">
        <v>180</v>
      </c>
      <c r="B309" s="129" t="s">
        <v>29</v>
      </c>
      <c r="C309" s="129" t="s">
        <v>34</v>
      </c>
      <c r="D309" s="129" t="s">
        <v>403</v>
      </c>
      <c r="E309" s="129" t="s">
        <v>419</v>
      </c>
      <c r="F309" s="157">
        <v>100661</v>
      </c>
      <c r="G309" s="157">
        <v>484</v>
      </c>
      <c r="H309" s="157">
        <v>100177</v>
      </c>
      <c r="I309" s="157">
        <v>99</v>
      </c>
      <c r="J309" s="129"/>
      <c r="K309" s="129"/>
      <c r="L309" s="129" t="s">
        <v>39</v>
      </c>
      <c r="M309" s="129" t="s">
        <v>40</v>
      </c>
      <c r="N309" s="129" t="s">
        <v>62</v>
      </c>
      <c r="O309" s="129" t="s">
        <v>438</v>
      </c>
      <c r="P309" s="129" t="s">
        <v>42</v>
      </c>
      <c r="Q309" s="129" t="s">
        <v>42</v>
      </c>
      <c r="R309" s="129" t="s">
        <v>632</v>
      </c>
      <c r="S309" s="129" t="s">
        <v>633</v>
      </c>
      <c r="T309" s="129" t="s">
        <v>418</v>
      </c>
    </row>
    <row r="310" spans="1:20" s="21" customFormat="1">
      <c r="A310" s="129" t="s">
        <v>180</v>
      </c>
      <c r="B310" s="129" t="s">
        <v>29</v>
      </c>
      <c r="C310" s="129" t="s">
        <v>34</v>
      </c>
      <c r="D310" s="129" t="s">
        <v>403</v>
      </c>
      <c r="E310" s="129" t="s">
        <v>426</v>
      </c>
      <c r="F310" s="157">
        <v>15994</v>
      </c>
      <c r="G310" s="157">
        <v>3523</v>
      </c>
      <c r="H310" s="157">
        <v>12471</v>
      </c>
      <c r="I310" s="157">
        <v>77</v>
      </c>
      <c r="J310" s="129"/>
      <c r="K310" s="129"/>
      <c r="L310" s="129" t="s">
        <v>39</v>
      </c>
      <c r="M310" s="129" t="s">
        <v>40</v>
      </c>
      <c r="N310" s="129" t="s">
        <v>62</v>
      </c>
      <c r="O310" s="129" t="s">
        <v>438</v>
      </c>
      <c r="P310" s="129" t="s">
        <v>42</v>
      </c>
      <c r="Q310" s="129" t="s">
        <v>42</v>
      </c>
      <c r="R310" s="129" t="s">
        <v>632</v>
      </c>
      <c r="S310" s="129" t="s">
        <v>633</v>
      </c>
      <c r="T310" s="129" t="s">
        <v>418</v>
      </c>
    </row>
    <row r="311" spans="1:20" s="21" customFormat="1">
      <c r="A311" s="129" t="s">
        <v>180</v>
      </c>
      <c r="B311" s="129" t="s">
        <v>29</v>
      </c>
      <c r="C311" s="129" t="s">
        <v>34</v>
      </c>
      <c r="D311" s="129" t="s">
        <v>385</v>
      </c>
      <c r="E311" s="129" t="s">
        <v>422</v>
      </c>
      <c r="F311" s="157">
        <v>4675</v>
      </c>
      <c r="G311" s="157">
        <v>10</v>
      </c>
      <c r="H311" s="157">
        <v>4665</v>
      </c>
      <c r="I311" s="157">
        <v>99</v>
      </c>
      <c r="J311" s="129"/>
      <c r="K311" s="129"/>
      <c r="L311" s="129" t="s">
        <v>39</v>
      </c>
      <c r="M311" s="129" t="s">
        <v>40</v>
      </c>
      <c r="N311" s="129" t="s">
        <v>62</v>
      </c>
      <c r="O311" s="129" t="s">
        <v>438</v>
      </c>
      <c r="P311" s="129" t="s">
        <v>42</v>
      </c>
      <c r="Q311" s="129" t="s">
        <v>42</v>
      </c>
      <c r="R311" s="129" t="s">
        <v>632</v>
      </c>
      <c r="S311" s="129" t="s">
        <v>633</v>
      </c>
      <c r="T311" s="129" t="s">
        <v>418</v>
      </c>
    </row>
    <row r="312" spans="1:20" s="21" customFormat="1">
      <c r="A312" s="129" t="s">
        <v>180</v>
      </c>
      <c r="B312" s="129" t="s">
        <v>29</v>
      </c>
      <c r="C312" s="129" t="s">
        <v>34</v>
      </c>
      <c r="D312" s="129" t="s">
        <v>385</v>
      </c>
      <c r="E312" s="129" t="s">
        <v>420</v>
      </c>
      <c r="F312" s="157">
        <v>19093</v>
      </c>
      <c r="G312" s="157">
        <v>373</v>
      </c>
      <c r="H312" s="157">
        <v>18720</v>
      </c>
      <c r="I312" s="157">
        <v>98</v>
      </c>
      <c r="J312" s="129"/>
      <c r="K312" s="129"/>
      <c r="L312" s="129" t="s">
        <v>39</v>
      </c>
      <c r="M312" s="129" t="s">
        <v>40</v>
      </c>
      <c r="N312" s="129" t="s">
        <v>62</v>
      </c>
      <c r="O312" s="129" t="s">
        <v>438</v>
      </c>
      <c r="P312" s="129" t="s">
        <v>42</v>
      </c>
      <c r="Q312" s="129" t="s">
        <v>42</v>
      </c>
      <c r="R312" s="129" t="s">
        <v>632</v>
      </c>
      <c r="S312" s="129" t="s">
        <v>633</v>
      </c>
      <c r="T312" s="129" t="s">
        <v>418</v>
      </c>
    </row>
    <row r="313" spans="1:20" s="21" customFormat="1">
      <c r="A313" s="129" t="s">
        <v>180</v>
      </c>
      <c r="B313" s="129" t="s">
        <v>29</v>
      </c>
      <c r="C313" s="129" t="s">
        <v>34</v>
      </c>
      <c r="D313" s="129" t="s">
        <v>385</v>
      </c>
      <c r="E313" s="129" t="s">
        <v>430</v>
      </c>
      <c r="F313" s="157">
        <v>471</v>
      </c>
      <c r="G313" s="157">
        <v>470</v>
      </c>
      <c r="H313" s="157">
        <v>1</v>
      </c>
      <c r="I313" s="157">
        <v>0</v>
      </c>
      <c r="J313" s="129"/>
      <c r="K313" s="129"/>
      <c r="L313" s="129" t="s">
        <v>39</v>
      </c>
      <c r="M313" s="129" t="s">
        <v>40</v>
      </c>
      <c r="N313" s="129" t="s">
        <v>62</v>
      </c>
      <c r="O313" s="129" t="s">
        <v>438</v>
      </c>
      <c r="P313" s="129" t="s">
        <v>42</v>
      </c>
      <c r="Q313" s="129" t="s">
        <v>42</v>
      </c>
      <c r="R313" s="129" t="s">
        <v>632</v>
      </c>
      <c r="S313" s="129" t="s">
        <v>633</v>
      </c>
      <c r="T313" s="129" t="s">
        <v>418</v>
      </c>
    </row>
    <row r="314" spans="1:20" s="21" customFormat="1">
      <c r="A314" s="129" t="s">
        <v>180</v>
      </c>
      <c r="B314" s="129" t="s">
        <v>29</v>
      </c>
      <c r="C314" s="129" t="s">
        <v>34</v>
      </c>
      <c r="D314" s="129" t="s">
        <v>385</v>
      </c>
      <c r="E314" s="129" t="s">
        <v>414</v>
      </c>
      <c r="F314" s="157">
        <v>65535</v>
      </c>
      <c r="G314" s="157">
        <v>34381</v>
      </c>
      <c r="H314" s="157">
        <v>31154</v>
      </c>
      <c r="I314" s="157">
        <v>47</v>
      </c>
      <c r="J314" s="129"/>
      <c r="K314" s="129"/>
      <c r="L314" s="129" t="s">
        <v>39</v>
      </c>
      <c r="M314" s="129" t="s">
        <v>40</v>
      </c>
      <c r="N314" s="129" t="s">
        <v>62</v>
      </c>
      <c r="O314" s="129" t="s">
        <v>438</v>
      </c>
      <c r="P314" s="129" t="s">
        <v>42</v>
      </c>
      <c r="Q314" s="129" t="s">
        <v>42</v>
      </c>
      <c r="R314" s="129" t="s">
        <v>632</v>
      </c>
      <c r="S314" s="129" t="s">
        <v>633</v>
      </c>
      <c r="T314" s="129" t="s">
        <v>418</v>
      </c>
    </row>
    <row r="315" spans="1:20" s="21" customFormat="1">
      <c r="A315" s="129" t="s">
        <v>186</v>
      </c>
      <c r="B315" s="129" t="s">
        <v>29</v>
      </c>
      <c r="C315" s="129" t="s">
        <v>34</v>
      </c>
      <c r="D315" s="129" t="s">
        <v>403</v>
      </c>
      <c r="E315" s="129" t="s">
        <v>426</v>
      </c>
      <c r="F315" s="157">
        <v>15994</v>
      </c>
      <c r="G315" s="157">
        <v>1588</v>
      </c>
      <c r="H315" s="157">
        <v>14406</v>
      </c>
      <c r="I315" s="157">
        <v>90</v>
      </c>
      <c r="J315" s="129"/>
      <c r="K315" s="129"/>
      <c r="L315" s="129" t="s">
        <v>39</v>
      </c>
      <c r="M315" s="129" t="s">
        <v>40</v>
      </c>
      <c r="N315" s="129" t="s">
        <v>62</v>
      </c>
      <c r="O315" s="129" t="s">
        <v>438</v>
      </c>
      <c r="P315" s="129" t="s">
        <v>42</v>
      </c>
      <c r="Q315" s="129" t="s">
        <v>42</v>
      </c>
      <c r="R315" s="129" t="s">
        <v>634</v>
      </c>
      <c r="S315" s="129" t="s">
        <v>635</v>
      </c>
      <c r="T315" s="129" t="s">
        <v>418</v>
      </c>
    </row>
    <row r="316" spans="1:20" s="21" customFormat="1">
      <c r="A316" s="129" t="s">
        <v>186</v>
      </c>
      <c r="B316" s="129" t="s">
        <v>29</v>
      </c>
      <c r="C316" s="129" t="s">
        <v>34</v>
      </c>
      <c r="D316" s="129" t="s">
        <v>403</v>
      </c>
      <c r="E316" s="129" t="s">
        <v>419</v>
      </c>
      <c r="F316" s="157">
        <v>100661</v>
      </c>
      <c r="G316" s="157">
        <v>130</v>
      </c>
      <c r="H316" s="157">
        <v>100531</v>
      </c>
      <c r="I316" s="157">
        <v>99</v>
      </c>
      <c r="J316" s="129"/>
      <c r="K316" s="129"/>
      <c r="L316" s="129" t="s">
        <v>39</v>
      </c>
      <c r="M316" s="129" t="s">
        <v>40</v>
      </c>
      <c r="N316" s="129" t="s">
        <v>62</v>
      </c>
      <c r="O316" s="129" t="s">
        <v>438</v>
      </c>
      <c r="P316" s="129" t="s">
        <v>42</v>
      </c>
      <c r="Q316" s="129" t="s">
        <v>42</v>
      </c>
      <c r="R316" s="129" t="s">
        <v>634</v>
      </c>
      <c r="S316" s="129" t="s">
        <v>635</v>
      </c>
      <c r="T316" s="129" t="s">
        <v>418</v>
      </c>
    </row>
    <row r="317" spans="1:20" s="21" customFormat="1">
      <c r="A317" s="129" t="s">
        <v>186</v>
      </c>
      <c r="B317" s="129" t="s">
        <v>29</v>
      </c>
      <c r="C317" s="129" t="s">
        <v>34</v>
      </c>
      <c r="D317" s="129" t="s">
        <v>385</v>
      </c>
      <c r="E317" s="129" t="s">
        <v>421</v>
      </c>
      <c r="F317" s="157">
        <v>9482</v>
      </c>
      <c r="G317" s="157">
        <v>549</v>
      </c>
      <c r="H317" s="157">
        <v>8933</v>
      </c>
      <c r="I317" s="157">
        <v>94</v>
      </c>
      <c r="J317" s="129"/>
      <c r="K317" s="129"/>
      <c r="L317" s="129" t="s">
        <v>39</v>
      </c>
      <c r="M317" s="129" t="s">
        <v>40</v>
      </c>
      <c r="N317" s="129" t="s">
        <v>62</v>
      </c>
      <c r="O317" s="129" t="s">
        <v>438</v>
      </c>
      <c r="P317" s="129" t="s">
        <v>42</v>
      </c>
      <c r="Q317" s="129" t="s">
        <v>42</v>
      </c>
      <c r="R317" s="129" t="s">
        <v>634</v>
      </c>
      <c r="S317" s="129" t="s">
        <v>635</v>
      </c>
      <c r="T317" s="129" t="s">
        <v>418</v>
      </c>
    </row>
    <row r="318" spans="1:20" s="21" customFormat="1">
      <c r="A318" s="129" t="s">
        <v>186</v>
      </c>
      <c r="B318" s="129" t="s">
        <v>29</v>
      </c>
      <c r="C318" s="129" t="s">
        <v>34</v>
      </c>
      <c r="D318" s="129" t="s">
        <v>385</v>
      </c>
      <c r="E318" s="129" t="s">
        <v>420</v>
      </c>
      <c r="F318" s="157">
        <v>19093</v>
      </c>
      <c r="G318" s="157">
        <v>250</v>
      </c>
      <c r="H318" s="157">
        <v>18843</v>
      </c>
      <c r="I318" s="157">
        <v>98</v>
      </c>
      <c r="J318" s="129"/>
      <c r="K318" s="129"/>
      <c r="L318" s="129" t="s">
        <v>39</v>
      </c>
      <c r="M318" s="129" t="s">
        <v>40</v>
      </c>
      <c r="N318" s="129" t="s">
        <v>62</v>
      </c>
      <c r="O318" s="129" t="s">
        <v>438</v>
      </c>
      <c r="P318" s="129" t="s">
        <v>42</v>
      </c>
      <c r="Q318" s="129" t="s">
        <v>42</v>
      </c>
      <c r="R318" s="129" t="s">
        <v>634</v>
      </c>
      <c r="S318" s="129" t="s">
        <v>635</v>
      </c>
      <c r="T318" s="129" t="s">
        <v>418</v>
      </c>
    </row>
    <row r="319" spans="1:20" s="21" customFormat="1">
      <c r="A319" s="129" t="s">
        <v>186</v>
      </c>
      <c r="B319" s="129" t="s">
        <v>29</v>
      </c>
      <c r="C319" s="129" t="s">
        <v>34</v>
      </c>
      <c r="D319" s="129" t="s">
        <v>385</v>
      </c>
      <c r="E319" s="129" t="s">
        <v>430</v>
      </c>
      <c r="F319" s="157">
        <v>471</v>
      </c>
      <c r="G319" s="157">
        <v>468</v>
      </c>
      <c r="H319" s="157">
        <v>3</v>
      </c>
      <c r="I319" s="157">
        <v>0</v>
      </c>
      <c r="J319" s="129"/>
      <c r="K319" s="129"/>
      <c r="L319" s="129" t="s">
        <v>39</v>
      </c>
      <c r="M319" s="129" t="s">
        <v>40</v>
      </c>
      <c r="N319" s="129" t="s">
        <v>62</v>
      </c>
      <c r="O319" s="129" t="s">
        <v>438</v>
      </c>
      <c r="P319" s="129" t="s">
        <v>42</v>
      </c>
      <c r="Q319" s="129" t="s">
        <v>42</v>
      </c>
      <c r="R319" s="129" t="s">
        <v>634</v>
      </c>
      <c r="S319" s="129" t="s">
        <v>635</v>
      </c>
      <c r="T319" s="129" t="s">
        <v>418</v>
      </c>
    </row>
    <row r="320" spans="1:20" s="21" customFormat="1">
      <c r="A320" s="129" t="s">
        <v>186</v>
      </c>
      <c r="B320" s="129" t="s">
        <v>29</v>
      </c>
      <c r="C320" s="129" t="s">
        <v>34</v>
      </c>
      <c r="D320" s="129" t="s">
        <v>385</v>
      </c>
      <c r="E320" s="129" t="s">
        <v>422</v>
      </c>
      <c r="F320" s="157">
        <v>4675</v>
      </c>
      <c r="G320" s="157">
        <v>10</v>
      </c>
      <c r="H320" s="157">
        <v>4665</v>
      </c>
      <c r="I320" s="157">
        <v>99</v>
      </c>
      <c r="J320" s="129"/>
      <c r="K320" s="129"/>
      <c r="L320" s="129" t="s">
        <v>39</v>
      </c>
      <c r="M320" s="129" t="s">
        <v>40</v>
      </c>
      <c r="N320" s="129" t="s">
        <v>62</v>
      </c>
      <c r="O320" s="129" t="s">
        <v>438</v>
      </c>
      <c r="P320" s="129" t="s">
        <v>42</v>
      </c>
      <c r="Q320" s="129" t="s">
        <v>42</v>
      </c>
      <c r="R320" s="129" t="s">
        <v>634</v>
      </c>
      <c r="S320" s="129" t="s">
        <v>635</v>
      </c>
      <c r="T320" s="129" t="s">
        <v>418</v>
      </c>
    </row>
    <row r="321" spans="1:20" s="21" customFormat="1">
      <c r="A321" s="129" t="s">
        <v>186</v>
      </c>
      <c r="B321" s="129" t="s">
        <v>29</v>
      </c>
      <c r="C321" s="129" t="s">
        <v>34</v>
      </c>
      <c r="D321" s="129" t="s">
        <v>385</v>
      </c>
      <c r="E321" s="129" t="s">
        <v>414</v>
      </c>
      <c r="F321" s="157">
        <v>65535</v>
      </c>
      <c r="G321" s="157">
        <v>6093</v>
      </c>
      <c r="H321" s="157">
        <v>59442</v>
      </c>
      <c r="I321" s="157">
        <v>90</v>
      </c>
      <c r="J321" s="129"/>
      <c r="K321" s="129"/>
      <c r="L321" s="129" t="s">
        <v>39</v>
      </c>
      <c r="M321" s="129" t="s">
        <v>40</v>
      </c>
      <c r="N321" s="129" t="s">
        <v>62</v>
      </c>
      <c r="O321" s="129" t="s">
        <v>438</v>
      </c>
      <c r="P321" s="129" t="s">
        <v>42</v>
      </c>
      <c r="Q321" s="129" t="s">
        <v>42</v>
      </c>
      <c r="R321" s="129" t="s">
        <v>634</v>
      </c>
      <c r="S321" s="129" t="s">
        <v>635</v>
      </c>
      <c r="T321" s="129" t="s">
        <v>418</v>
      </c>
    </row>
    <row r="322" spans="1:20" s="21" customFormat="1">
      <c r="A322" s="129" t="s">
        <v>188</v>
      </c>
      <c r="B322" s="129" t="s">
        <v>29</v>
      </c>
      <c r="C322" s="129" t="s">
        <v>34</v>
      </c>
      <c r="D322" s="129" t="s">
        <v>385</v>
      </c>
      <c r="E322" s="129" t="s">
        <v>430</v>
      </c>
      <c r="F322" s="157">
        <v>471</v>
      </c>
      <c r="G322" s="157">
        <v>469</v>
      </c>
      <c r="H322" s="157">
        <v>2</v>
      </c>
      <c r="I322" s="157">
        <v>0</v>
      </c>
      <c r="J322" s="129"/>
      <c r="K322" s="129"/>
      <c r="L322" s="129" t="s">
        <v>39</v>
      </c>
      <c r="M322" s="129" t="s">
        <v>40</v>
      </c>
      <c r="N322" s="129" t="s">
        <v>62</v>
      </c>
      <c r="O322" s="129" t="s">
        <v>438</v>
      </c>
      <c r="P322" s="129" t="s">
        <v>42</v>
      </c>
      <c r="Q322" s="129" t="s">
        <v>42</v>
      </c>
      <c r="R322" s="129" t="s">
        <v>636</v>
      </c>
      <c r="S322" s="129" t="s">
        <v>637</v>
      </c>
      <c r="T322" s="129" t="s">
        <v>418</v>
      </c>
    </row>
    <row r="323" spans="1:20" s="21" customFormat="1">
      <c r="A323" s="129" t="s">
        <v>188</v>
      </c>
      <c r="B323" s="129" t="s">
        <v>29</v>
      </c>
      <c r="C323" s="129" t="s">
        <v>34</v>
      </c>
      <c r="D323" s="129" t="s">
        <v>403</v>
      </c>
      <c r="E323" s="129" t="s">
        <v>419</v>
      </c>
      <c r="F323" s="157">
        <v>503834</v>
      </c>
      <c r="G323" s="157">
        <v>181</v>
      </c>
      <c r="H323" s="157">
        <v>503653</v>
      </c>
      <c r="I323" s="157">
        <v>99</v>
      </c>
      <c r="J323" s="129"/>
      <c r="K323" s="129"/>
      <c r="L323" s="129" t="s">
        <v>39</v>
      </c>
      <c r="M323" s="129" t="s">
        <v>40</v>
      </c>
      <c r="N323" s="129" t="s">
        <v>62</v>
      </c>
      <c r="O323" s="129" t="s">
        <v>438</v>
      </c>
      <c r="P323" s="129" t="s">
        <v>42</v>
      </c>
      <c r="Q323" s="129" t="s">
        <v>42</v>
      </c>
      <c r="R323" s="129" t="s">
        <v>636</v>
      </c>
      <c r="S323" s="129" t="s">
        <v>637</v>
      </c>
      <c r="T323" s="129" t="s">
        <v>418</v>
      </c>
    </row>
    <row r="324" spans="1:20" s="21" customFormat="1">
      <c r="A324" s="129" t="s">
        <v>188</v>
      </c>
      <c r="B324" s="129" t="s">
        <v>29</v>
      </c>
      <c r="C324" s="129" t="s">
        <v>34</v>
      </c>
      <c r="D324" s="129" t="s">
        <v>385</v>
      </c>
      <c r="E324" s="129" t="s">
        <v>420</v>
      </c>
      <c r="F324" s="157">
        <v>19093</v>
      </c>
      <c r="G324" s="157">
        <v>570</v>
      </c>
      <c r="H324" s="157">
        <v>18523</v>
      </c>
      <c r="I324" s="157">
        <v>97</v>
      </c>
      <c r="J324" s="129"/>
      <c r="K324" s="129"/>
      <c r="L324" s="129" t="s">
        <v>39</v>
      </c>
      <c r="M324" s="129" t="s">
        <v>40</v>
      </c>
      <c r="N324" s="129" t="s">
        <v>62</v>
      </c>
      <c r="O324" s="129" t="s">
        <v>438</v>
      </c>
      <c r="P324" s="129" t="s">
        <v>42</v>
      </c>
      <c r="Q324" s="129" t="s">
        <v>42</v>
      </c>
      <c r="R324" s="129" t="s">
        <v>636</v>
      </c>
      <c r="S324" s="129" t="s">
        <v>637</v>
      </c>
      <c r="T324" s="129" t="s">
        <v>418</v>
      </c>
    </row>
    <row r="325" spans="1:20" s="21" customFormat="1">
      <c r="A325" s="129" t="s">
        <v>188</v>
      </c>
      <c r="B325" s="129" t="s">
        <v>29</v>
      </c>
      <c r="C325" s="129" t="s">
        <v>34</v>
      </c>
      <c r="D325" s="129" t="s">
        <v>385</v>
      </c>
      <c r="E325" s="129" t="s">
        <v>422</v>
      </c>
      <c r="F325" s="157">
        <v>4675</v>
      </c>
      <c r="G325" s="157">
        <v>10</v>
      </c>
      <c r="H325" s="157">
        <v>4665</v>
      </c>
      <c r="I325" s="157">
        <v>99</v>
      </c>
      <c r="J325" s="129"/>
      <c r="K325" s="129"/>
      <c r="L325" s="129" t="s">
        <v>39</v>
      </c>
      <c r="M325" s="129" t="s">
        <v>40</v>
      </c>
      <c r="N325" s="129" t="s">
        <v>62</v>
      </c>
      <c r="O325" s="129" t="s">
        <v>438</v>
      </c>
      <c r="P325" s="129" t="s">
        <v>42</v>
      </c>
      <c r="Q325" s="129" t="s">
        <v>42</v>
      </c>
      <c r="R325" s="129" t="s">
        <v>636</v>
      </c>
      <c r="S325" s="129" t="s">
        <v>637</v>
      </c>
      <c r="T325" s="129" t="s">
        <v>418</v>
      </c>
    </row>
    <row r="326" spans="1:20" s="21" customFormat="1">
      <c r="A326" s="129" t="s">
        <v>188</v>
      </c>
      <c r="B326" s="129" t="s">
        <v>29</v>
      </c>
      <c r="C326" s="129" t="s">
        <v>34</v>
      </c>
      <c r="D326" s="129" t="s">
        <v>385</v>
      </c>
      <c r="E326" s="129" t="s">
        <v>414</v>
      </c>
      <c r="F326" s="157">
        <v>65535</v>
      </c>
      <c r="G326" s="157">
        <v>6790</v>
      </c>
      <c r="H326" s="157">
        <v>58745</v>
      </c>
      <c r="I326" s="157">
        <v>89</v>
      </c>
      <c r="J326" s="129"/>
      <c r="K326" s="129"/>
      <c r="L326" s="129" t="s">
        <v>39</v>
      </c>
      <c r="M326" s="129" t="s">
        <v>40</v>
      </c>
      <c r="N326" s="129" t="s">
        <v>62</v>
      </c>
      <c r="O326" s="129" t="s">
        <v>438</v>
      </c>
      <c r="P326" s="129" t="s">
        <v>42</v>
      </c>
      <c r="Q326" s="129" t="s">
        <v>42</v>
      </c>
      <c r="R326" s="129" t="s">
        <v>636</v>
      </c>
      <c r="S326" s="129" t="s">
        <v>637</v>
      </c>
      <c r="T326" s="129" t="s">
        <v>418</v>
      </c>
    </row>
    <row r="327" spans="1:20" s="21" customFormat="1">
      <c r="A327" s="129" t="s">
        <v>188</v>
      </c>
      <c r="B327" s="129" t="s">
        <v>29</v>
      </c>
      <c r="C327" s="129" t="s">
        <v>34</v>
      </c>
      <c r="D327" s="129" t="s">
        <v>403</v>
      </c>
      <c r="E327" s="129" t="s">
        <v>426</v>
      </c>
      <c r="F327" s="157">
        <v>15994</v>
      </c>
      <c r="G327" s="157">
        <v>2740</v>
      </c>
      <c r="H327" s="157">
        <v>13254</v>
      </c>
      <c r="I327" s="157">
        <v>82</v>
      </c>
      <c r="J327" s="129"/>
      <c r="K327" s="129"/>
      <c r="L327" s="129" t="s">
        <v>39</v>
      </c>
      <c r="M327" s="129" t="s">
        <v>40</v>
      </c>
      <c r="N327" s="129" t="s">
        <v>62</v>
      </c>
      <c r="O327" s="129" t="s">
        <v>438</v>
      </c>
      <c r="P327" s="129" t="s">
        <v>42</v>
      </c>
      <c r="Q327" s="129" t="s">
        <v>42</v>
      </c>
      <c r="R327" s="129" t="s">
        <v>636</v>
      </c>
      <c r="S327" s="129" t="s">
        <v>637</v>
      </c>
      <c r="T327" s="129" t="s">
        <v>418</v>
      </c>
    </row>
    <row r="328" spans="1:20" s="21" customFormat="1">
      <c r="A328" s="129" t="s">
        <v>188</v>
      </c>
      <c r="B328" s="129" t="s">
        <v>29</v>
      </c>
      <c r="C328" s="129" t="s">
        <v>34</v>
      </c>
      <c r="D328" s="129" t="s">
        <v>385</v>
      </c>
      <c r="E328" s="129" t="s">
        <v>421</v>
      </c>
      <c r="F328" s="157">
        <v>9482</v>
      </c>
      <c r="G328" s="157">
        <v>527</v>
      </c>
      <c r="H328" s="157">
        <v>8955</v>
      </c>
      <c r="I328" s="157">
        <v>94</v>
      </c>
      <c r="J328" s="129"/>
      <c r="K328" s="129"/>
      <c r="L328" s="129" t="s">
        <v>39</v>
      </c>
      <c r="M328" s="129" t="s">
        <v>40</v>
      </c>
      <c r="N328" s="129" t="s">
        <v>62</v>
      </c>
      <c r="O328" s="129" t="s">
        <v>438</v>
      </c>
      <c r="P328" s="129" t="s">
        <v>42</v>
      </c>
      <c r="Q328" s="129" t="s">
        <v>42</v>
      </c>
      <c r="R328" s="129" t="s">
        <v>636</v>
      </c>
      <c r="S328" s="129" t="s">
        <v>637</v>
      </c>
      <c r="T328" s="129" t="s">
        <v>418</v>
      </c>
    </row>
    <row r="329" spans="1:20" s="21" customFormat="1">
      <c r="A329" s="129" t="s">
        <v>190</v>
      </c>
      <c r="B329" s="129" t="s">
        <v>29</v>
      </c>
      <c r="C329" s="129" t="s">
        <v>34</v>
      </c>
      <c r="D329" s="129" t="s">
        <v>385</v>
      </c>
      <c r="E329" s="129" t="s">
        <v>414</v>
      </c>
      <c r="F329" s="157">
        <v>65535</v>
      </c>
      <c r="G329" s="157">
        <v>6280</v>
      </c>
      <c r="H329" s="157">
        <v>59255</v>
      </c>
      <c r="I329" s="157">
        <v>90</v>
      </c>
      <c r="J329" s="129"/>
      <c r="K329" s="129"/>
      <c r="L329" s="129" t="s">
        <v>39</v>
      </c>
      <c r="M329" s="129" t="s">
        <v>40</v>
      </c>
      <c r="N329" s="129" t="s">
        <v>62</v>
      </c>
      <c r="O329" s="129" t="s">
        <v>438</v>
      </c>
      <c r="P329" s="129" t="s">
        <v>42</v>
      </c>
      <c r="Q329" s="129" t="s">
        <v>42</v>
      </c>
      <c r="R329" s="129" t="s">
        <v>638</v>
      </c>
      <c r="S329" s="129" t="s">
        <v>639</v>
      </c>
      <c r="T329" s="129" t="s">
        <v>418</v>
      </c>
    </row>
    <row r="330" spans="1:20" s="21" customFormat="1">
      <c r="A330" s="129" t="s">
        <v>190</v>
      </c>
      <c r="B330" s="129" t="s">
        <v>29</v>
      </c>
      <c r="C330" s="129" t="s">
        <v>34</v>
      </c>
      <c r="D330" s="129" t="s">
        <v>385</v>
      </c>
      <c r="E330" s="129" t="s">
        <v>420</v>
      </c>
      <c r="F330" s="157">
        <v>19093</v>
      </c>
      <c r="G330" s="157">
        <v>260</v>
      </c>
      <c r="H330" s="157">
        <v>18833</v>
      </c>
      <c r="I330" s="157">
        <v>98</v>
      </c>
      <c r="J330" s="129"/>
      <c r="K330" s="129"/>
      <c r="L330" s="129" t="s">
        <v>39</v>
      </c>
      <c r="M330" s="129" t="s">
        <v>40</v>
      </c>
      <c r="N330" s="129" t="s">
        <v>62</v>
      </c>
      <c r="O330" s="129" t="s">
        <v>438</v>
      </c>
      <c r="P330" s="129" t="s">
        <v>42</v>
      </c>
      <c r="Q330" s="129" t="s">
        <v>42</v>
      </c>
      <c r="R330" s="129" t="s">
        <v>638</v>
      </c>
      <c r="S330" s="129" t="s">
        <v>639</v>
      </c>
      <c r="T330" s="129" t="s">
        <v>418</v>
      </c>
    </row>
    <row r="331" spans="1:20" s="21" customFormat="1">
      <c r="A331" s="129" t="s">
        <v>190</v>
      </c>
      <c r="B331" s="129" t="s">
        <v>29</v>
      </c>
      <c r="C331" s="129" t="s">
        <v>34</v>
      </c>
      <c r="D331" s="129" t="s">
        <v>385</v>
      </c>
      <c r="E331" s="129" t="s">
        <v>422</v>
      </c>
      <c r="F331" s="157">
        <v>4675</v>
      </c>
      <c r="G331" s="157">
        <v>10</v>
      </c>
      <c r="H331" s="157">
        <v>4665</v>
      </c>
      <c r="I331" s="157">
        <v>99</v>
      </c>
      <c r="J331" s="129"/>
      <c r="K331" s="129"/>
      <c r="L331" s="129" t="s">
        <v>39</v>
      </c>
      <c r="M331" s="129" t="s">
        <v>40</v>
      </c>
      <c r="N331" s="129" t="s">
        <v>62</v>
      </c>
      <c r="O331" s="129" t="s">
        <v>438</v>
      </c>
      <c r="P331" s="129" t="s">
        <v>42</v>
      </c>
      <c r="Q331" s="129" t="s">
        <v>42</v>
      </c>
      <c r="R331" s="129" t="s">
        <v>638</v>
      </c>
      <c r="S331" s="129" t="s">
        <v>639</v>
      </c>
      <c r="T331" s="129" t="s">
        <v>418</v>
      </c>
    </row>
    <row r="332" spans="1:20" s="21" customFormat="1">
      <c r="A332" s="129" t="s">
        <v>190</v>
      </c>
      <c r="B332" s="129" t="s">
        <v>29</v>
      </c>
      <c r="C332" s="129" t="s">
        <v>34</v>
      </c>
      <c r="D332" s="129" t="s">
        <v>385</v>
      </c>
      <c r="E332" s="129" t="s">
        <v>421</v>
      </c>
      <c r="F332" s="157">
        <v>9482</v>
      </c>
      <c r="G332" s="157">
        <v>618</v>
      </c>
      <c r="H332" s="157">
        <v>8864</v>
      </c>
      <c r="I332" s="157">
        <v>93</v>
      </c>
      <c r="J332" s="129"/>
      <c r="K332" s="129"/>
      <c r="L332" s="129" t="s">
        <v>39</v>
      </c>
      <c r="M332" s="129" t="s">
        <v>40</v>
      </c>
      <c r="N332" s="129" t="s">
        <v>62</v>
      </c>
      <c r="O332" s="129" t="s">
        <v>438</v>
      </c>
      <c r="P332" s="129" t="s">
        <v>42</v>
      </c>
      <c r="Q332" s="129" t="s">
        <v>42</v>
      </c>
      <c r="R332" s="129" t="s">
        <v>638</v>
      </c>
      <c r="S332" s="129" t="s">
        <v>639</v>
      </c>
      <c r="T332" s="129" t="s">
        <v>418</v>
      </c>
    </row>
    <row r="333" spans="1:20" s="21" customFormat="1">
      <c r="A333" s="129" t="s">
        <v>190</v>
      </c>
      <c r="B333" s="129" t="s">
        <v>29</v>
      </c>
      <c r="C333" s="129" t="s">
        <v>34</v>
      </c>
      <c r="D333" s="129" t="s">
        <v>403</v>
      </c>
      <c r="E333" s="129" t="s">
        <v>426</v>
      </c>
      <c r="F333" s="157">
        <v>15994</v>
      </c>
      <c r="G333" s="157">
        <v>351</v>
      </c>
      <c r="H333" s="157">
        <v>15643</v>
      </c>
      <c r="I333" s="157">
        <v>97</v>
      </c>
      <c r="J333" s="129"/>
      <c r="K333" s="129"/>
      <c r="L333" s="129" t="s">
        <v>39</v>
      </c>
      <c r="M333" s="129" t="s">
        <v>40</v>
      </c>
      <c r="N333" s="129" t="s">
        <v>62</v>
      </c>
      <c r="O333" s="129" t="s">
        <v>438</v>
      </c>
      <c r="P333" s="129" t="s">
        <v>42</v>
      </c>
      <c r="Q333" s="129" t="s">
        <v>42</v>
      </c>
      <c r="R333" s="129" t="s">
        <v>638</v>
      </c>
      <c r="S333" s="129" t="s">
        <v>639</v>
      </c>
      <c r="T333" s="129" t="s">
        <v>418</v>
      </c>
    </row>
    <row r="334" spans="1:20" s="21" customFormat="1">
      <c r="A334" s="129" t="s">
        <v>190</v>
      </c>
      <c r="B334" s="129" t="s">
        <v>29</v>
      </c>
      <c r="C334" s="129" t="s">
        <v>34</v>
      </c>
      <c r="D334" s="129" t="s">
        <v>403</v>
      </c>
      <c r="E334" s="129" t="s">
        <v>419</v>
      </c>
      <c r="F334" s="157">
        <v>100661</v>
      </c>
      <c r="G334" s="157">
        <v>102</v>
      </c>
      <c r="H334" s="157">
        <v>100559</v>
      </c>
      <c r="I334" s="157">
        <v>99</v>
      </c>
      <c r="J334" s="129"/>
      <c r="K334" s="129"/>
      <c r="L334" s="129" t="s">
        <v>39</v>
      </c>
      <c r="M334" s="129" t="s">
        <v>40</v>
      </c>
      <c r="N334" s="129" t="s">
        <v>62</v>
      </c>
      <c r="O334" s="129" t="s">
        <v>438</v>
      </c>
      <c r="P334" s="129" t="s">
        <v>42</v>
      </c>
      <c r="Q334" s="129" t="s">
        <v>42</v>
      </c>
      <c r="R334" s="129" t="s">
        <v>638</v>
      </c>
      <c r="S334" s="129" t="s">
        <v>639</v>
      </c>
      <c r="T334" s="129" t="s">
        <v>418</v>
      </c>
    </row>
    <row r="335" spans="1:20" s="21" customFormat="1">
      <c r="A335" s="129" t="s">
        <v>190</v>
      </c>
      <c r="B335" s="129" t="s">
        <v>29</v>
      </c>
      <c r="C335" s="129" t="s">
        <v>34</v>
      </c>
      <c r="D335" s="129" t="s">
        <v>385</v>
      </c>
      <c r="E335" s="129" t="s">
        <v>430</v>
      </c>
      <c r="F335" s="157">
        <v>471</v>
      </c>
      <c r="G335" s="157">
        <v>469</v>
      </c>
      <c r="H335" s="157">
        <v>2</v>
      </c>
      <c r="I335" s="157">
        <v>0</v>
      </c>
      <c r="J335" s="129"/>
      <c r="K335" s="129"/>
      <c r="L335" s="129" t="s">
        <v>39</v>
      </c>
      <c r="M335" s="129" t="s">
        <v>40</v>
      </c>
      <c r="N335" s="129" t="s">
        <v>62</v>
      </c>
      <c r="O335" s="129" t="s">
        <v>438</v>
      </c>
      <c r="P335" s="129" t="s">
        <v>42</v>
      </c>
      <c r="Q335" s="129" t="s">
        <v>42</v>
      </c>
      <c r="R335" s="129" t="s">
        <v>638</v>
      </c>
      <c r="S335" s="129" t="s">
        <v>639</v>
      </c>
      <c r="T335" s="129" t="s">
        <v>418</v>
      </c>
    </row>
    <row r="336" spans="1:20" s="21" customFormat="1">
      <c r="A336" s="129" t="s">
        <v>192</v>
      </c>
      <c r="B336" s="129" t="s">
        <v>29</v>
      </c>
      <c r="C336" s="129" t="s">
        <v>34</v>
      </c>
      <c r="D336" s="129" t="s">
        <v>403</v>
      </c>
      <c r="E336" s="129" t="s">
        <v>419</v>
      </c>
      <c r="F336" s="157">
        <v>806217</v>
      </c>
      <c r="G336" s="157">
        <v>625</v>
      </c>
      <c r="H336" s="157">
        <v>805592</v>
      </c>
      <c r="I336" s="157">
        <v>99</v>
      </c>
      <c r="J336" s="129"/>
      <c r="K336" s="129"/>
      <c r="L336" s="129" t="s">
        <v>39</v>
      </c>
      <c r="M336" s="129" t="s">
        <v>40</v>
      </c>
      <c r="N336" s="129" t="s">
        <v>41</v>
      </c>
      <c r="O336" s="129" t="s">
        <v>415</v>
      </c>
      <c r="P336" s="129" t="s">
        <v>42</v>
      </c>
      <c r="Q336" s="129" t="s">
        <v>42</v>
      </c>
      <c r="R336" s="129" t="s">
        <v>640</v>
      </c>
      <c r="S336" s="129" t="s">
        <v>641</v>
      </c>
      <c r="T336" s="129" t="s">
        <v>418</v>
      </c>
    </row>
    <row r="337" spans="1:20" s="21" customFormat="1">
      <c r="A337" s="129" t="s">
        <v>192</v>
      </c>
      <c r="B337" s="129" t="s">
        <v>29</v>
      </c>
      <c r="C337" s="129" t="s">
        <v>34</v>
      </c>
      <c r="D337" s="129" t="s">
        <v>385</v>
      </c>
      <c r="E337" s="129" t="s">
        <v>414</v>
      </c>
      <c r="F337" s="157">
        <v>39684</v>
      </c>
      <c r="G337" s="157">
        <v>19570</v>
      </c>
      <c r="H337" s="157">
        <v>20114</v>
      </c>
      <c r="I337" s="157">
        <v>50</v>
      </c>
      <c r="J337" s="129"/>
      <c r="K337" s="129"/>
      <c r="L337" s="129" t="s">
        <v>39</v>
      </c>
      <c r="M337" s="129" t="s">
        <v>40</v>
      </c>
      <c r="N337" s="129" t="s">
        <v>41</v>
      </c>
      <c r="O337" s="129" t="s">
        <v>415</v>
      </c>
      <c r="P337" s="129" t="s">
        <v>42</v>
      </c>
      <c r="Q337" s="129" t="s">
        <v>42</v>
      </c>
      <c r="R337" s="129" t="s">
        <v>640</v>
      </c>
      <c r="S337" s="129" t="s">
        <v>641</v>
      </c>
      <c r="T337" s="129" t="s">
        <v>418</v>
      </c>
    </row>
    <row r="338" spans="1:20" s="21" customFormat="1">
      <c r="A338" s="129" t="s">
        <v>194</v>
      </c>
      <c r="B338" s="129" t="s">
        <v>29</v>
      </c>
      <c r="C338" s="129" t="s">
        <v>34</v>
      </c>
      <c r="D338" s="129" t="s">
        <v>403</v>
      </c>
      <c r="E338" s="129" t="s">
        <v>419</v>
      </c>
      <c r="F338" s="157">
        <v>806345</v>
      </c>
      <c r="G338" s="157">
        <v>484339</v>
      </c>
      <c r="H338" s="157">
        <v>322006</v>
      </c>
      <c r="I338" s="157">
        <v>39</v>
      </c>
      <c r="J338" s="129"/>
      <c r="K338" s="129" t="s">
        <v>72</v>
      </c>
      <c r="L338" s="129" t="s">
        <v>39</v>
      </c>
      <c r="M338" s="129" t="s">
        <v>40</v>
      </c>
      <c r="N338" s="129" t="s">
        <v>195</v>
      </c>
      <c r="O338" s="129" t="s">
        <v>415</v>
      </c>
      <c r="P338" s="129" t="s">
        <v>42</v>
      </c>
      <c r="Q338" s="129" t="s">
        <v>42</v>
      </c>
      <c r="R338" s="129" t="s">
        <v>642</v>
      </c>
      <c r="S338" s="129" t="s">
        <v>643</v>
      </c>
      <c r="T338" s="129" t="s">
        <v>418</v>
      </c>
    </row>
    <row r="339" spans="1:20" s="21" customFormat="1">
      <c r="A339" s="129" t="s">
        <v>194</v>
      </c>
      <c r="B339" s="129" t="s">
        <v>29</v>
      </c>
      <c r="C339" s="129" t="s">
        <v>34</v>
      </c>
      <c r="D339" s="129" t="s">
        <v>385</v>
      </c>
      <c r="E339" s="129" t="s">
        <v>414</v>
      </c>
      <c r="F339" s="157">
        <v>39812</v>
      </c>
      <c r="G339" s="157">
        <v>2406</v>
      </c>
      <c r="H339" s="157">
        <v>37406</v>
      </c>
      <c r="I339" s="157">
        <v>93</v>
      </c>
      <c r="J339" s="129"/>
      <c r="K339" s="129" t="s">
        <v>72</v>
      </c>
      <c r="L339" s="129" t="s">
        <v>39</v>
      </c>
      <c r="M339" s="129" t="s">
        <v>40</v>
      </c>
      <c r="N339" s="129" t="s">
        <v>195</v>
      </c>
      <c r="O339" s="129" t="s">
        <v>415</v>
      </c>
      <c r="P339" s="129" t="s">
        <v>42</v>
      </c>
      <c r="Q339" s="129" t="s">
        <v>42</v>
      </c>
      <c r="R339" s="129" t="s">
        <v>642</v>
      </c>
      <c r="S339" s="129" t="s">
        <v>643</v>
      </c>
      <c r="T339" s="129" t="s">
        <v>418</v>
      </c>
    </row>
    <row r="340" spans="1:20" s="21" customFormat="1">
      <c r="A340" s="129" t="s">
        <v>196</v>
      </c>
      <c r="B340" s="129" t="s">
        <v>29</v>
      </c>
      <c r="C340" s="129" t="s">
        <v>34</v>
      </c>
      <c r="D340" s="129" t="s">
        <v>385</v>
      </c>
      <c r="E340" s="129" t="s">
        <v>463</v>
      </c>
      <c r="F340" s="157">
        <v>204697</v>
      </c>
      <c r="G340" s="157">
        <v>178130</v>
      </c>
      <c r="H340" s="157">
        <v>26567</v>
      </c>
      <c r="I340" s="157">
        <v>12</v>
      </c>
      <c r="J340" s="129"/>
      <c r="K340" s="129" t="s">
        <v>199</v>
      </c>
      <c r="L340" s="129" t="s">
        <v>39</v>
      </c>
      <c r="M340" s="129" t="s">
        <v>40</v>
      </c>
      <c r="N340" s="129" t="s">
        <v>50</v>
      </c>
      <c r="O340" s="129" t="s">
        <v>415</v>
      </c>
      <c r="P340" s="129" t="s">
        <v>200</v>
      </c>
      <c r="Q340" s="129" t="s">
        <v>200</v>
      </c>
      <c r="R340" s="129" t="s">
        <v>644</v>
      </c>
      <c r="S340" s="129" t="s">
        <v>645</v>
      </c>
      <c r="T340" s="129" t="s">
        <v>418</v>
      </c>
    </row>
    <row r="341" spans="1:20" s="21" customFormat="1">
      <c r="A341" s="129" t="s">
        <v>196</v>
      </c>
      <c r="B341" s="129" t="s">
        <v>29</v>
      </c>
      <c r="C341" s="129" t="s">
        <v>34</v>
      </c>
      <c r="D341" s="129" t="s">
        <v>403</v>
      </c>
      <c r="E341" s="129" t="s">
        <v>501</v>
      </c>
      <c r="F341" s="157">
        <v>511996</v>
      </c>
      <c r="G341" s="157">
        <v>317213</v>
      </c>
      <c r="H341" s="157">
        <v>194783</v>
      </c>
      <c r="I341" s="157">
        <v>38</v>
      </c>
      <c r="J341" s="129"/>
      <c r="K341" s="129" t="s">
        <v>199</v>
      </c>
      <c r="L341" s="129" t="s">
        <v>39</v>
      </c>
      <c r="M341" s="129" t="s">
        <v>40</v>
      </c>
      <c r="N341" s="129" t="s">
        <v>50</v>
      </c>
      <c r="O341" s="129" t="s">
        <v>415</v>
      </c>
      <c r="P341" s="129" t="s">
        <v>200</v>
      </c>
      <c r="Q341" s="129" t="s">
        <v>200</v>
      </c>
      <c r="R341" s="129" t="s">
        <v>644</v>
      </c>
      <c r="S341" s="129" t="s">
        <v>645</v>
      </c>
      <c r="T341" s="129" t="s">
        <v>418</v>
      </c>
    </row>
    <row r="342" spans="1:20" s="21" customFormat="1">
      <c r="A342" s="129" t="s">
        <v>205</v>
      </c>
      <c r="B342" s="129" t="s">
        <v>29</v>
      </c>
      <c r="C342" s="129" t="s">
        <v>34</v>
      </c>
      <c r="D342" s="129" t="s">
        <v>385</v>
      </c>
      <c r="E342" s="129" t="s">
        <v>414</v>
      </c>
      <c r="F342" s="157">
        <v>36850</v>
      </c>
      <c r="G342" s="157">
        <v>28533</v>
      </c>
      <c r="H342" s="157">
        <v>8317</v>
      </c>
      <c r="I342" s="157">
        <v>22</v>
      </c>
      <c r="J342" s="129"/>
      <c r="K342" s="129" t="s">
        <v>207</v>
      </c>
      <c r="L342" s="129" t="s">
        <v>39</v>
      </c>
      <c r="M342" s="129" t="s">
        <v>40</v>
      </c>
      <c r="N342" s="129" t="s">
        <v>95</v>
      </c>
      <c r="O342" s="129" t="s">
        <v>415</v>
      </c>
      <c r="P342" s="129" t="s">
        <v>171</v>
      </c>
      <c r="Q342" s="129" t="s">
        <v>171</v>
      </c>
      <c r="R342" s="129" t="s">
        <v>646</v>
      </c>
      <c r="S342" s="129" t="s">
        <v>647</v>
      </c>
      <c r="T342" s="129" t="s">
        <v>418</v>
      </c>
    </row>
    <row r="343" spans="1:20" s="21" customFormat="1">
      <c r="A343" s="129" t="s">
        <v>205</v>
      </c>
      <c r="B343" s="129" t="s">
        <v>29</v>
      </c>
      <c r="C343" s="129" t="s">
        <v>34</v>
      </c>
      <c r="D343" s="129" t="s">
        <v>385</v>
      </c>
      <c r="E343" s="129" t="s">
        <v>421</v>
      </c>
      <c r="F343" s="157">
        <v>9842</v>
      </c>
      <c r="G343" s="157">
        <v>399</v>
      </c>
      <c r="H343" s="157">
        <v>9443</v>
      </c>
      <c r="I343" s="157">
        <v>95</v>
      </c>
      <c r="J343" s="129"/>
      <c r="K343" s="129" t="s">
        <v>207</v>
      </c>
      <c r="L343" s="129" t="s">
        <v>39</v>
      </c>
      <c r="M343" s="129" t="s">
        <v>40</v>
      </c>
      <c r="N343" s="129" t="s">
        <v>95</v>
      </c>
      <c r="O343" s="129" t="s">
        <v>415</v>
      </c>
      <c r="P343" s="129" t="s">
        <v>171</v>
      </c>
      <c r="Q343" s="129" t="s">
        <v>171</v>
      </c>
      <c r="R343" s="129" t="s">
        <v>646</v>
      </c>
      <c r="S343" s="129" t="s">
        <v>647</v>
      </c>
      <c r="T343" s="129" t="s">
        <v>418</v>
      </c>
    </row>
    <row r="344" spans="1:20" s="21" customFormat="1">
      <c r="A344" s="129" t="s">
        <v>208</v>
      </c>
      <c r="B344" s="129" t="s">
        <v>29</v>
      </c>
      <c r="C344" s="129" t="s">
        <v>34</v>
      </c>
      <c r="D344" s="129" t="s">
        <v>385</v>
      </c>
      <c r="E344" s="129" t="s">
        <v>421</v>
      </c>
      <c r="F344" s="157">
        <v>9842</v>
      </c>
      <c r="G344" s="157">
        <v>358</v>
      </c>
      <c r="H344" s="157">
        <v>9484</v>
      </c>
      <c r="I344" s="157">
        <v>96</v>
      </c>
      <c r="J344" s="129"/>
      <c r="K344" s="129" t="s">
        <v>207</v>
      </c>
      <c r="L344" s="129" t="s">
        <v>39</v>
      </c>
      <c r="M344" s="129" t="s">
        <v>40</v>
      </c>
      <c r="N344" s="129" t="s">
        <v>195</v>
      </c>
      <c r="O344" s="129" t="s">
        <v>415</v>
      </c>
      <c r="P344" s="129" t="s">
        <v>171</v>
      </c>
      <c r="Q344" s="129" t="s">
        <v>171</v>
      </c>
      <c r="R344" s="129" t="s">
        <v>648</v>
      </c>
      <c r="S344" s="129" t="s">
        <v>649</v>
      </c>
      <c r="T344" s="129" t="s">
        <v>418</v>
      </c>
    </row>
    <row r="345" spans="1:20" s="21" customFormat="1">
      <c r="A345" s="129" t="s">
        <v>208</v>
      </c>
      <c r="B345" s="129" t="s">
        <v>29</v>
      </c>
      <c r="C345" s="129" t="s">
        <v>34</v>
      </c>
      <c r="D345" s="129" t="s">
        <v>385</v>
      </c>
      <c r="E345" s="129" t="s">
        <v>414</v>
      </c>
      <c r="F345" s="157">
        <v>36850</v>
      </c>
      <c r="G345" s="157">
        <v>27656</v>
      </c>
      <c r="H345" s="157">
        <v>9194</v>
      </c>
      <c r="I345" s="157">
        <v>24</v>
      </c>
      <c r="J345" s="129"/>
      <c r="K345" s="129" t="s">
        <v>207</v>
      </c>
      <c r="L345" s="129" t="s">
        <v>39</v>
      </c>
      <c r="M345" s="129" t="s">
        <v>40</v>
      </c>
      <c r="N345" s="129" t="s">
        <v>195</v>
      </c>
      <c r="O345" s="129" t="s">
        <v>415</v>
      </c>
      <c r="P345" s="129" t="s">
        <v>171</v>
      </c>
      <c r="Q345" s="129" t="s">
        <v>171</v>
      </c>
      <c r="R345" s="129" t="s">
        <v>648</v>
      </c>
      <c r="S345" s="129" t="s">
        <v>649</v>
      </c>
      <c r="T345" s="129" t="s">
        <v>418</v>
      </c>
    </row>
    <row r="346" spans="1:20" s="21" customFormat="1">
      <c r="A346" s="129" t="s">
        <v>209</v>
      </c>
      <c r="B346" s="129" t="s">
        <v>29</v>
      </c>
      <c r="C346" s="129" t="s">
        <v>34</v>
      </c>
      <c r="D346" s="129" t="s">
        <v>385</v>
      </c>
      <c r="E346" s="129" t="s">
        <v>463</v>
      </c>
      <c r="F346" s="157">
        <v>163736</v>
      </c>
      <c r="G346" s="157">
        <v>163346</v>
      </c>
      <c r="H346" s="157">
        <v>390</v>
      </c>
      <c r="I346" s="157">
        <v>0</v>
      </c>
      <c r="J346" s="129"/>
      <c r="K346" s="129" t="s">
        <v>212</v>
      </c>
      <c r="L346" s="129" t="s">
        <v>39</v>
      </c>
      <c r="M346" s="129" t="s">
        <v>40</v>
      </c>
      <c r="N346" s="129" t="s">
        <v>99</v>
      </c>
      <c r="O346" s="129" t="s">
        <v>415</v>
      </c>
      <c r="P346" s="129" t="s">
        <v>200</v>
      </c>
      <c r="Q346" s="129" t="s">
        <v>200</v>
      </c>
      <c r="R346" s="129" t="s">
        <v>650</v>
      </c>
      <c r="S346" s="129" t="s">
        <v>651</v>
      </c>
      <c r="T346" s="129" t="s">
        <v>418</v>
      </c>
    </row>
    <row r="347" spans="1:20" s="21" customFormat="1">
      <c r="A347" s="129" t="s">
        <v>209</v>
      </c>
      <c r="B347" s="129" t="s">
        <v>29</v>
      </c>
      <c r="C347" s="129" t="s">
        <v>34</v>
      </c>
      <c r="D347" s="129" t="s">
        <v>403</v>
      </c>
      <c r="E347" s="129" t="s">
        <v>501</v>
      </c>
      <c r="F347" s="157">
        <v>204796</v>
      </c>
      <c r="G347" s="157">
        <v>74979</v>
      </c>
      <c r="H347" s="157">
        <v>129817</v>
      </c>
      <c r="I347" s="157">
        <v>63</v>
      </c>
      <c r="J347" s="129"/>
      <c r="K347" s="129" t="s">
        <v>212</v>
      </c>
      <c r="L347" s="129" t="s">
        <v>39</v>
      </c>
      <c r="M347" s="129" t="s">
        <v>40</v>
      </c>
      <c r="N347" s="129" t="s">
        <v>99</v>
      </c>
      <c r="O347" s="129" t="s">
        <v>415</v>
      </c>
      <c r="P347" s="129" t="s">
        <v>200</v>
      </c>
      <c r="Q347" s="129" t="s">
        <v>200</v>
      </c>
      <c r="R347" s="129" t="s">
        <v>650</v>
      </c>
      <c r="S347" s="129" t="s">
        <v>651</v>
      </c>
      <c r="T347" s="129" t="s">
        <v>418</v>
      </c>
    </row>
    <row r="348" spans="1:20" s="21" customFormat="1">
      <c r="A348" s="129" t="s">
        <v>209</v>
      </c>
      <c r="B348" s="129" t="s">
        <v>29</v>
      </c>
      <c r="C348" s="129" t="s">
        <v>34</v>
      </c>
      <c r="D348" s="129" t="s">
        <v>403</v>
      </c>
      <c r="E348" s="129" t="s">
        <v>503</v>
      </c>
      <c r="F348" s="157">
        <v>4194173</v>
      </c>
      <c r="G348" s="157">
        <v>111508</v>
      </c>
      <c r="H348" s="157">
        <v>4082665</v>
      </c>
      <c r="I348" s="157">
        <v>97</v>
      </c>
      <c r="J348" s="129"/>
      <c r="K348" s="129" t="s">
        <v>212</v>
      </c>
      <c r="L348" s="129" t="s">
        <v>39</v>
      </c>
      <c r="M348" s="129" t="s">
        <v>40</v>
      </c>
      <c r="N348" s="129" t="s">
        <v>99</v>
      </c>
      <c r="O348" s="129" t="s">
        <v>415</v>
      </c>
      <c r="P348" s="129" t="s">
        <v>200</v>
      </c>
      <c r="Q348" s="129" t="s">
        <v>200</v>
      </c>
      <c r="R348" s="129" t="s">
        <v>650</v>
      </c>
      <c r="S348" s="129" t="s">
        <v>651</v>
      </c>
      <c r="T348" s="129" t="s">
        <v>418</v>
      </c>
    </row>
    <row r="349" spans="1:20" s="21" customFormat="1">
      <c r="A349" s="129" t="s">
        <v>213</v>
      </c>
      <c r="B349" s="129" t="s">
        <v>29</v>
      </c>
      <c r="C349" s="129" t="s">
        <v>34</v>
      </c>
      <c r="D349" s="129" t="s">
        <v>403</v>
      </c>
      <c r="E349" s="129" t="s">
        <v>503</v>
      </c>
      <c r="F349" s="157">
        <v>4194173</v>
      </c>
      <c r="G349" s="157">
        <v>109866</v>
      </c>
      <c r="H349" s="157">
        <v>4084307</v>
      </c>
      <c r="I349" s="157">
        <v>97</v>
      </c>
      <c r="J349" s="129"/>
      <c r="K349" s="129" t="s">
        <v>212</v>
      </c>
      <c r="L349" s="129" t="s">
        <v>39</v>
      </c>
      <c r="M349" s="129" t="s">
        <v>40</v>
      </c>
      <c r="N349" s="129" t="s">
        <v>195</v>
      </c>
      <c r="O349" s="129" t="s">
        <v>415</v>
      </c>
      <c r="P349" s="129" t="s">
        <v>200</v>
      </c>
      <c r="Q349" s="129" t="s">
        <v>200</v>
      </c>
      <c r="R349" s="129" t="s">
        <v>652</v>
      </c>
      <c r="S349" s="129" t="s">
        <v>653</v>
      </c>
      <c r="T349" s="129" t="s">
        <v>418</v>
      </c>
    </row>
    <row r="350" spans="1:20" s="21" customFormat="1">
      <c r="A350" s="129" t="s">
        <v>213</v>
      </c>
      <c r="B350" s="129" t="s">
        <v>29</v>
      </c>
      <c r="C350" s="129" t="s">
        <v>34</v>
      </c>
      <c r="D350" s="129" t="s">
        <v>403</v>
      </c>
      <c r="E350" s="129" t="s">
        <v>459</v>
      </c>
      <c r="F350" s="157">
        <v>204796</v>
      </c>
      <c r="G350" s="157">
        <v>105246</v>
      </c>
      <c r="H350" s="157">
        <v>99550</v>
      </c>
      <c r="I350" s="157">
        <v>48</v>
      </c>
      <c r="J350" s="129"/>
      <c r="K350" s="129" t="s">
        <v>212</v>
      </c>
      <c r="L350" s="129" t="s">
        <v>39</v>
      </c>
      <c r="M350" s="129" t="s">
        <v>40</v>
      </c>
      <c r="N350" s="129" t="s">
        <v>195</v>
      </c>
      <c r="O350" s="129" t="s">
        <v>415</v>
      </c>
      <c r="P350" s="129" t="s">
        <v>200</v>
      </c>
      <c r="Q350" s="129" t="s">
        <v>200</v>
      </c>
      <c r="R350" s="129" t="s">
        <v>652</v>
      </c>
      <c r="S350" s="129" t="s">
        <v>653</v>
      </c>
      <c r="T350" s="129" t="s">
        <v>418</v>
      </c>
    </row>
    <row r="351" spans="1:20" s="21" customFormat="1">
      <c r="A351" s="129" t="s">
        <v>213</v>
      </c>
      <c r="B351" s="129" t="s">
        <v>29</v>
      </c>
      <c r="C351" s="129" t="s">
        <v>34</v>
      </c>
      <c r="D351" s="129" t="s">
        <v>385</v>
      </c>
      <c r="E351" s="129" t="s">
        <v>463</v>
      </c>
      <c r="F351" s="157">
        <v>122776</v>
      </c>
      <c r="G351" s="157">
        <v>121549</v>
      </c>
      <c r="H351" s="157">
        <v>1227</v>
      </c>
      <c r="I351" s="157">
        <v>0</v>
      </c>
      <c r="J351" s="129"/>
      <c r="K351" s="129" t="s">
        <v>212</v>
      </c>
      <c r="L351" s="129" t="s">
        <v>39</v>
      </c>
      <c r="M351" s="129" t="s">
        <v>40</v>
      </c>
      <c r="N351" s="129" t="s">
        <v>195</v>
      </c>
      <c r="O351" s="129" t="s">
        <v>415</v>
      </c>
      <c r="P351" s="129" t="s">
        <v>200</v>
      </c>
      <c r="Q351" s="129" t="s">
        <v>200</v>
      </c>
      <c r="R351" s="129" t="s">
        <v>652</v>
      </c>
      <c r="S351" s="129" t="s">
        <v>653</v>
      </c>
      <c r="T351" s="129" t="s">
        <v>418</v>
      </c>
    </row>
    <row r="352" spans="1:20" s="21" customFormat="1">
      <c r="A352" s="129" t="s">
        <v>215</v>
      </c>
      <c r="B352" s="129" t="s">
        <v>29</v>
      </c>
      <c r="C352" s="129" t="s">
        <v>34</v>
      </c>
      <c r="D352" s="129" t="s">
        <v>403</v>
      </c>
      <c r="E352" s="129" t="s">
        <v>501</v>
      </c>
      <c r="F352" s="157">
        <v>4194173</v>
      </c>
      <c r="G352" s="157">
        <v>127764</v>
      </c>
      <c r="H352" s="157">
        <v>4066409</v>
      </c>
      <c r="I352" s="157">
        <v>96</v>
      </c>
      <c r="J352" s="129"/>
      <c r="K352" s="129" t="s">
        <v>212</v>
      </c>
      <c r="L352" s="129" t="s">
        <v>39</v>
      </c>
      <c r="M352" s="129" t="s">
        <v>40</v>
      </c>
      <c r="N352" s="129" t="s">
        <v>113</v>
      </c>
      <c r="O352" s="129" t="s">
        <v>415</v>
      </c>
      <c r="P352" s="129" t="s">
        <v>200</v>
      </c>
      <c r="Q352" s="129" t="s">
        <v>200</v>
      </c>
      <c r="R352" s="129" t="s">
        <v>654</v>
      </c>
      <c r="S352" s="129" t="s">
        <v>655</v>
      </c>
      <c r="T352" s="129" t="s">
        <v>418</v>
      </c>
    </row>
    <row r="353" spans="1:20" s="21" customFormat="1">
      <c r="A353" s="129" t="s">
        <v>215</v>
      </c>
      <c r="B353" s="129" t="s">
        <v>29</v>
      </c>
      <c r="C353" s="129" t="s">
        <v>34</v>
      </c>
      <c r="D353" s="129" t="s">
        <v>385</v>
      </c>
      <c r="E353" s="129" t="s">
        <v>463</v>
      </c>
      <c r="F353" s="157">
        <v>255896</v>
      </c>
      <c r="G353" s="157">
        <v>248971</v>
      </c>
      <c r="H353" s="157">
        <v>6925</v>
      </c>
      <c r="I353" s="157">
        <v>2</v>
      </c>
      <c r="J353" s="129"/>
      <c r="K353" s="129" t="s">
        <v>212</v>
      </c>
      <c r="L353" s="129" t="s">
        <v>39</v>
      </c>
      <c r="M353" s="129" t="s">
        <v>40</v>
      </c>
      <c r="N353" s="129" t="s">
        <v>113</v>
      </c>
      <c r="O353" s="129" t="s">
        <v>415</v>
      </c>
      <c r="P353" s="129" t="s">
        <v>200</v>
      </c>
      <c r="Q353" s="129" t="s">
        <v>200</v>
      </c>
      <c r="R353" s="129" t="s">
        <v>654</v>
      </c>
      <c r="S353" s="129" t="s">
        <v>655</v>
      </c>
      <c r="T353" s="129" t="s">
        <v>418</v>
      </c>
    </row>
    <row r="354" spans="1:20" s="21" customFormat="1">
      <c r="A354" s="61" t="s">
        <v>218</v>
      </c>
      <c r="B354" s="129" t="s">
        <v>29</v>
      </c>
      <c r="C354" s="129" t="s">
        <v>34</v>
      </c>
      <c r="D354" s="129" t="s">
        <v>385</v>
      </c>
      <c r="E354" s="61" t="s">
        <v>414</v>
      </c>
      <c r="F354" s="61">
        <v>36000</v>
      </c>
      <c r="G354" s="61">
        <v>12000</v>
      </c>
      <c r="H354" s="61">
        <f>SUM(23*1000)</f>
        <v>23000</v>
      </c>
      <c r="I354" s="161">
        <v>36</v>
      </c>
      <c r="J354" s="129"/>
      <c r="K354" s="129"/>
      <c r="L354" s="129"/>
      <c r="M354" s="129" t="s">
        <v>40</v>
      </c>
      <c r="N354" s="129"/>
      <c r="O354" s="129"/>
      <c r="P354" s="129"/>
      <c r="Q354" s="129"/>
      <c r="R354" s="129"/>
      <c r="S354" s="129"/>
      <c r="T354" s="129"/>
    </row>
    <row r="355" spans="1:20" s="21" customFormat="1">
      <c r="A355" s="61" t="s">
        <v>218</v>
      </c>
      <c r="B355" s="129" t="s">
        <v>29</v>
      </c>
      <c r="C355" s="129" t="s">
        <v>34</v>
      </c>
      <c r="D355" s="129" t="s">
        <v>385</v>
      </c>
      <c r="E355" s="61" t="s">
        <v>421</v>
      </c>
      <c r="F355" s="157">
        <v>9842</v>
      </c>
      <c r="G355" s="61">
        <v>426</v>
      </c>
      <c r="H355" s="61">
        <f>SUM(8.8*1000)</f>
        <v>8800</v>
      </c>
      <c r="I355" s="161">
        <v>5</v>
      </c>
      <c r="J355" s="129"/>
      <c r="K355" s="129"/>
      <c r="L355" s="129"/>
      <c r="M355" s="129" t="s">
        <v>40</v>
      </c>
      <c r="N355" s="129"/>
      <c r="O355" s="129"/>
      <c r="P355" s="129"/>
      <c r="Q355" s="129"/>
      <c r="R355" s="129"/>
      <c r="S355" s="129"/>
      <c r="T355" s="129"/>
    </row>
    <row r="356" spans="1:20" s="21" customFormat="1">
      <c r="A356" s="61" t="s">
        <v>218</v>
      </c>
      <c r="B356" s="129" t="s">
        <v>29</v>
      </c>
      <c r="C356" s="129" t="s">
        <v>34</v>
      </c>
      <c r="D356" s="129" t="s">
        <v>403</v>
      </c>
      <c r="E356" s="61" t="s">
        <v>419</v>
      </c>
      <c r="F356" s="61">
        <f>SUM(36*1000)</f>
        <v>36000</v>
      </c>
      <c r="G356" s="61">
        <f>SUM(1.5*1000)</f>
        <v>1500</v>
      </c>
      <c r="H356" s="61">
        <f>SUM(466*1000)</f>
        <v>466000</v>
      </c>
      <c r="I356" s="161">
        <v>1</v>
      </c>
      <c r="J356" s="129"/>
      <c r="K356" s="129"/>
      <c r="L356" s="129"/>
      <c r="M356" s="129" t="s">
        <v>40</v>
      </c>
      <c r="N356" s="129"/>
      <c r="O356" s="129"/>
      <c r="P356" s="129"/>
      <c r="Q356" s="129"/>
      <c r="R356" s="129"/>
      <c r="S356" s="129"/>
      <c r="T356" s="129"/>
    </row>
    <row r="357" spans="1:20" s="21" customFormat="1">
      <c r="A357" s="61" t="s">
        <v>204</v>
      </c>
      <c r="B357" s="129" t="s">
        <v>29</v>
      </c>
      <c r="C357" s="129" t="s">
        <v>34</v>
      </c>
      <c r="D357" s="129" t="s">
        <v>385</v>
      </c>
      <c r="E357" s="61" t="s">
        <v>414</v>
      </c>
      <c r="F357" s="61">
        <f>SUM(36*1000)</f>
        <v>36000</v>
      </c>
      <c r="G357" s="61">
        <f>SUM(4.7*1000)</f>
        <v>4700</v>
      </c>
      <c r="H357" s="61">
        <f>SUM(30*1000)</f>
        <v>30000</v>
      </c>
      <c r="I357" s="161">
        <v>14</v>
      </c>
      <c r="J357" s="129"/>
      <c r="K357" s="129"/>
      <c r="L357" s="129"/>
      <c r="M357" s="129" t="s">
        <v>40</v>
      </c>
      <c r="N357" s="129"/>
      <c r="O357" s="129"/>
      <c r="P357" s="129"/>
      <c r="Q357" s="129"/>
      <c r="R357" s="129"/>
      <c r="S357" s="129"/>
      <c r="T357" s="129"/>
    </row>
    <row r="358" spans="1:20" s="21" customFormat="1">
      <c r="A358" s="61" t="s">
        <v>204</v>
      </c>
      <c r="B358" s="129" t="s">
        <v>29</v>
      </c>
      <c r="C358" s="129" t="s">
        <v>34</v>
      </c>
      <c r="D358" s="129" t="s">
        <v>385</v>
      </c>
      <c r="E358" s="61" t="s">
        <v>421</v>
      </c>
      <c r="F358" s="157">
        <v>9842</v>
      </c>
      <c r="G358" s="61">
        <v>592</v>
      </c>
      <c r="H358" s="61">
        <f>SUM(8.6*1000)</f>
        <v>8600</v>
      </c>
      <c r="I358" s="161">
        <v>7</v>
      </c>
      <c r="J358" s="129"/>
      <c r="K358" s="129"/>
      <c r="L358" s="129"/>
      <c r="M358" s="129" t="s">
        <v>40</v>
      </c>
      <c r="N358" s="129"/>
      <c r="O358" s="129"/>
      <c r="P358" s="129"/>
      <c r="Q358" s="129"/>
      <c r="R358" s="129"/>
      <c r="S358" s="129"/>
      <c r="T358" s="129"/>
    </row>
    <row r="359" spans="1:20" s="21" customFormat="1">
      <c r="A359" s="61" t="s">
        <v>204</v>
      </c>
      <c r="B359" s="129" t="s">
        <v>29</v>
      </c>
      <c r="C359" s="129" t="s">
        <v>34</v>
      </c>
      <c r="D359" s="129" t="s">
        <v>403</v>
      </c>
      <c r="E359" s="61" t="s">
        <v>656</v>
      </c>
      <c r="F359" s="61">
        <f>SUM(296*1000)</f>
        <v>296000</v>
      </c>
      <c r="G359" s="61">
        <f>SUM(219*1000)</f>
        <v>219000</v>
      </c>
      <c r="H359" s="61">
        <f>SUM(62*1000)</f>
        <v>62000</v>
      </c>
      <c r="I359" s="161">
        <v>79</v>
      </c>
      <c r="J359" s="129"/>
      <c r="K359" s="129"/>
      <c r="L359" s="129"/>
      <c r="M359" s="129" t="s">
        <v>40</v>
      </c>
      <c r="N359" s="129"/>
      <c r="O359" s="129"/>
      <c r="P359" s="129"/>
      <c r="Q359" s="129"/>
      <c r="R359" s="129"/>
      <c r="S359" s="129"/>
      <c r="T359" s="129"/>
    </row>
    <row r="360" spans="1:20" s="21" customFormat="1">
      <c r="A360" s="61" t="s">
        <v>169</v>
      </c>
      <c r="B360" s="129" t="s">
        <v>29</v>
      </c>
      <c r="C360" s="129" t="s">
        <v>34</v>
      </c>
      <c r="D360" s="129" t="s">
        <v>385</v>
      </c>
      <c r="E360" s="61" t="s">
        <v>414</v>
      </c>
      <c r="F360" s="61">
        <f>SUM(36*1000)</f>
        <v>36000</v>
      </c>
      <c r="G360" s="61">
        <f>SUM(12*1000)</f>
        <v>12000</v>
      </c>
      <c r="H360" s="61">
        <f>SUM(23*1000)</f>
        <v>23000</v>
      </c>
      <c r="I360" s="161">
        <v>35</v>
      </c>
      <c r="J360" s="129"/>
      <c r="K360" s="129"/>
      <c r="L360" s="129"/>
      <c r="M360" s="129" t="s">
        <v>40</v>
      </c>
      <c r="N360" s="129"/>
      <c r="O360" s="129"/>
      <c r="P360" s="129"/>
      <c r="Q360" s="129"/>
      <c r="R360" s="129"/>
      <c r="S360" s="129"/>
      <c r="T360" s="129"/>
    </row>
    <row r="361" spans="1:20" s="21" customFormat="1">
      <c r="A361" s="61" t="s">
        <v>169</v>
      </c>
      <c r="B361" s="129" t="s">
        <v>29</v>
      </c>
      <c r="C361" s="129" t="s">
        <v>34</v>
      </c>
      <c r="D361" s="129" t="s">
        <v>385</v>
      </c>
      <c r="E361" s="61" t="s">
        <v>420</v>
      </c>
      <c r="F361" s="157">
        <v>9842</v>
      </c>
      <c r="G361" s="61">
        <v>892</v>
      </c>
      <c r="H361" s="61">
        <f>SUM(8.3*1000)</f>
        <v>8300</v>
      </c>
      <c r="I361" s="161">
        <v>10</v>
      </c>
      <c r="J361" s="129"/>
      <c r="K361" s="129"/>
      <c r="L361" s="129"/>
      <c r="M361" s="129" t="s">
        <v>40</v>
      </c>
      <c r="N361" s="129"/>
      <c r="O361" s="129"/>
      <c r="P361" s="129"/>
      <c r="Q361" s="129"/>
      <c r="R361" s="129"/>
      <c r="S361" s="129"/>
      <c r="T361" s="129"/>
    </row>
    <row r="362" spans="1:20" s="21" customFormat="1">
      <c r="A362" s="61" t="s">
        <v>169</v>
      </c>
      <c r="B362" s="129" t="s">
        <v>29</v>
      </c>
      <c r="C362" s="129" t="s">
        <v>34</v>
      </c>
      <c r="D362" s="129" t="s">
        <v>385</v>
      </c>
      <c r="E362" s="61" t="s">
        <v>421</v>
      </c>
      <c r="F362" s="157">
        <v>9842</v>
      </c>
      <c r="G362" s="61">
        <v>326</v>
      </c>
      <c r="H362" s="61">
        <f>SUM(8.9*1000)</f>
        <v>8900</v>
      </c>
      <c r="I362" s="161">
        <v>4</v>
      </c>
      <c r="J362" s="129"/>
      <c r="K362" s="129"/>
      <c r="L362" s="129"/>
      <c r="M362" s="129" t="s">
        <v>40</v>
      </c>
      <c r="N362" s="129"/>
      <c r="O362" s="129"/>
      <c r="P362" s="129"/>
      <c r="Q362" s="129"/>
      <c r="R362" s="129"/>
      <c r="S362" s="129"/>
      <c r="T362" s="129"/>
    </row>
    <row r="363" spans="1:20" s="21" customFormat="1">
      <c r="A363" s="61" t="s">
        <v>182</v>
      </c>
      <c r="B363" s="129" t="s">
        <v>29</v>
      </c>
      <c r="C363" s="129" t="s">
        <v>34</v>
      </c>
      <c r="D363" s="129" t="s">
        <v>385</v>
      </c>
      <c r="E363" s="61" t="s">
        <v>414</v>
      </c>
      <c r="F363" s="61">
        <f>SUM(36*1000)</f>
        <v>36000</v>
      </c>
      <c r="G363" s="61">
        <f>SUM(13*1000)</f>
        <v>13000</v>
      </c>
      <c r="H363" s="61">
        <f>SUM(23*1000)</f>
        <v>23000</v>
      </c>
      <c r="I363" s="161">
        <v>36</v>
      </c>
      <c r="J363" s="129"/>
      <c r="K363" s="129"/>
      <c r="L363" s="129"/>
      <c r="M363" s="129" t="s">
        <v>40</v>
      </c>
      <c r="N363" s="129"/>
      <c r="O363" s="129"/>
      <c r="P363" s="129"/>
      <c r="Q363" s="129"/>
      <c r="R363" s="129"/>
      <c r="S363" s="129"/>
      <c r="T363" s="129"/>
    </row>
    <row r="364" spans="1:20" s="21" customFormat="1">
      <c r="A364" s="61" t="s">
        <v>182</v>
      </c>
      <c r="B364" s="129" t="s">
        <v>29</v>
      </c>
      <c r="C364" s="129" t="s">
        <v>34</v>
      </c>
      <c r="D364" s="129" t="s">
        <v>385</v>
      </c>
      <c r="E364" s="61" t="s">
        <v>421</v>
      </c>
      <c r="F364" s="157">
        <v>9842</v>
      </c>
      <c r="G364" s="61">
        <v>495</v>
      </c>
      <c r="H364" s="61">
        <f>SUM(8.7*1000)</f>
        <v>8700</v>
      </c>
      <c r="I364" s="161">
        <v>6</v>
      </c>
      <c r="J364" s="129"/>
      <c r="K364" s="129"/>
      <c r="L364" s="129"/>
      <c r="M364" s="129" t="s">
        <v>40</v>
      </c>
      <c r="N364" s="129"/>
      <c r="O364" s="129"/>
      <c r="P364" s="129"/>
      <c r="Q364" s="129"/>
      <c r="R364" s="129"/>
      <c r="S364" s="129"/>
      <c r="T364" s="129"/>
    </row>
    <row r="365" spans="1:20" s="21" customFormat="1">
      <c r="A365" s="61" t="s">
        <v>182</v>
      </c>
      <c r="B365" s="129" t="s">
        <v>29</v>
      </c>
      <c r="C365" s="129" t="s">
        <v>34</v>
      </c>
      <c r="D365" s="129" t="s">
        <v>403</v>
      </c>
      <c r="E365" s="162" t="s">
        <v>657</v>
      </c>
      <c r="F365" s="162">
        <f>SUM(493*1000)</f>
        <v>493000</v>
      </c>
      <c r="G365" s="61">
        <f>SUM(50*1024)</f>
        <v>51200</v>
      </c>
      <c r="H365" s="61">
        <f>SUM(418*1000)</f>
        <v>418000</v>
      </c>
      <c r="I365" s="163">
        <v>11</v>
      </c>
      <c r="J365" s="129"/>
      <c r="K365" s="129"/>
      <c r="L365" s="129"/>
      <c r="M365" s="129" t="s">
        <v>40</v>
      </c>
      <c r="N365" s="129"/>
      <c r="O365" s="129"/>
      <c r="P365" s="129"/>
      <c r="Q365" s="129"/>
      <c r="R365" s="129"/>
      <c r="S365" s="129"/>
      <c r="T365" s="129"/>
    </row>
    <row r="366" spans="1:20" s="21" customFormat="1">
      <c r="A366" s="61" t="s">
        <v>658</v>
      </c>
      <c r="B366" s="129" t="s">
        <v>29</v>
      </c>
      <c r="C366" s="129" t="s">
        <v>34</v>
      </c>
      <c r="D366" s="129" t="s">
        <v>385</v>
      </c>
      <c r="E366" s="61" t="s">
        <v>414</v>
      </c>
      <c r="F366" s="61">
        <f>SUM(36*1000)</f>
        <v>36000</v>
      </c>
      <c r="G366" s="61">
        <f>SUM(4*1024)</f>
        <v>4096</v>
      </c>
      <c r="H366" s="61">
        <f>SUM(31*1000)</f>
        <v>31000</v>
      </c>
      <c r="I366" s="161">
        <v>12</v>
      </c>
      <c r="J366" s="129"/>
      <c r="K366" s="129"/>
      <c r="L366" s="129"/>
      <c r="M366" s="129" t="s">
        <v>40</v>
      </c>
      <c r="N366" s="129"/>
      <c r="O366" s="129"/>
      <c r="P366" s="129"/>
      <c r="Q366" s="129"/>
      <c r="R366" s="129"/>
      <c r="S366" s="129"/>
      <c r="T366" s="129"/>
    </row>
    <row r="367" spans="1:20" s="21" customFormat="1">
      <c r="A367" s="61" t="s">
        <v>658</v>
      </c>
      <c r="B367" s="129" t="s">
        <v>29</v>
      </c>
      <c r="C367" s="129" t="s">
        <v>34</v>
      </c>
      <c r="D367" s="129" t="s">
        <v>385</v>
      </c>
      <c r="E367" s="61" t="s">
        <v>421</v>
      </c>
      <c r="F367" s="157">
        <v>9842</v>
      </c>
      <c r="G367" s="61">
        <v>520</v>
      </c>
      <c r="H367" s="61">
        <f>SUM(8.7*1000)</f>
        <v>8700</v>
      </c>
      <c r="I367" s="161">
        <v>6</v>
      </c>
      <c r="J367" s="129"/>
      <c r="K367" s="129"/>
      <c r="L367" s="129"/>
      <c r="M367" s="129" t="s">
        <v>40</v>
      </c>
      <c r="N367" s="129"/>
      <c r="O367" s="129"/>
      <c r="P367" s="129"/>
      <c r="Q367" s="129"/>
      <c r="R367" s="129"/>
      <c r="S367" s="129"/>
      <c r="T367" s="129"/>
    </row>
    <row r="368" spans="1:20" s="21" customFormat="1">
      <c r="A368" s="61" t="s">
        <v>659</v>
      </c>
      <c r="B368" s="129" t="s">
        <v>29</v>
      </c>
      <c r="C368" s="129" t="s">
        <v>34</v>
      </c>
      <c r="D368" s="129" t="s">
        <v>385</v>
      </c>
      <c r="E368" s="61" t="s">
        <v>414</v>
      </c>
      <c r="F368" s="61">
        <f>SUM(95*1000)</f>
        <v>95000</v>
      </c>
      <c r="G368" s="61">
        <f>SUM(61*1024)</f>
        <v>62464</v>
      </c>
      <c r="H368" s="61">
        <f>SUM(30*1000)</f>
        <v>30000</v>
      </c>
      <c r="I368" s="161">
        <v>68</v>
      </c>
      <c r="J368" s="129"/>
      <c r="K368" s="129"/>
      <c r="L368" s="129"/>
      <c r="M368" s="129" t="s">
        <v>40</v>
      </c>
      <c r="N368" s="129"/>
      <c r="O368" s="129"/>
      <c r="P368" s="129"/>
      <c r="Q368" s="129"/>
      <c r="R368" s="129"/>
      <c r="S368" s="129"/>
      <c r="T368" s="129"/>
    </row>
    <row r="369" spans="1:20" s="21" customFormat="1">
      <c r="A369" s="61" t="s">
        <v>220</v>
      </c>
      <c r="B369" s="129" t="s">
        <v>29</v>
      </c>
      <c r="C369" s="129" t="s">
        <v>34</v>
      </c>
      <c r="D369" s="129" t="s">
        <v>385</v>
      </c>
      <c r="E369" s="61" t="s">
        <v>414</v>
      </c>
      <c r="F369" s="61">
        <f>SUM(36*1000)</f>
        <v>36000</v>
      </c>
      <c r="G369" s="61">
        <f>SUM(12*1024)</f>
        <v>12288</v>
      </c>
      <c r="H369" s="61">
        <f>SUM(23*1000)</f>
        <v>23000</v>
      </c>
      <c r="I369" s="161">
        <v>33</v>
      </c>
      <c r="J369" s="129"/>
      <c r="K369" s="129"/>
      <c r="L369" s="129"/>
      <c r="M369" s="129" t="s">
        <v>40</v>
      </c>
      <c r="N369" s="129"/>
      <c r="O369" s="129"/>
      <c r="P369" s="129"/>
      <c r="Q369" s="129"/>
      <c r="R369" s="129"/>
      <c r="S369" s="129"/>
      <c r="T369" s="129"/>
    </row>
    <row r="370" spans="1:20" s="21" customFormat="1">
      <c r="A370" s="61" t="s">
        <v>220</v>
      </c>
      <c r="B370" s="129" t="s">
        <v>29</v>
      </c>
      <c r="C370" s="129" t="s">
        <v>34</v>
      </c>
      <c r="D370" s="129" t="s">
        <v>385</v>
      </c>
      <c r="E370" s="61" t="s">
        <v>421</v>
      </c>
      <c r="F370" s="157">
        <v>9842</v>
      </c>
      <c r="G370" s="61">
        <v>411</v>
      </c>
      <c r="H370" s="61">
        <f>SUM(8.8*1000)</f>
        <v>8800</v>
      </c>
      <c r="I370" s="161">
        <v>5</v>
      </c>
      <c r="J370" s="129"/>
      <c r="K370" s="129"/>
      <c r="L370" s="129"/>
      <c r="M370" s="129" t="s">
        <v>40</v>
      </c>
      <c r="N370" s="129"/>
      <c r="O370" s="129"/>
      <c r="P370" s="129"/>
      <c r="Q370" s="129"/>
      <c r="R370" s="129"/>
      <c r="S370" s="129"/>
      <c r="T370" s="129"/>
    </row>
    <row r="371" spans="1:20" s="21" customFormat="1">
      <c r="A371" s="61" t="s">
        <v>220</v>
      </c>
      <c r="B371" s="129" t="s">
        <v>29</v>
      </c>
      <c r="C371" s="129" t="s">
        <v>34</v>
      </c>
      <c r="D371" s="129" t="s">
        <v>403</v>
      </c>
      <c r="E371" s="61" t="s">
        <v>419</v>
      </c>
      <c r="F371" s="21">
        <f>SUM(493*1000)</f>
        <v>493000</v>
      </c>
      <c r="G371" s="61">
        <v>70</v>
      </c>
      <c r="H371" s="61">
        <f>SUM(467*1000)</f>
        <v>467000</v>
      </c>
      <c r="I371" s="161">
        <v>1</v>
      </c>
      <c r="J371" s="129"/>
      <c r="K371" s="129"/>
      <c r="L371" s="129"/>
      <c r="M371" s="129" t="s">
        <v>40</v>
      </c>
      <c r="N371" s="129"/>
      <c r="O371" s="129"/>
      <c r="P371" s="129"/>
      <c r="Q371" s="129"/>
      <c r="R371" s="129"/>
      <c r="S371" s="129"/>
      <c r="T371" s="129"/>
    </row>
    <row r="372" spans="1:20" s="21" customFormat="1">
      <c r="A372" s="61" t="s">
        <v>660</v>
      </c>
      <c r="B372" s="129" t="s">
        <v>29</v>
      </c>
      <c r="C372" s="129" t="s">
        <v>34</v>
      </c>
      <c r="D372" s="129" t="s">
        <v>385</v>
      </c>
      <c r="E372" s="61" t="s">
        <v>414</v>
      </c>
      <c r="F372" s="61">
        <f>SUM(36*1000)</f>
        <v>36000</v>
      </c>
      <c r="G372" s="61">
        <f>SUM(5.4*1024)</f>
        <v>5529.6</v>
      </c>
      <c r="H372" s="61">
        <f>SUM(29*1000)</f>
        <v>29000</v>
      </c>
      <c r="I372" s="161">
        <v>16</v>
      </c>
      <c r="J372" s="129"/>
      <c r="K372" s="129"/>
      <c r="L372" s="129"/>
      <c r="M372" s="129" t="s">
        <v>40</v>
      </c>
      <c r="N372" s="129"/>
      <c r="O372" s="129"/>
      <c r="P372" s="129"/>
      <c r="Q372" s="129"/>
      <c r="R372" s="129"/>
      <c r="S372" s="129"/>
      <c r="T372" s="129"/>
    </row>
    <row r="373" spans="1:20" s="21" customFormat="1">
      <c r="A373" s="61" t="s">
        <v>660</v>
      </c>
      <c r="B373" s="129" t="s">
        <v>29</v>
      </c>
      <c r="C373" s="129" t="s">
        <v>34</v>
      </c>
      <c r="D373" s="129" t="s">
        <v>385</v>
      </c>
      <c r="E373" s="61" t="s">
        <v>421</v>
      </c>
      <c r="F373" s="157">
        <v>9842</v>
      </c>
      <c r="G373" s="61">
        <v>555</v>
      </c>
      <c r="H373" s="61">
        <f>SUM(8.6*1000)</f>
        <v>8600</v>
      </c>
      <c r="I373" s="161">
        <v>6</v>
      </c>
      <c r="J373" s="129"/>
      <c r="K373" s="129"/>
      <c r="L373" s="129"/>
      <c r="M373" s="129" t="s">
        <v>40</v>
      </c>
      <c r="N373" s="129"/>
      <c r="O373" s="129"/>
      <c r="P373" s="129"/>
      <c r="Q373" s="129"/>
      <c r="R373" s="129"/>
      <c r="S373" s="129"/>
      <c r="T373" s="129"/>
    </row>
    <row r="374" spans="1:20" s="21" customFormat="1">
      <c r="A374" s="61" t="s">
        <v>201</v>
      </c>
      <c r="B374" s="129" t="s">
        <v>29</v>
      </c>
      <c r="C374" s="129" t="s">
        <v>34</v>
      </c>
      <c r="D374" s="129" t="s">
        <v>385</v>
      </c>
      <c r="E374" s="61" t="s">
        <v>414</v>
      </c>
      <c r="F374" s="61">
        <f>SUM(36*1000)</f>
        <v>36000</v>
      </c>
      <c r="G374" s="61">
        <f>SUM(4.7*1024)</f>
        <v>4812.8</v>
      </c>
      <c r="H374" s="61">
        <f>SUM(30*1000)</f>
        <v>30000</v>
      </c>
      <c r="I374" s="161">
        <v>14</v>
      </c>
      <c r="J374" s="129"/>
      <c r="K374" s="129"/>
      <c r="L374" s="129"/>
      <c r="M374" s="129" t="s">
        <v>40</v>
      </c>
      <c r="N374" s="129"/>
      <c r="O374" s="129"/>
      <c r="P374" s="129"/>
      <c r="Q374" s="129"/>
      <c r="R374" s="129"/>
      <c r="S374" s="129"/>
      <c r="T374" s="129"/>
    </row>
    <row r="375" spans="1:20" s="21" customFormat="1">
      <c r="A375" s="61" t="s">
        <v>201</v>
      </c>
      <c r="B375" s="129" t="s">
        <v>29</v>
      </c>
      <c r="C375" s="129" t="s">
        <v>34</v>
      </c>
      <c r="D375" s="129" t="s">
        <v>385</v>
      </c>
      <c r="E375" s="61" t="s">
        <v>421</v>
      </c>
      <c r="F375" s="157">
        <v>9842</v>
      </c>
      <c r="G375" s="61">
        <v>592</v>
      </c>
      <c r="H375" s="61">
        <f>SUM(8.6*1000)</f>
        <v>8600</v>
      </c>
      <c r="I375" s="161">
        <v>7</v>
      </c>
      <c r="J375" s="129"/>
      <c r="K375" s="129"/>
      <c r="L375" s="129"/>
      <c r="M375" s="129" t="s">
        <v>40</v>
      </c>
      <c r="N375" s="129"/>
      <c r="O375" s="129"/>
      <c r="P375" s="129"/>
      <c r="Q375" s="129"/>
      <c r="R375" s="129"/>
      <c r="S375" s="129"/>
      <c r="T375" s="129"/>
    </row>
    <row r="376" spans="1:20" s="21" customFormat="1">
      <c r="A376" s="129" t="s">
        <v>150</v>
      </c>
      <c r="B376" s="129" t="s">
        <v>29</v>
      </c>
      <c r="C376" s="129" t="s">
        <v>34</v>
      </c>
      <c r="D376" s="129" t="s">
        <v>385</v>
      </c>
      <c r="E376" s="129" t="s">
        <v>430</v>
      </c>
      <c r="F376" s="157">
        <v>472</v>
      </c>
      <c r="G376" s="157">
        <v>469</v>
      </c>
      <c r="H376" s="157">
        <v>0</v>
      </c>
      <c r="I376" s="157">
        <v>100</v>
      </c>
      <c r="J376" s="129"/>
      <c r="K376" s="129"/>
      <c r="L376" s="129"/>
      <c r="M376" s="129" t="s">
        <v>40</v>
      </c>
      <c r="N376" s="129"/>
      <c r="O376" s="129"/>
      <c r="P376" s="129"/>
      <c r="Q376" s="129"/>
      <c r="R376" s="129"/>
      <c r="S376" s="129"/>
      <c r="T376" s="129"/>
    </row>
    <row r="377" spans="1:20" s="21" customFormat="1">
      <c r="A377" s="129" t="s">
        <v>150</v>
      </c>
      <c r="B377" s="129" t="s">
        <v>29</v>
      </c>
      <c r="C377" s="129" t="s">
        <v>34</v>
      </c>
      <c r="D377" s="129" t="s">
        <v>385</v>
      </c>
      <c r="E377" s="129" t="s">
        <v>414</v>
      </c>
      <c r="F377" s="157">
        <f>SUM(64*1000)</f>
        <v>64000</v>
      </c>
      <c r="G377" s="61">
        <f>SUM(6.6*1024)</f>
        <v>6758.4</v>
      </c>
      <c r="H377" s="61">
        <f>SUM(55*1024)</f>
        <v>56320</v>
      </c>
      <c r="I377" s="157">
        <v>11</v>
      </c>
      <c r="J377" s="129"/>
      <c r="K377" s="129"/>
      <c r="L377" s="129"/>
      <c r="M377" s="129" t="s">
        <v>40</v>
      </c>
      <c r="N377" s="129"/>
      <c r="O377" s="129"/>
      <c r="P377" s="129"/>
      <c r="Q377" s="129"/>
      <c r="R377" s="129"/>
      <c r="S377" s="129"/>
      <c r="T377" s="129"/>
    </row>
    <row r="378" spans="1:20" s="21" customFormat="1">
      <c r="A378" s="129" t="s">
        <v>69</v>
      </c>
      <c r="B378" s="129" t="s">
        <v>29</v>
      </c>
      <c r="C378" s="129" t="s">
        <v>34</v>
      </c>
      <c r="D378" s="129" t="s">
        <v>385</v>
      </c>
      <c r="E378" s="129" t="s">
        <v>414</v>
      </c>
      <c r="F378" s="157">
        <f>SUM(39*1000)</f>
        <v>39000</v>
      </c>
      <c r="G378" s="61">
        <f>SUM(36*1024)</f>
        <v>36864</v>
      </c>
      <c r="H378" s="61">
        <f>SUM(1.6*1000)</f>
        <v>1600</v>
      </c>
      <c r="I378" s="157">
        <v>96</v>
      </c>
      <c r="J378" s="129"/>
      <c r="K378" s="129"/>
      <c r="L378" s="129"/>
      <c r="M378" s="129" t="s">
        <v>40</v>
      </c>
      <c r="N378" s="129"/>
      <c r="O378" s="129"/>
      <c r="P378" s="129"/>
      <c r="Q378" s="129"/>
      <c r="R378" s="129"/>
      <c r="S378" s="129"/>
      <c r="T378" s="129"/>
    </row>
    <row r="379" spans="1:20">
      <c r="A379" s="129" t="s">
        <v>69</v>
      </c>
      <c r="B379" s="129" t="s">
        <v>29</v>
      </c>
      <c r="C379" s="129" t="s">
        <v>34</v>
      </c>
      <c r="D379" s="129" t="s">
        <v>403</v>
      </c>
      <c r="E379" s="21" t="s">
        <v>419</v>
      </c>
      <c r="F379" s="21">
        <f>SUM(99*1000)</f>
        <v>99000</v>
      </c>
      <c r="G379" s="61">
        <f>SUM(34*1024)</f>
        <v>34816</v>
      </c>
      <c r="H379" s="61">
        <f>SUM(60*1000)</f>
        <v>60000</v>
      </c>
      <c r="I379" s="164">
        <v>37</v>
      </c>
      <c r="M379" s="129" t="s">
        <v>40</v>
      </c>
    </row>
    <row r="380" spans="1:20">
      <c r="A380" s="129" t="s">
        <v>77</v>
      </c>
      <c r="B380" s="129" t="s">
        <v>29</v>
      </c>
      <c r="C380" s="129" t="s">
        <v>34</v>
      </c>
      <c r="D380" s="21" t="s">
        <v>385</v>
      </c>
      <c r="E380" s="21" t="s">
        <v>414</v>
      </c>
      <c r="F380" s="21">
        <v>40000</v>
      </c>
      <c r="M380" s="129" t="s">
        <v>40</v>
      </c>
    </row>
    <row r="381" spans="1:20">
      <c r="A381" s="129" t="s">
        <v>172</v>
      </c>
      <c r="B381" s="129" t="s">
        <v>173</v>
      </c>
      <c r="C381" s="129" t="s">
        <v>34</v>
      </c>
      <c r="D381" s="21" t="s">
        <v>385</v>
      </c>
      <c r="E381" s="21" t="s">
        <v>420</v>
      </c>
      <c r="F381" s="157">
        <v>5120</v>
      </c>
      <c r="M381" s="129" t="s">
        <v>40</v>
      </c>
    </row>
    <row r="382" spans="1:20">
      <c r="A382" s="129" t="s">
        <v>172</v>
      </c>
      <c r="B382" s="129" t="s">
        <v>173</v>
      </c>
      <c r="C382" s="129" t="s">
        <v>34</v>
      </c>
      <c r="D382" s="21" t="s">
        <v>385</v>
      </c>
      <c r="E382" s="21" t="s">
        <v>414</v>
      </c>
      <c r="F382" s="157">
        <v>61440</v>
      </c>
      <c r="M382" s="129" t="s">
        <v>40</v>
      </c>
    </row>
    <row r="383" spans="1:20">
      <c r="A383" s="129" t="s">
        <v>172</v>
      </c>
      <c r="B383" s="129" t="s">
        <v>173</v>
      </c>
      <c r="C383" s="129" t="s">
        <v>34</v>
      </c>
      <c r="D383" s="21" t="s">
        <v>403</v>
      </c>
      <c r="E383" s="21" t="s">
        <v>419</v>
      </c>
      <c r="F383" s="157">
        <v>409600</v>
      </c>
      <c r="M383" s="129" t="s">
        <v>40</v>
      </c>
    </row>
    <row r="384" spans="1:20">
      <c r="A384" s="129" t="s">
        <v>184</v>
      </c>
      <c r="B384" s="129" t="s">
        <v>173</v>
      </c>
      <c r="C384" s="129" t="s">
        <v>34</v>
      </c>
      <c r="D384" s="21" t="s">
        <v>385</v>
      </c>
      <c r="E384" s="21" t="s">
        <v>420</v>
      </c>
      <c r="F384" s="157">
        <v>20480</v>
      </c>
      <c r="M384" s="129" t="s">
        <v>40</v>
      </c>
    </row>
    <row r="385" spans="1:13">
      <c r="A385" s="129" t="s">
        <v>184</v>
      </c>
      <c r="B385" s="129" t="s">
        <v>173</v>
      </c>
      <c r="C385" s="129" t="s">
        <v>34</v>
      </c>
      <c r="D385" s="21" t="s">
        <v>385</v>
      </c>
      <c r="E385" s="21" t="s">
        <v>414</v>
      </c>
      <c r="F385" s="157">
        <v>102400</v>
      </c>
      <c r="M385" s="129" t="s">
        <v>40</v>
      </c>
    </row>
    <row r="386" spans="1:13">
      <c r="A386" s="129" t="s">
        <v>184</v>
      </c>
      <c r="B386" s="129" t="s">
        <v>173</v>
      </c>
      <c r="C386" s="129" t="s">
        <v>34</v>
      </c>
      <c r="D386" s="21" t="s">
        <v>403</v>
      </c>
      <c r="E386" s="21" t="s">
        <v>419</v>
      </c>
      <c r="F386" s="157">
        <v>102400</v>
      </c>
      <c r="M386" s="129" t="s">
        <v>40</v>
      </c>
    </row>
    <row r="387" spans="1:13">
      <c r="A387" s="129" t="s">
        <v>185</v>
      </c>
      <c r="B387" s="129" t="s">
        <v>173</v>
      </c>
      <c r="C387" s="129" t="s">
        <v>34</v>
      </c>
      <c r="D387" s="21" t="s">
        <v>385</v>
      </c>
      <c r="E387" s="21" t="s">
        <v>420</v>
      </c>
      <c r="F387" s="157">
        <v>20480</v>
      </c>
      <c r="M387" s="129" t="s">
        <v>40</v>
      </c>
    </row>
    <row r="388" spans="1:13">
      <c r="A388" s="129" t="s">
        <v>185</v>
      </c>
      <c r="B388" s="129" t="s">
        <v>173</v>
      </c>
      <c r="C388" s="129" t="s">
        <v>34</v>
      </c>
      <c r="D388" s="21" t="s">
        <v>385</v>
      </c>
      <c r="E388" s="21" t="s">
        <v>414</v>
      </c>
      <c r="F388" s="157">
        <v>102400</v>
      </c>
      <c r="M388" s="129" t="s">
        <v>40</v>
      </c>
    </row>
    <row r="389" spans="1:13">
      <c r="A389" s="129" t="s">
        <v>185</v>
      </c>
      <c r="B389" s="129" t="s">
        <v>173</v>
      </c>
      <c r="C389" s="129" t="s">
        <v>34</v>
      </c>
      <c r="D389" s="21" t="s">
        <v>403</v>
      </c>
      <c r="E389" s="21" t="s">
        <v>419</v>
      </c>
      <c r="F389" s="157">
        <v>102400</v>
      </c>
      <c r="M389" s="129" t="s">
        <v>40</v>
      </c>
    </row>
    <row r="390" spans="1:13">
      <c r="A390" s="129" t="s">
        <v>224</v>
      </c>
      <c r="B390" s="129" t="s">
        <v>173</v>
      </c>
      <c r="C390" s="129" t="s">
        <v>34</v>
      </c>
      <c r="D390" s="21" t="s">
        <v>385</v>
      </c>
      <c r="E390" s="21" t="s">
        <v>463</v>
      </c>
      <c r="F390" s="157">
        <v>61440</v>
      </c>
      <c r="M390" s="129" t="s">
        <v>40</v>
      </c>
    </row>
    <row r="391" spans="1:13">
      <c r="A391" s="129" t="s">
        <v>224</v>
      </c>
      <c r="B391" s="129"/>
      <c r="C391" s="129"/>
      <c r="D391" s="21" t="s">
        <v>403</v>
      </c>
      <c r="E391" s="21" t="s">
        <v>459</v>
      </c>
      <c r="F391" s="157">
        <v>10485760</v>
      </c>
      <c r="M391" s="129" t="s">
        <v>40</v>
      </c>
    </row>
    <row r="392" spans="1:13">
      <c r="A392" s="129" t="s">
        <v>661</v>
      </c>
      <c r="B392" s="129"/>
      <c r="C392" s="129"/>
      <c r="D392" s="21" t="s">
        <v>385</v>
      </c>
      <c r="E392" s="61" t="s">
        <v>414</v>
      </c>
      <c r="F392" s="61">
        <v>201728</v>
      </c>
      <c r="G392" s="61">
        <v>49152</v>
      </c>
      <c r="H392" s="61">
        <v>142336</v>
      </c>
      <c r="I392" s="67">
        <v>0.26</v>
      </c>
      <c r="M392" s="21" t="s">
        <v>662</v>
      </c>
    </row>
    <row r="393" spans="1:13">
      <c r="A393" s="129" t="s">
        <v>661</v>
      </c>
      <c r="D393" s="21" t="s">
        <v>540</v>
      </c>
      <c r="E393" s="61" t="s">
        <v>663</v>
      </c>
      <c r="F393" s="61">
        <v>5120000</v>
      </c>
      <c r="G393" s="61">
        <v>1433600</v>
      </c>
      <c r="H393" s="61">
        <v>3379200</v>
      </c>
      <c r="I393" s="67">
        <v>0.3</v>
      </c>
      <c r="M393" s="21" t="s">
        <v>662</v>
      </c>
    </row>
    <row r="394" spans="1:13">
      <c r="A394" s="129" t="s">
        <v>661</v>
      </c>
      <c r="D394" s="21" t="s">
        <v>385</v>
      </c>
      <c r="E394" s="61" t="s">
        <v>420</v>
      </c>
      <c r="F394" s="61">
        <v>843776</v>
      </c>
      <c r="G394" s="61">
        <v>214</v>
      </c>
      <c r="H394" s="61">
        <v>800768</v>
      </c>
      <c r="I394" s="67">
        <v>0.01</v>
      </c>
      <c r="M394" s="21" t="s">
        <v>662</v>
      </c>
    </row>
    <row r="395" spans="1:13">
      <c r="A395" s="129" t="s">
        <v>661</v>
      </c>
      <c r="D395" s="21" t="s">
        <v>540</v>
      </c>
      <c r="E395" s="61" t="s">
        <v>664</v>
      </c>
      <c r="F395" s="61">
        <v>5120000</v>
      </c>
      <c r="G395" s="61">
        <v>838656</v>
      </c>
      <c r="H395" s="61">
        <v>3993600</v>
      </c>
      <c r="I395" s="67">
        <v>0.18</v>
      </c>
      <c r="M395" s="21" t="s">
        <v>662</v>
      </c>
    </row>
    <row r="396" spans="1:13">
      <c r="A396" s="129" t="s">
        <v>661</v>
      </c>
      <c r="D396" s="129" t="s">
        <v>403</v>
      </c>
      <c r="E396" s="61" t="s">
        <v>665</v>
      </c>
      <c r="F396" s="61">
        <v>20480000</v>
      </c>
      <c r="G396" s="61">
        <v>20</v>
      </c>
      <c r="H396" s="61">
        <v>20480000</v>
      </c>
      <c r="I396" s="67">
        <v>0.01</v>
      </c>
      <c r="M396" s="21" t="s">
        <v>662</v>
      </c>
    </row>
    <row r="397" spans="1:13">
      <c r="A397" s="129" t="s">
        <v>661</v>
      </c>
      <c r="D397" s="21" t="s">
        <v>540</v>
      </c>
      <c r="E397" s="61" t="s">
        <v>666</v>
      </c>
      <c r="F397" s="61">
        <v>5120000</v>
      </c>
      <c r="G397" s="61">
        <v>979968</v>
      </c>
      <c r="H397" s="61">
        <v>3891200</v>
      </c>
      <c r="I397" s="67">
        <v>0.2</v>
      </c>
      <c r="M397" s="21" t="s">
        <v>662</v>
      </c>
    </row>
    <row r="398" spans="1:13">
      <c r="A398" s="129" t="s">
        <v>661</v>
      </c>
      <c r="D398" s="129" t="s">
        <v>403</v>
      </c>
      <c r="E398" s="61" t="s">
        <v>667</v>
      </c>
      <c r="F398" s="61">
        <v>20480000</v>
      </c>
      <c r="G398" s="61">
        <v>9523200</v>
      </c>
      <c r="H398" s="61">
        <v>11264000</v>
      </c>
      <c r="I398" s="67">
        <v>0.47</v>
      </c>
      <c r="M398" s="21" t="s">
        <v>662</v>
      </c>
    </row>
    <row r="399" spans="1:13">
      <c r="A399" s="129" t="s">
        <v>661</v>
      </c>
      <c r="D399" s="129" t="s">
        <v>403</v>
      </c>
      <c r="E399" s="61" t="s">
        <v>668</v>
      </c>
      <c r="F399" s="61">
        <v>20480000</v>
      </c>
      <c r="G399" s="61">
        <v>18432000</v>
      </c>
      <c r="H399" s="61">
        <v>2560000</v>
      </c>
      <c r="I399" s="67">
        <v>0.88</v>
      </c>
      <c r="M399" s="21" t="s">
        <v>662</v>
      </c>
    </row>
    <row r="400" spans="1:13">
      <c r="A400" s="129" t="s">
        <v>661</v>
      </c>
      <c r="D400" s="21" t="s">
        <v>385</v>
      </c>
      <c r="E400" s="61" t="s">
        <v>421</v>
      </c>
      <c r="F400" s="61">
        <v>59392</v>
      </c>
      <c r="G400" s="61">
        <v>44032</v>
      </c>
      <c r="H400" s="61">
        <v>13312</v>
      </c>
      <c r="I400" s="67">
        <v>0.78</v>
      </c>
      <c r="M400" s="21" t="s">
        <v>662</v>
      </c>
    </row>
    <row r="401" spans="1:16378">
      <c r="A401" s="129" t="s">
        <v>661</v>
      </c>
      <c r="D401" s="129" t="s">
        <v>403</v>
      </c>
      <c r="E401" s="61" t="s">
        <v>669</v>
      </c>
      <c r="F401" s="61">
        <v>12288000</v>
      </c>
      <c r="G401" s="61">
        <v>11264000</v>
      </c>
      <c r="H401" s="61">
        <v>659456</v>
      </c>
      <c r="I401" s="67">
        <v>0.95</v>
      </c>
      <c r="M401" s="21" t="s">
        <v>662</v>
      </c>
    </row>
    <row r="402" spans="1:16378">
      <c r="A402" s="129" t="s">
        <v>661</v>
      </c>
      <c r="D402" s="129" t="s">
        <v>385</v>
      </c>
      <c r="E402" s="61" t="s">
        <v>670</v>
      </c>
      <c r="F402" s="61">
        <v>98304</v>
      </c>
      <c r="G402" s="61">
        <v>18432</v>
      </c>
      <c r="H402" s="61">
        <v>75776</v>
      </c>
      <c r="I402" s="67">
        <v>0.2</v>
      </c>
      <c r="M402" s="21" t="s">
        <v>662</v>
      </c>
    </row>
    <row r="403" spans="1:16378">
      <c r="A403" s="129" t="s">
        <v>661</v>
      </c>
      <c r="D403" s="21" t="s">
        <v>540</v>
      </c>
      <c r="E403" s="61" t="s">
        <v>671</v>
      </c>
      <c r="F403" s="61">
        <v>5120000</v>
      </c>
      <c r="G403" s="61">
        <v>619520</v>
      </c>
      <c r="H403" s="61">
        <v>4198400</v>
      </c>
      <c r="I403" s="67">
        <v>0.13</v>
      </c>
      <c r="M403" s="21" t="s">
        <v>662</v>
      </c>
    </row>
    <row r="404" spans="1:16378">
      <c r="A404" s="129" t="s">
        <v>661</v>
      </c>
      <c r="D404" s="129" t="s">
        <v>403</v>
      </c>
      <c r="E404" s="61" t="s">
        <v>672</v>
      </c>
      <c r="F404" s="61">
        <v>18432000</v>
      </c>
      <c r="G404" s="61">
        <v>16384000</v>
      </c>
      <c r="H404" s="61">
        <v>1126400</v>
      </c>
      <c r="I404" s="67">
        <v>0.94</v>
      </c>
      <c r="M404" s="21" t="s">
        <v>662</v>
      </c>
    </row>
    <row r="405" spans="1:16378">
      <c r="A405" s="129" t="s">
        <v>661</v>
      </c>
      <c r="D405" s="21" t="s">
        <v>540</v>
      </c>
      <c r="E405" s="61" t="s">
        <v>673</v>
      </c>
      <c r="F405" s="61">
        <v>2048000</v>
      </c>
      <c r="G405" s="61">
        <v>1331200</v>
      </c>
      <c r="H405" s="61">
        <v>718848</v>
      </c>
      <c r="I405" s="67">
        <v>0.66</v>
      </c>
      <c r="M405" s="21" t="s">
        <v>662</v>
      </c>
    </row>
    <row r="406" spans="1:16378">
      <c r="A406" s="129" t="s">
        <v>661</v>
      </c>
      <c r="D406" s="129" t="s">
        <v>403</v>
      </c>
      <c r="E406" s="61" t="s">
        <v>674</v>
      </c>
      <c r="F406" s="61">
        <v>3072000</v>
      </c>
      <c r="G406" s="61">
        <v>2150400</v>
      </c>
      <c r="H406" s="61">
        <v>1043456</v>
      </c>
      <c r="I406" s="67">
        <v>0.67</v>
      </c>
      <c r="M406" s="21" t="s">
        <v>662</v>
      </c>
    </row>
    <row r="407" spans="1:16378">
      <c r="A407" s="129" t="s">
        <v>661</v>
      </c>
      <c r="D407" s="129" t="s">
        <v>403</v>
      </c>
      <c r="E407" s="61" t="s">
        <v>675</v>
      </c>
      <c r="F407" s="61">
        <v>2048000</v>
      </c>
      <c r="G407" s="61">
        <v>1331200</v>
      </c>
      <c r="H407" s="61">
        <v>792576</v>
      </c>
      <c r="I407" s="67">
        <v>0.63</v>
      </c>
      <c r="M407" s="21" t="s">
        <v>662</v>
      </c>
    </row>
    <row r="408" spans="1:16378">
      <c r="A408" s="129" t="s">
        <v>661</v>
      </c>
      <c r="D408" s="129" t="s">
        <v>403</v>
      </c>
      <c r="E408" s="61" t="s">
        <v>676</v>
      </c>
      <c r="F408" s="61">
        <v>12288000</v>
      </c>
      <c r="G408" s="61">
        <v>9113600</v>
      </c>
      <c r="H408" s="61">
        <v>3276800</v>
      </c>
      <c r="I408" s="67">
        <v>0.74</v>
      </c>
      <c r="M408" s="21" t="s">
        <v>662</v>
      </c>
    </row>
    <row r="409" spans="1:16378" s="166" customFormat="1">
      <c r="A409" s="171" t="s">
        <v>677</v>
      </c>
      <c r="B409" s="172"/>
      <c r="C409" s="172"/>
      <c r="D409" s="171" t="s">
        <v>403</v>
      </c>
      <c r="E409" s="173" t="s">
        <v>678</v>
      </c>
      <c r="F409" s="173">
        <v>10240000</v>
      </c>
      <c r="G409" s="173">
        <v>5120000</v>
      </c>
      <c r="H409" s="173">
        <v>5222400</v>
      </c>
      <c r="I409" s="174">
        <v>0.5</v>
      </c>
      <c r="J409" s="172"/>
      <c r="K409" s="172"/>
      <c r="L409" s="172"/>
      <c r="M409" s="172" t="s">
        <v>662</v>
      </c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  <c r="AN409" s="172"/>
      <c r="AO409" s="172"/>
      <c r="AP409" s="172"/>
      <c r="AQ409" s="172"/>
      <c r="AR409" s="172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2"/>
      <c r="BZ409" s="172"/>
      <c r="CA409" s="172"/>
      <c r="CB409" s="172"/>
      <c r="CC409" s="172"/>
      <c r="CD409" s="172"/>
      <c r="CE409" s="172"/>
      <c r="CF409" s="172"/>
      <c r="CG409" s="172"/>
      <c r="CH409" s="172"/>
      <c r="CI409" s="172"/>
      <c r="CJ409" s="172"/>
      <c r="CK409" s="172"/>
      <c r="CL409" s="172"/>
      <c r="CM409" s="172"/>
      <c r="CN409" s="172"/>
      <c r="CO409" s="172"/>
      <c r="CP409" s="172"/>
      <c r="CQ409" s="172"/>
      <c r="CR409" s="172"/>
      <c r="CS409" s="172"/>
      <c r="CT409" s="172"/>
      <c r="CU409" s="172"/>
      <c r="CV409" s="172"/>
      <c r="CW409" s="172"/>
      <c r="CX409" s="172"/>
      <c r="CY409" s="172"/>
      <c r="CZ409" s="172"/>
      <c r="DA409" s="172"/>
      <c r="DB409" s="172"/>
      <c r="DC409" s="172"/>
      <c r="DD409" s="172"/>
      <c r="DE409" s="172"/>
      <c r="DF409" s="172"/>
      <c r="DG409" s="172"/>
      <c r="DH409" s="172"/>
      <c r="DI409" s="172"/>
      <c r="DJ409" s="172"/>
      <c r="DK409" s="172"/>
      <c r="DL409" s="172"/>
      <c r="DM409" s="172"/>
      <c r="DN409" s="172"/>
      <c r="DO409" s="172"/>
      <c r="DP409" s="172"/>
      <c r="DQ409" s="172"/>
      <c r="DR409" s="172"/>
      <c r="DS409" s="172"/>
      <c r="DT409" s="172"/>
      <c r="DU409" s="172"/>
      <c r="DV409" s="172"/>
      <c r="DW409" s="172"/>
      <c r="DX409" s="172"/>
      <c r="DY409" s="172"/>
      <c r="DZ409" s="172"/>
      <c r="EA409" s="172"/>
      <c r="EB409" s="172"/>
      <c r="EC409" s="172"/>
      <c r="ED409" s="172"/>
      <c r="EE409" s="172"/>
      <c r="EF409" s="172"/>
      <c r="EG409" s="172"/>
      <c r="EH409" s="172"/>
      <c r="EI409" s="172"/>
      <c r="EJ409" s="172"/>
      <c r="EK409" s="172"/>
      <c r="EL409" s="172"/>
      <c r="EM409" s="172"/>
      <c r="EN409" s="172"/>
      <c r="EO409" s="172"/>
      <c r="EP409" s="172"/>
      <c r="EQ409" s="172"/>
      <c r="ER409" s="172"/>
      <c r="ES409" s="172"/>
      <c r="ET409" s="172"/>
      <c r="EU409" s="172"/>
      <c r="EV409" s="172"/>
      <c r="EW409" s="172"/>
      <c r="EX409" s="172"/>
      <c r="EY409" s="172"/>
      <c r="EZ409" s="172"/>
      <c r="FA409" s="172"/>
      <c r="FB409" s="172"/>
      <c r="FC409" s="172"/>
      <c r="FD409" s="172"/>
      <c r="FE409" s="172"/>
      <c r="FF409" s="172"/>
      <c r="FG409" s="172"/>
      <c r="FH409" s="172"/>
      <c r="FI409" s="172"/>
      <c r="FJ409" s="172"/>
      <c r="FK409" s="172"/>
      <c r="FL409" s="172"/>
      <c r="FM409" s="172"/>
      <c r="FN409" s="172"/>
      <c r="FO409" s="172"/>
      <c r="FP409" s="172"/>
      <c r="FQ409" s="172"/>
      <c r="FR409" s="172"/>
      <c r="FS409" s="172"/>
      <c r="FT409" s="172"/>
      <c r="FU409" s="172"/>
      <c r="FV409" s="172"/>
      <c r="FW409" s="172"/>
      <c r="FX409" s="172"/>
      <c r="FY409" s="172"/>
      <c r="FZ409" s="172"/>
      <c r="GA409" s="172"/>
      <c r="GB409" s="172"/>
      <c r="GC409" s="172"/>
      <c r="GD409" s="172"/>
      <c r="GE409" s="172"/>
      <c r="GF409" s="172"/>
      <c r="GG409" s="172"/>
      <c r="GH409" s="172"/>
      <c r="GI409" s="172"/>
      <c r="GJ409" s="172"/>
      <c r="GK409" s="172"/>
      <c r="GL409" s="172"/>
      <c r="GM409" s="172"/>
      <c r="GN409" s="172"/>
      <c r="GO409" s="172"/>
      <c r="GP409" s="172"/>
      <c r="GQ409" s="172"/>
      <c r="GR409" s="172"/>
      <c r="GS409" s="172"/>
      <c r="GT409" s="172"/>
      <c r="GU409" s="172"/>
      <c r="GV409" s="172"/>
      <c r="GW409" s="172"/>
      <c r="GX409" s="172"/>
      <c r="GY409" s="172"/>
      <c r="GZ409" s="172"/>
      <c r="HA409" s="172"/>
      <c r="HB409" s="172"/>
      <c r="HC409" s="172"/>
      <c r="HD409" s="172"/>
      <c r="HE409" s="172"/>
      <c r="HF409" s="172"/>
      <c r="HG409" s="172"/>
      <c r="HH409" s="172"/>
      <c r="HI409" s="172"/>
      <c r="HJ409" s="172"/>
      <c r="HK409" s="172"/>
      <c r="HL409" s="172"/>
      <c r="HM409" s="172"/>
      <c r="HN409" s="172"/>
      <c r="HO409" s="172"/>
      <c r="HP409" s="172"/>
      <c r="HQ409" s="172"/>
      <c r="HR409" s="172"/>
      <c r="HS409" s="172"/>
      <c r="HT409" s="172"/>
      <c r="HU409" s="172"/>
      <c r="HV409" s="172"/>
      <c r="HW409" s="172"/>
      <c r="HX409" s="172"/>
      <c r="HY409" s="172"/>
      <c r="HZ409" s="172"/>
      <c r="IA409" s="172"/>
      <c r="IB409" s="172"/>
      <c r="IC409" s="172"/>
      <c r="ID409" s="172"/>
      <c r="IE409" s="172"/>
      <c r="IF409" s="172"/>
      <c r="IG409" s="172"/>
      <c r="IH409" s="172"/>
      <c r="II409" s="172"/>
      <c r="IJ409" s="172"/>
      <c r="IK409" s="172"/>
      <c r="IL409" s="172"/>
      <c r="IM409" s="172"/>
      <c r="IN409" s="172"/>
      <c r="IO409" s="172"/>
      <c r="IP409" s="172"/>
      <c r="IQ409" s="172"/>
      <c r="IR409" s="172"/>
      <c r="IS409" s="172"/>
      <c r="IT409" s="172"/>
      <c r="IU409" s="172"/>
      <c r="IV409" s="172"/>
      <c r="IW409" s="172"/>
      <c r="IX409" s="172"/>
      <c r="IY409" s="172"/>
      <c r="IZ409" s="172"/>
      <c r="JA409" s="172"/>
      <c r="JB409" s="172"/>
      <c r="JC409" s="172"/>
      <c r="JD409" s="172"/>
      <c r="JE409" s="172"/>
      <c r="JF409" s="172"/>
      <c r="JG409" s="172"/>
      <c r="JH409" s="172"/>
      <c r="JI409" s="172"/>
      <c r="JJ409" s="172"/>
      <c r="JK409" s="172"/>
      <c r="JL409" s="172"/>
      <c r="JM409" s="172"/>
      <c r="JN409" s="172"/>
      <c r="JO409" s="172"/>
      <c r="JP409" s="172"/>
      <c r="JQ409" s="172"/>
      <c r="JR409" s="172"/>
      <c r="JS409" s="172"/>
      <c r="JT409" s="172"/>
      <c r="JU409" s="172"/>
      <c r="JV409" s="172"/>
      <c r="JW409" s="172"/>
      <c r="JX409" s="172"/>
      <c r="JY409" s="172"/>
      <c r="JZ409" s="172"/>
      <c r="KA409" s="172"/>
      <c r="KB409" s="172"/>
      <c r="KC409" s="172"/>
      <c r="KD409" s="172"/>
      <c r="KE409" s="172"/>
      <c r="KF409" s="172"/>
      <c r="KG409" s="172"/>
      <c r="KH409" s="172"/>
      <c r="KI409" s="172"/>
      <c r="KJ409" s="172"/>
      <c r="KK409" s="172"/>
      <c r="KL409" s="172"/>
      <c r="KM409" s="172"/>
      <c r="KN409" s="172"/>
      <c r="KO409" s="172"/>
      <c r="KP409" s="172"/>
      <c r="KQ409" s="172"/>
      <c r="KR409" s="172"/>
      <c r="KS409" s="172"/>
      <c r="KT409" s="172"/>
      <c r="KU409" s="172"/>
      <c r="KV409" s="172"/>
      <c r="KW409" s="172"/>
      <c r="KX409" s="172"/>
      <c r="KY409" s="172"/>
      <c r="KZ409" s="172"/>
      <c r="LA409" s="172"/>
      <c r="LB409" s="172"/>
      <c r="LC409" s="172"/>
      <c r="LD409" s="172"/>
      <c r="LE409" s="172"/>
      <c r="LF409" s="172"/>
      <c r="LG409" s="172"/>
      <c r="LH409" s="172"/>
      <c r="LI409" s="172"/>
      <c r="LJ409" s="172"/>
      <c r="LK409" s="172"/>
      <c r="LL409" s="172"/>
      <c r="LM409" s="172"/>
      <c r="LN409" s="172"/>
      <c r="LO409" s="172"/>
      <c r="LP409" s="172"/>
      <c r="LQ409" s="172"/>
      <c r="LR409" s="172"/>
      <c r="LS409" s="172"/>
      <c r="LT409" s="172"/>
      <c r="LU409" s="172"/>
      <c r="LV409" s="172"/>
      <c r="LW409" s="172"/>
      <c r="LX409" s="172"/>
      <c r="LY409" s="172"/>
      <c r="LZ409" s="172"/>
      <c r="MA409" s="172"/>
      <c r="MB409" s="172"/>
      <c r="MC409" s="172"/>
      <c r="MD409" s="172"/>
      <c r="ME409" s="172"/>
      <c r="MF409" s="172"/>
      <c r="MG409" s="172"/>
      <c r="MH409" s="172"/>
      <c r="MI409" s="172"/>
      <c r="MJ409" s="172"/>
      <c r="MK409" s="172"/>
      <c r="ML409" s="172"/>
      <c r="MM409" s="172"/>
      <c r="MN409" s="172"/>
      <c r="MO409" s="172"/>
      <c r="MP409" s="172"/>
      <c r="MQ409" s="172"/>
      <c r="MR409" s="172"/>
      <c r="MS409" s="172"/>
      <c r="MT409" s="172"/>
      <c r="MU409" s="172"/>
      <c r="MV409" s="172"/>
      <c r="MW409" s="172"/>
      <c r="MX409" s="172"/>
      <c r="MY409" s="172"/>
      <c r="MZ409" s="172"/>
      <c r="NA409" s="172"/>
      <c r="NB409" s="172"/>
      <c r="NC409" s="172"/>
      <c r="ND409" s="172"/>
      <c r="NE409" s="172"/>
      <c r="NF409" s="172"/>
      <c r="NG409" s="172"/>
      <c r="NH409" s="172"/>
      <c r="NI409" s="172"/>
      <c r="NJ409" s="172"/>
      <c r="NK409" s="172"/>
      <c r="NL409" s="172"/>
      <c r="NM409" s="172"/>
      <c r="NN409" s="172"/>
      <c r="NO409" s="172"/>
      <c r="NP409" s="172"/>
      <c r="NQ409" s="172"/>
      <c r="NR409" s="172"/>
      <c r="NS409" s="172"/>
      <c r="NT409" s="172"/>
      <c r="NU409" s="172"/>
      <c r="NV409" s="172"/>
      <c r="NW409" s="172"/>
      <c r="NX409" s="172"/>
      <c r="NY409" s="172"/>
      <c r="NZ409" s="172"/>
      <c r="OA409" s="172"/>
      <c r="OB409" s="172"/>
      <c r="OC409" s="172"/>
      <c r="OD409" s="172"/>
      <c r="OE409" s="172"/>
      <c r="OF409" s="172"/>
      <c r="OG409" s="172"/>
      <c r="OH409" s="172"/>
      <c r="OI409" s="172"/>
      <c r="OJ409" s="172"/>
      <c r="OK409" s="172"/>
      <c r="OL409" s="172"/>
      <c r="OM409" s="172"/>
      <c r="ON409" s="172"/>
      <c r="OO409" s="172"/>
      <c r="OP409" s="172"/>
      <c r="OQ409" s="172"/>
      <c r="OR409" s="172"/>
      <c r="OS409" s="172"/>
      <c r="OT409" s="172"/>
      <c r="OU409" s="172"/>
      <c r="OV409" s="172"/>
      <c r="OW409" s="172"/>
      <c r="OX409" s="172"/>
      <c r="OY409" s="172"/>
      <c r="OZ409" s="172"/>
      <c r="PA409" s="172"/>
      <c r="PB409" s="172"/>
      <c r="PC409" s="172"/>
      <c r="PD409" s="172"/>
      <c r="PE409" s="172"/>
      <c r="PF409" s="172"/>
      <c r="PG409" s="172"/>
      <c r="PH409" s="172"/>
      <c r="PI409" s="172"/>
      <c r="PJ409" s="172"/>
      <c r="PK409" s="172"/>
      <c r="PL409" s="172"/>
      <c r="PM409" s="172"/>
      <c r="PN409" s="172"/>
      <c r="PO409" s="172"/>
      <c r="PP409" s="172"/>
      <c r="PQ409" s="172"/>
      <c r="PR409" s="172"/>
      <c r="PS409" s="172"/>
      <c r="PT409" s="172"/>
      <c r="PU409" s="172"/>
      <c r="PV409" s="172"/>
      <c r="PW409" s="172"/>
      <c r="PX409" s="172"/>
      <c r="PY409" s="172"/>
      <c r="PZ409" s="172"/>
      <c r="QA409" s="172"/>
      <c r="QB409" s="172"/>
      <c r="QC409" s="172"/>
      <c r="QD409" s="172"/>
      <c r="QE409" s="172"/>
      <c r="QF409" s="172"/>
      <c r="QG409" s="172"/>
      <c r="QH409" s="172"/>
      <c r="QI409" s="172"/>
      <c r="QJ409" s="172"/>
      <c r="QK409" s="172"/>
      <c r="QL409" s="172"/>
      <c r="QM409" s="172"/>
      <c r="QN409" s="172"/>
      <c r="QO409" s="172"/>
      <c r="QP409" s="172"/>
      <c r="QQ409" s="172"/>
      <c r="QR409" s="172"/>
      <c r="QS409" s="172"/>
      <c r="QT409" s="172"/>
      <c r="QU409" s="172"/>
      <c r="QV409" s="172"/>
      <c r="QW409" s="172"/>
      <c r="QX409" s="172"/>
      <c r="QY409" s="172"/>
      <c r="QZ409" s="172"/>
      <c r="RA409" s="172"/>
      <c r="RB409" s="172"/>
      <c r="RC409" s="172"/>
      <c r="RD409" s="172"/>
      <c r="RE409" s="172"/>
      <c r="RF409" s="172"/>
      <c r="RG409" s="172"/>
      <c r="RH409" s="172"/>
      <c r="RI409" s="172"/>
      <c r="RJ409" s="172"/>
      <c r="RK409" s="172"/>
      <c r="RL409" s="172"/>
      <c r="RM409" s="172"/>
      <c r="RN409" s="172"/>
      <c r="RO409" s="172"/>
      <c r="RP409" s="172"/>
      <c r="RQ409" s="172"/>
      <c r="RR409" s="172"/>
      <c r="RS409" s="172"/>
      <c r="RT409" s="172"/>
      <c r="RU409" s="172"/>
      <c r="RV409" s="172"/>
      <c r="RW409" s="172"/>
      <c r="RX409" s="172"/>
      <c r="RY409" s="172"/>
      <c r="RZ409" s="172"/>
      <c r="SA409" s="172"/>
      <c r="SB409" s="172"/>
      <c r="SC409" s="172"/>
      <c r="SD409" s="172"/>
      <c r="SE409" s="172"/>
      <c r="SF409" s="172"/>
      <c r="SG409" s="172"/>
      <c r="SH409" s="172"/>
      <c r="SI409" s="172"/>
      <c r="SJ409" s="172"/>
      <c r="SK409" s="172"/>
      <c r="SL409" s="172"/>
      <c r="SM409" s="172"/>
      <c r="SN409" s="172"/>
      <c r="SO409" s="172"/>
      <c r="SP409" s="172"/>
      <c r="SQ409" s="172"/>
      <c r="SR409" s="172"/>
      <c r="SS409" s="172"/>
      <c r="ST409" s="172"/>
      <c r="SU409" s="172"/>
      <c r="SV409" s="172"/>
      <c r="SW409" s="172"/>
      <c r="SX409" s="172"/>
      <c r="SY409" s="172"/>
      <c r="SZ409" s="172"/>
      <c r="TA409" s="172"/>
      <c r="TB409" s="172"/>
      <c r="TC409" s="172"/>
      <c r="TD409" s="172"/>
      <c r="TE409" s="172"/>
      <c r="TF409" s="172"/>
      <c r="TG409" s="172"/>
      <c r="TH409" s="172"/>
      <c r="TI409" s="172"/>
      <c r="TJ409" s="172"/>
      <c r="TK409" s="172"/>
      <c r="TL409" s="172"/>
      <c r="TM409" s="172"/>
      <c r="TN409" s="172"/>
      <c r="TO409" s="172"/>
      <c r="TP409" s="172"/>
      <c r="TQ409" s="172"/>
      <c r="TR409" s="172"/>
      <c r="TS409" s="172"/>
      <c r="TT409" s="172"/>
      <c r="TU409" s="172"/>
      <c r="TV409" s="172"/>
      <c r="TW409" s="172"/>
      <c r="TX409" s="172"/>
      <c r="TY409" s="172"/>
      <c r="TZ409" s="172"/>
      <c r="UA409" s="172"/>
      <c r="UB409" s="172"/>
      <c r="UC409" s="172"/>
      <c r="UD409" s="172"/>
      <c r="UE409" s="172"/>
      <c r="UF409" s="172"/>
      <c r="UG409" s="172"/>
      <c r="UH409" s="172"/>
      <c r="UI409" s="172"/>
      <c r="UJ409" s="172"/>
      <c r="UK409" s="172"/>
      <c r="UL409" s="172"/>
      <c r="UM409" s="172"/>
      <c r="UN409" s="172"/>
      <c r="UO409" s="172"/>
      <c r="UP409" s="172"/>
      <c r="UQ409" s="172"/>
      <c r="UR409" s="172"/>
      <c r="US409" s="172"/>
      <c r="UT409" s="172"/>
      <c r="UU409" s="172"/>
      <c r="UV409" s="172"/>
      <c r="UW409" s="172"/>
      <c r="UX409" s="172"/>
      <c r="UY409" s="172"/>
      <c r="UZ409" s="172"/>
      <c r="VA409" s="172"/>
      <c r="VB409" s="172"/>
      <c r="VC409" s="172"/>
      <c r="VD409" s="172"/>
      <c r="VE409" s="172"/>
      <c r="VF409" s="172"/>
      <c r="VG409" s="172"/>
      <c r="VH409" s="172"/>
      <c r="VI409" s="172"/>
      <c r="VJ409" s="172"/>
      <c r="VK409" s="172"/>
      <c r="VL409" s="172"/>
      <c r="VM409" s="172"/>
      <c r="VN409" s="172"/>
      <c r="VO409" s="172"/>
      <c r="VP409" s="172"/>
      <c r="VQ409" s="172"/>
      <c r="VR409" s="172"/>
      <c r="VS409" s="172"/>
      <c r="VT409" s="172"/>
      <c r="VU409" s="172"/>
      <c r="VV409" s="172"/>
      <c r="VW409" s="172"/>
      <c r="VX409" s="172"/>
      <c r="VY409" s="172"/>
      <c r="VZ409" s="172"/>
      <c r="WA409" s="172"/>
      <c r="WB409" s="172"/>
      <c r="WC409" s="172"/>
      <c r="WD409" s="172"/>
      <c r="WE409" s="172"/>
      <c r="WF409" s="172"/>
      <c r="WG409" s="172"/>
      <c r="WH409" s="172"/>
      <c r="WI409" s="172"/>
      <c r="WJ409" s="172"/>
      <c r="WK409" s="172"/>
      <c r="WL409" s="172"/>
      <c r="WM409" s="172"/>
      <c r="WN409" s="172"/>
      <c r="WO409" s="172"/>
      <c r="WP409" s="172"/>
      <c r="WQ409" s="172"/>
      <c r="WR409" s="172"/>
      <c r="WS409" s="172"/>
      <c r="WT409" s="172"/>
      <c r="WU409" s="172"/>
      <c r="WV409" s="172"/>
      <c r="WW409" s="172"/>
      <c r="WX409" s="172"/>
      <c r="WY409" s="172"/>
      <c r="WZ409" s="172"/>
      <c r="XA409" s="172"/>
      <c r="XB409" s="172"/>
      <c r="XC409" s="172"/>
      <c r="XD409" s="172"/>
      <c r="XE409" s="172"/>
      <c r="XF409" s="172"/>
      <c r="XG409" s="172"/>
      <c r="XH409" s="172"/>
      <c r="XI409" s="172"/>
      <c r="XJ409" s="172"/>
      <c r="XK409" s="172"/>
      <c r="XL409" s="172"/>
      <c r="XM409" s="172"/>
      <c r="XN409" s="172"/>
      <c r="XO409" s="172"/>
      <c r="XP409" s="172"/>
      <c r="XQ409" s="172"/>
      <c r="XR409" s="172"/>
      <c r="XS409" s="172"/>
      <c r="XT409" s="172"/>
      <c r="XU409" s="172"/>
      <c r="XV409" s="172"/>
      <c r="XW409" s="172"/>
      <c r="XX409" s="172"/>
      <c r="XY409" s="172"/>
      <c r="XZ409" s="172"/>
      <c r="YA409" s="172"/>
      <c r="YB409" s="172"/>
      <c r="YC409" s="172"/>
      <c r="YD409" s="172"/>
      <c r="YE409" s="172"/>
      <c r="YF409" s="172"/>
      <c r="YG409" s="172"/>
      <c r="YH409" s="172"/>
      <c r="YI409" s="172"/>
      <c r="YJ409" s="172"/>
      <c r="YK409" s="172"/>
      <c r="YL409" s="172"/>
      <c r="YM409" s="172"/>
      <c r="YN409" s="172"/>
      <c r="YO409" s="172"/>
      <c r="YP409" s="172"/>
      <c r="YQ409" s="172"/>
      <c r="YR409" s="172"/>
      <c r="YS409" s="172"/>
      <c r="YT409" s="172"/>
      <c r="YU409" s="172"/>
      <c r="YV409" s="172"/>
      <c r="YW409" s="172"/>
      <c r="YX409" s="172"/>
      <c r="YY409" s="172"/>
      <c r="YZ409" s="172"/>
      <c r="ZA409" s="172"/>
      <c r="ZB409" s="172"/>
      <c r="ZC409" s="172"/>
      <c r="ZD409" s="172"/>
      <c r="ZE409" s="172"/>
      <c r="ZF409" s="172"/>
      <c r="ZG409" s="172"/>
      <c r="ZH409" s="172"/>
      <c r="ZI409" s="172"/>
      <c r="ZJ409" s="172"/>
      <c r="ZK409" s="172"/>
      <c r="ZL409" s="172"/>
      <c r="ZM409" s="172"/>
      <c r="ZN409" s="172"/>
      <c r="ZO409" s="172"/>
      <c r="ZP409" s="172"/>
      <c r="ZQ409" s="172"/>
      <c r="ZR409" s="172"/>
      <c r="ZS409" s="172"/>
      <c r="ZT409" s="172"/>
      <c r="ZU409" s="172"/>
      <c r="ZV409" s="172"/>
      <c r="ZW409" s="172"/>
      <c r="ZX409" s="172"/>
      <c r="ZY409" s="172"/>
      <c r="ZZ409" s="172"/>
      <c r="AAA409" s="172"/>
      <c r="AAB409" s="172"/>
      <c r="AAC409" s="172"/>
      <c r="AAD409" s="172"/>
      <c r="AAE409" s="172"/>
      <c r="AAF409" s="172"/>
      <c r="AAG409" s="172"/>
      <c r="AAH409" s="172"/>
      <c r="AAI409" s="172"/>
      <c r="AAJ409" s="172"/>
      <c r="AAK409" s="172"/>
      <c r="AAL409" s="172"/>
      <c r="AAM409" s="172"/>
      <c r="AAN409" s="172"/>
      <c r="AAO409" s="172"/>
      <c r="AAP409" s="172"/>
      <c r="AAQ409" s="172"/>
      <c r="AAR409" s="172"/>
      <c r="AAS409" s="172"/>
      <c r="AAT409" s="172"/>
      <c r="AAU409" s="172"/>
      <c r="AAV409" s="172"/>
      <c r="AAW409" s="172"/>
      <c r="AAX409" s="172"/>
      <c r="AAY409" s="172"/>
      <c r="AAZ409" s="172"/>
      <c r="ABA409" s="172"/>
      <c r="ABB409" s="172"/>
      <c r="ABC409" s="172"/>
      <c r="ABD409" s="172"/>
      <c r="ABE409" s="172"/>
      <c r="ABF409" s="172"/>
      <c r="ABG409" s="172"/>
      <c r="ABH409" s="172"/>
      <c r="ABI409" s="172"/>
      <c r="ABJ409" s="172"/>
      <c r="ABK409" s="172"/>
      <c r="ABL409" s="172"/>
      <c r="ABM409" s="172"/>
      <c r="ABN409" s="172"/>
      <c r="ABO409" s="172"/>
      <c r="ABP409" s="172"/>
      <c r="ABQ409" s="172"/>
      <c r="ABR409" s="172"/>
      <c r="ABS409" s="172"/>
      <c r="ABT409" s="172"/>
      <c r="ABU409" s="172"/>
      <c r="ABV409" s="172"/>
      <c r="ABW409" s="172"/>
      <c r="ABX409" s="172"/>
      <c r="ABY409" s="172"/>
      <c r="ABZ409" s="172"/>
      <c r="ACA409" s="172"/>
      <c r="ACB409" s="172"/>
      <c r="ACC409" s="172"/>
      <c r="ACD409" s="172"/>
      <c r="ACE409" s="172"/>
      <c r="ACF409" s="172"/>
      <c r="ACG409" s="172"/>
      <c r="ACH409" s="172"/>
      <c r="ACI409" s="172"/>
      <c r="ACJ409" s="172"/>
      <c r="ACK409" s="172"/>
      <c r="ACL409" s="172"/>
      <c r="ACM409" s="172"/>
      <c r="ACN409" s="172"/>
      <c r="ACO409" s="172"/>
      <c r="ACP409" s="172"/>
      <c r="ACQ409" s="172"/>
      <c r="ACR409" s="172"/>
      <c r="ACS409" s="172"/>
      <c r="ACT409" s="172"/>
      <c r="ACU409" s="172"/>
      <c r="ACV409" s="172"/>
      <c r="ACW409" s="172"/>
      <c r="ACX409" s="172"/>
      <c r="ACY409" s="172"/>
      <c r="ACZ409" s="172"/>
      <c r="ADA409" s="172"/>
      <c r="ADB409" s="172"/>
      <c r="ADC409" s="172"/>
      <c r="ADD409" s="172"/>
      <c r="ADE409" s="172"/>
      <c r="ADF409" s="172"/>
      <c r="ADG409" s="172"/>
      <c r="ADH409" s="172"/>
      <c r="ADI409" s="172"/>
      <c r="ADJ409" s="172"/>
      <c r="ADK409" s="172"/>
      <c r="ADL409" s="172"/>
      <c r="ADM409" s="172"/>
      <c r="ADN409" s="172"/>
      <c r="ADO409" s="172"/>
      <c r="ADP409" s="172"/>
      <c r="ADQ409" s="172"/>
      <c r="ADR409" s="172"/>
      <c r="ADS409" s="172"/>
      <c r="ADT409" s="172"/>
      <c r="ADU409" s="172"/>
      <c r="ADV409" s="172"/>
      <c r="ADW409" s="172"/>
      <c r="ADX409" s="172"/>
      <c r="ADY409" s="172"/>
      <c r="ADZ409" s="172"/>
      <c r="AEA409" s="172"/>
      <c r="AEB409" s="172"/>
      <c r="AEC409" s="172"/>
      <c r="AED409" s="172"/>
      <c r="AEE409" s="172"/>
      <c r="AEF409" s="172"/>
      <c r="AEG409" s="172"/>
      <c r="AEH409" s="172"/>
      <c r="AEI409" s="172"/>
      <c r="AEJ409" s="172"/>
      <c r="AEK409" s="172"/>
      <c r="AEL409" s="172"/>
      <c r="AEM409" s="172"/>
      <c r="AEN409" s="172"/>
      <c r="AEO409" s="172"/>
      <c r="AEP409" s="172"/>
      <c r="AEQ409" s="172"/>
      <c r="AER409" s="172"/>
      <c r="AES409" s="172"/>
      <c r="AET409" s="172"/>
      <c r="AEU409" s="172"/>
      <c r="AEV409" s="172"/>
      <c r="AEW409" s="172"/>
      <c r="AEX409" s="172"/>
      <c r="AEY409" s="172"/>
      <c r="AEZ409" s="172"/>
      <c r="AFA409" s="172"/>
      <c r="AFB409" s="172"/>
      <c r="AFC409" s="172"/>
      <c r="AFD409" s="172"/>
      <c r="AFE409" s="172"/>
      <c r="AFF409" s="172"/>
      <c r="AFG409" s="172"/>
      <c r="AFH409" s="172"/>
      <c r="AFI409" s="172"/>
      <c r="AFJ409" s="172"/>
      <c r="AFK409" s="172"/>
      <c r="AFL409" s="172"/>
      <c r="AFM409" s="172"/>
      <c r="AFN409" s="172"/>
      <c r="AFO409" s="172"/>
      <c r="AFP409" s="172"/>
      <c r="AFQ409" s="172"/>
      <c r="AFR409" s="172"/>
      <c r="AFS409" s="172"/>
      <c r="AFT409" s="172"/>
      <c r="AFU409" s="172"/>
      <c r="AFV409" s="172"/>
      <c r="AFW409" s="172"/>
      <c r="AFX409" s="172"/>
      <c r="AFY409" s="172"/>
      <c r="AFZ409" s="172"/>
      <c r="AGA409" s="172"/>
      <c r="AGB409" s="172"/>
      <c r="AGC409" s="172"/>
      <c r="AGD409" s="172"/>
      <c r="AGE409" s="172"/>
      <c r="AGF409" s="172"/>
      <c r="AGG409" s="172"/>
      <c r="AGH409" s="172"/>
      <c r="AGI409" s="172"/>
      <c r="AGJ409" s="172"/>
      <c r="AGK409" s="172"/>
      <c r="AGL409" s="172"/>
      <c r="AGM409" s="172"/>
      <c r="AGN409" s="172"/>
      <c r="AGO409" s="172"/>
      <c r="AGP409" s="172"/>
      <c r="AGQ409" s="172"/>
      <c r="AGR409" s="172"/>
      <c r="AGS409" s="172"/>
      <c r="AGT409" s="172"/>
      <c r="AGU409" s="172"/>
      <c r="AGV409" s="172"/>
      <c r="AGW409" s="172"/>
      <c r="AGX409" s="172"/>
      <c r="AGY409" s="172"/>
      <c r="AGZ409" s="172"/>
      <c r="AHA409" s="172"/>
      <c r="AHB409" s="172"/>
      <c r="AHC409" s="172"/>
      <c r="AHD409" s="172"/>
      <c r="AHE409" s="172"/>
      <c r="AHF409" s="172"/>
      <c r="AHG409" s="172"/>
      <c r="AHH409" s="172"/>
      <c r="AHI409" s="172"/>
      <c r="AHJ409" s="172"/>
      <c r="AHK409" s="172"/>
      <c r="AHL409" s="172"/>
      <c r="AHM409" s="172"/>
      <c r="AHN409" s="172"/>
      <c r="AHO409" s="172"/>
      <c r="AHP409" s="172"/>
      <c r="AHQ409" s="172"/>
      <c r="AHR409" s="172"/>
      <c r="AHS409" s="172"/>
      <c r="AHT409" s="172"/>
      <c r="AHU409" s="172"/>
      <c r="AHV409" s="172"/>
      <c r="AHW409" s="172"/>
      <c r="AHX409" s="172"/>
      <c r="AHY409" s="172"/>
      <c r="AHZ409" s="172"/>
      <c r="AIA409" s="172"/>
      <c r="AIB409" s="172"/>
      <c r="AIC409" s="172"/>
      <c r="AID409" s="172"/>
      <c r="AIE409" s="172"/>
      <c r="AIF409" s="172"/>
      <c r="AIG409" s="172"/>
      <c r="AIH409" s="172"/>
      <c r="AII409" s="172"/>
      <c r="AIJ409" s="172"/>
      <c r="AIK409" s="172"/>
      <c r="AIL409" s="172"/>
      <c r="AIM409" s="172"/>
      <c r="AIN409" s="172"/>
      <c r="AIO409" s="172"/>
      <c r="AIP409" s="172"/>
      <c r="AIQ409" s="172"/>
      <c r="AIR409" s="172"/>
      <c r="AIS409" s="172"/>
      <c r="AIT409" s="172"/>
      <c r="AIU409" s="172"/>
      <c r="AIV409" s="172"/>
      <c r="AIW409" s="172"/>
      <c r="AIX409" s="172"/>
      <c r="AIY409" s="172"/>
      <c r="AIZ409" s="172"/>
      <c r="AJA409" s="172"/>
      <c r="AJB409" s="172"/>
      <c r="AJC409" s="172"/>
      <c r="AJD409" s="172"/>
      <c r="AJE409" s="172"/>
      <c r="AJF409" s="172"/>
      <c r="AJG409" s="172"/>
      <c r="AJH409" s="172"/>
      <c r="AJI409" s="172"/>
      <c r="AJJ409" s="172"/>
      <c r="AJK409" s="172"/>
      <c r="AJL409" s="172"/>
      <c r="AJM409" s="172"/>
      <c r="AJN409" s="172"/>
      <c r="AJO409" s="172"/>
      <c r="AJP409" s="172"/>
      <c r="AJQ409" s="172"/>
      <c r="AJR409" s="172"/>
      <c r="AJS409" s="172"/>
      <c r="AJT409" s="172"/>
      <c r="AJU409" s="172"/>
      <c r="AJV409" s="172"/>
      <c r="AJW409" s="172"/>
      <c r="AJX409" s="172"/>
      <c r="AJY409" s="172"/>
      <c r="AJZ409" s="172"/>
      <c r="AKA409" s="172"/>
      <c r="AKB409" s="172"/>
      <c r="AKC409" s="172"/>
      <c r="AKD409" s="172"/>
      <c r="AKE409" s="172"/>
      <c r="AKF409" s="172"/>
      <c r="AKG409" s="172"/>
      <c r="AKH409" s="172"/>
      <c r="AKI409" s="172"/>
      <c r="AKJ409" s="172"/>
      <c r="AKK409" s="172"/>
      <c r="AKL409" s="172"/>
      <c r="AKM409" s="172"/>
      <c r="AKN409" s="172"/>
      <c r="AKO409" s="172"/>
      <c r="AKP409" s="172"/>
      <c r="AKQ409" s="172"/>
      <c r="AKR409" s="172"/>
      <c r="AKS409" s="172"/>
      <c r="AKT409" s="172"/>
      <c r="AKU409" s="172"/>
      <c r="AKV409" s="172"/>
      <c r="AKW409" s="172"/>
      <c r="AKX409" s="172"/>
      <c r="AKY409" s="172"/>
      <c r="AKZ409" s="172"/>
      <c r="ALA409" s="172"/>
      <c r="ALB409" s="172"/>
      <c r="ALC409" s="172"/>
      <c r="ALD409" s="172"/>
      <c r="ALE409" s="172"/>
      <c r="ALF409" s="172"/>
      <c r="ALG409" s="172"/>
      <c r="ALH409" s="172"/>
      <c r="ALI409" s="172"/>
      <c r="ALJ409" s="172"/>
      <c r="ALK409" s="172"/>
      <c r="ALL409" s="172"/>
      <c r="ALM409" s="172"/>
      <c r="ALN409" s="172"/>
      <c r="ALO409" s="172"/>
      <c r="ALP409" s="172"/>
      <c r="ALQ409" s="172"/>
      <c r="ALR409" s="172"/>
      <c r="ALS409" s="172"/>
      <c r="ALT409" s="172"/>
      <c r="ALU409" s="172"/>
      <c r="ALV409" s="172"/>
      <c r="ALW409" s="172"/>
      <c r="ALX409" s="172"/>
      <c r="ALY409" s="172"/>
      <c r="ALZ409" s="172"/>
      <c r="AMA409" s="172"/>
      <c r="AMB409" s="172"/>
      <c r="AMC409" s="172"/>
      <c r="AMD409" s="172"/>
      <c r="AME409" s="172"/>
      <c r="AMF409" s="172"/>
      <c r="AMG409" s="172"/>
      <c r="AMH409" s="172"/>
      <c r="AMI409" s="172"/>
      <c r="AMJ409" s="172"/>
      <c r="AMK409" s="172"/>
      <c r="AML409" s="172"/>
      <c r="AMM409" s="172"/>
      <c r="AMN409" s="172"/>
      <c r="AMO409" s="172"/>
      <c r="AMP409" s="172"/>
      <c r="AMQ409" s="172"/>
      <c r="AMR409" s="172"/>
      <c r="AMS409" s="172"/>
      <c r="AMT409" s="172"/>
      <c r="AMU409" s="172"/>
      <c r="AMV409" s="172"/>
      <c r="AMW409" s="172"/>
      <c r="AMX409" s="172"/>
      <c r="AMY409" s="172"/>
      <c r="AMZ409" s="172"/>
      <c r="ANA409" s="172"/>
      <c r="ANB409" s="172"/>
      <c r="ANC409" s="172"/>
      <c r="AND409" s="172"/>
      <c r="ANE409" s="172"/>
      <c r="ANF409" s="172"/>
      <c r="ANG409" s="172"/>
      <c r="ANH409" s="172"/>
      <c r="ANI409" s="172"/>
      <c r="ANJ409" s="172"/>
      <c r="ANK409" s="172"/>
      <c r="ANL409" s="172"/>
      <c r="ANM409" s="172"/>
      <c r="ANN409" s="172"/>
      <c r="ANO409" s="172"/>
      <c r="ANP409" s="172"/>
      <c r="ANQ409" s="172"/>
      <c r="ANR409" s="172"/>
      <c r="ANS409" s="172"/>
      <c r="ANT409" s="172"/>
      <c r="ANU409" s="172"/>
      <c r="ANV409" s="172"/>
      <c r="ANW409" s="172"/>
      <c r="ANX409" s="172"/>
      <c r="ANY409" s="172"/>
      <c r="ANZ409" s="172"/>
      <c r="AOA409" s="172"/>
      <c r="AOB409" s="172"/>
      <c r="AOC409" s="172"/>
      <c r="AOD409" s="172"/>
      <c r="AOE409" s="172"/>
      <c r="AOF409" s="172"/>
      <c r="AOG409" s="172"/>
      <c r="AOH409" s="172"/>
      <c r="AOI409" s="172"/>
      <c r="AOJ409" s="172"/>
      <c r="AOK409" s="172"/>
      <c r="AOL409" s="172"/>
      <c r="AOM409" s="172"/>
      <c r="AON409" s="172"/>
      <c r="AOO409" s="172"/>
      <c r="AOP409" s="172"/>
      <c r="AOQ409" s="172"/>
      <c r="AOR409" s="172"/>
      <c r="AOS409" s="172"/>
      <c r="AOT409" s="172"/>
      <c r="AOU409" s="172"/>
      <c r="AOV409" s="172"/>
      <c r="AOW409" s="172"/>
      <c r="AOX409" s="172"/>
      <c r="AOY409" s="172"/>
      <c r="AOZ409" s="172"/>
      <c r="APA409" s="172"/>
      <c r="APB409" s="172"/>
      <c r="APC409" s="172"/>
      <c r="APD409" s="172"/>
      <c r="APE409" s="172"/>
      <c r="APF409" s="172"/>
      <c r="APG409" s="172"/>
      <c r="APH409" s="172"/>
      <c r="API409" s="172"/>
      <c r="APJ409" s="172"/>
      <c r="APK409" s="172"/>
      <c r="APL409" s="172"/>
      <c r="APM409" s="172"/>
      <c r="APN409" s="172"/>
      <c r="APO409" s="172"/>
      <c r="APP409" s="172"/>
      <c r="APQ409" s="172"/>
      <c r="APR409" s="172"/>
      <c r="APS409" s="172"/>
      <c r="APT409" s="172"/>
      <c r="APU409" s="172"/>
      <c r="APV409" s="172"/>
      <c r="APW409" s="172"/>
      <c r="APX409" s="172"/>
      <c r="APY409" s="172"/>
      <c r="APZ409" s="172"/>
      <c r="AQA409" s="172"/>
      <c r="AQB409" s="172"/>
      <c r="AQC409" s="172"/>
      <c r="AQD409" s="172"/>
      <c r="AQE409" s="172"/>
      <c r="AQF409" s="172"/>
      <c r="AQG409" s="172"/>
      <c r="AQH409" s="172"/>
      <c r="AQI409" s="172"/>
      <c r="AQJ409" s="172"/>
      <c r="AQK409" s="172"/>
      <c r="AQL409" s="172"/>
      <c r="AQM409" s="172"/>
      <c r="AQN409" s="172"/>
      <c r="AQO409" s="172"/>
      <c r="AQP409" s="172"/>
      <c r="AQQ409" s="172"/>
      <c r="AQR409" s="172"/>
      <c r="AQS409" s="172"/>
      <c r="AQT409" s="172"/>
      <c r="AQU409" s="172"/>
      <c r="AQV409" s="172"/>
      <c r="AQW409" s="172"/>
      <c r="AQX409" s="172"/>
      <c r="AQY409" s="172"/>
      <c r="AQZ409" s="172"/>
      <c r="ARA409" s="172"/>
      <c r="ARB409" s="172"/>
      <c r="ARC409" s="172"/>
      <c r="ARD409" s="172"/>
      <c r="ARE409" s="172"/>
      <c r="ARF409" s="172"/>
      <c r="ARG409" s="172"/>
      <c r="ARH409" s="172"/>
      <c r="ARI409" s="172"/>
      <c r="ARJ409" s="172"/>
      <c r="ARK409" s="172"/>
      <c r="ARL409" s="172"/>
      <c r="ARM409" s="172"/>
      <c r="ARN409" s="172"/>
      <c r="ARO409" s="172"/>
      <c r="ARP409" s="172"/>
      <c r="ARQ409" s="172"/>
      <c r="ARR409" s="172"/>
      <c r="ARS409" s="172"/>
      <c r="ART409" s="172"/>
      <c r="ARU409" s="172"/>
      <c r="ARV409" s="172"/>
      <c r="ARW409" s="172"/>
      <c r="ARX409" s="172"/>
      <c r="ARY409" s="172"/>
      <c r="ARZ409" s="172"/>
      <c r="ASA409" s="172"/>
      <c r="ASB409" s="172"/>
      <c r="ASC409" s="172"/>
      <c r="ASD409" s="172"/>
      <c r="ASE409" s="172"/>
      <c r="ASF409" s="172"/>
      <c r="ASG409" s="172"/>
      <c r="ASH409" s="172"/>
      <c r="ASI409" s="172"/>
      <c r="ASJ409" s="172"/>
      <c r="ASK409" s="172"/>
      <c r="ASL409" s="172"/>
      <c r="ASM409" s="172"/>
      <c r="ASN409" s="172"/>
      <c r="ASO409" s="172"/>
      <c r="ASP409" s="172"/>
      <c r="ASQ409" s="172"/>
      <c r="ASR409" s="172"/>
      <c r="ASS409" s="172"/>
      <c r="AST409" s="172"/>
      <c r="ASU409" s="172"/>
      <c r="ASV409" s="172"/>
      <c r="ASW409" s="172"/>
      <c r="ASX409" s="172"/>
      <c r="ASY409" s="172"/>
      <c r="ASZ409" s="172"/>
      <c r="ATA409" s="172"/>
      <c r="ATB409" s="172"/>
      <c r="ATC409" s="172"/>
      <c r="ATD409" s="172"/>
      <c r="ATE409" s="172"/>
      <c r="ATF409" s="172"/>
      <c r="ATG409" s="172"/>
      <c r="ATH409" s="172"/>
      <c r="ATI409" s="172"/>
      <c r="ATJ409" s="172"/>
      <c r="ATK409" s="172"/>
      <c r="ATL409" s="172"/>
      <c r="ATM409" s="172"/>
      <c r="ATN409" s="172"/>
      <c r="ATO409" s="172"/>
      <c r="ATP409" s="172"/>
      <c r="ATQ409" s="172"/>
      <c r="ATR409" s="172"/>
      <c r="ATS409" s="172"/>
      <c r="ATT409" s="172"/>
      <c r="ATU409" s="172"/>
      <c r="ATV409" s="172"/>
      <c r="ATW409" s="172"/>
      <c r="ATX409" s="172"/>
      <c r="ATY409" s="172"/>
      <c r="ATZ409" s="172"/>
      <c r="AUA409" s="172"/>
      <c r="AUB409" s="172"/>
      <c r="AUC409" s="172"/>
      <c r="AUD409" s="172"/>
      <c r="AUE409" s="172"/>
      <c r="AUF409" s="172"/>
      <c r="AUG409" s="172"/>
      <c r="AUH409" s="172"/>
      <c r="AUI409" s="172"/>
      <c r="AUJ409" s="172"/>
      <c r="AUK409" s="172"/>
      <c r="AUL409" s="172"/>
      <c r="AUM409" s="172"/>
      <c r="AUN409" s="172"/>
      <c r="AUO409" s="172"/>
      <c r="AUP409" s="172"/>
      <c r="AUQ409" s="172"/>
      <c r="AUR409" s="172"/>
      <c r="AUS409" s="172"/>
      <c r="AUT409" s="172"/>
      <c r="AUU409" s="172"/>
      <c r="AUV409" s="172"/>
      <c r="AUW409" s="172"/>
      <c r="AUX409" s="172"/>
      <c r="AUY409" s="172"/>
      <c r="AUZ409" s="172"/>
      <c r="AVA409" s="172"/>
      <c r="AVB409" s="172"/>
      <c r="AVC409" s="172"/>
      <c r="AVD409" s="172"/>
      <c r="AVE409" s="172"/>
      <c r="AVF409" s="172"/>
      <c r="AVG409" s="172"/>
      <c r="AVH409" s="172"/>
      <c r="AVI409" s="172"/>
      <c r="AVJ409" s="172"/>
      <c r="AVK409" s="172"/>
      <c r="AVL409" s="172"/>
      <c r="AVM409" s="172"/>
      <c r="AVN409" s="172"/>
      <c r="AVO409" s="172"/>
      <c r="AVP409" s="172"/>
      <c r="AVQ409" s="172"/>
      <c r="AVR409" s="172"/>
      <c r="AVS409" s="172"/>
      <c r="AVT409" s="172"/>
      <c r="AVU409" s="172"/>
      <c r="AVV409" s="172"/>
      <c r="AVW409" s="172"/>
      <c r="AVX409" s="172"/>
      <c r="AVY409" s="172"/>
      <c r="AVZ409" s="172"/>
      <c r="AWA409" s="172"/>
      <c r="AWB409" s="172"/>
      <c r="AWC409" s="172"/>
      <c r="AWD409" s="172"/>
      <c r="AWE409" s="172"/>
      <c r="AWF409" s="172"/>
      <c r="AWG409" s="172"/>
      <c r="AWH409" s="172"/>
      <c r="AWI409" s="172"/>
      <c r="AWJ409" s="172"/>
      <c r="AWK409" s="172"/>
      <c r="AWL409" s="172"/>
      <c r="AWM409" s="172"/>
      <c r="AWN409" s="172"/>
      <c r="AWO409" s="172"/>
      <c r="AWP409" s="172"/>
      <c r="AWQ409" s="172"/>
      <c r="AWR409" s="172"/>
      <c r="AWS409" s="172"/>
      <c r="AWT409" s="172"/>
      <c r="AWU409" s="172"/>
      <c r="AWV409" s="172"/>
      <c r="AWW409" s="172"/>
      <c r="AWX409" s="172"/>
      <c r="AWY409" s="172"/>
      <c r="AWZ409" s="172"/>
      <c r="AXA409" s="172"/>
      <c r="AXB409" s="172"/>
      <c r="AXC409" s="172"/>
      <c r="AXD409" s="172"/>
      <c r="AXE409" s="172"/>
      <c r="AXF409" s="172"/>
      <c r="AXG409" s="172"/>
      <c r="AXH409" s="172"/>
      <c r="AXI409" s="172"/>
      <c r="AXJ409" s="172"/>
      <c r="AXK409" s="172"/>
      <c r="AXL409" s="172"/>
      <c r="AXM409" s="172"/>
      <c r="AXN409" s="172"/>
      <c r="AXO409" s="172"/>
      <c r="AXP409" s="172"/>
      <c r="AXQ409" s="172"/>
      <c r="AXR409" s="172"/>
      <c r="AXS409" s="172"/>
      <c r="AXT409" s="172"/>
      <c r="AXU409" s="172"/>
      <c r="AXV409" s="172"/>
      <c r="AXW409" s="172"/>
      <c r="AXX409" s="172"/>
      <c r="AXY409" s="172"/>
      <c r="AXZ409" s="172"/>
      <c r="AYA409" s="172"/>
      <c r="AYB409" s="172"/>
      <c r="AYC409" s="172"/>
      <c r="AYD409" s="172"/>
      <c r="AYE409" s="172"/>
      <c r="AYF409" s="172"/>
      <c r="AYG409" s="172"/>
      <c r="AYH409" s="172"/>
      <c r="AYI409" s="172"/>
      <c r="AYJ409" s="172"/>
      <c r="AYK409" s="172"/>
      <c r="AYL409" s="172"/>
      <c r="AYM409" s="172"/>
      <c r="AYN409" s="172"/>
      <c r="AYO409" s="172"/>
      <c r="AYP409" s="172"/>
      <c r="AYQ409" s="172"/>
      <c r="AYR409" s="172"/>
      <c r="AYS409" s="172"/>
      <c r="AYT409" s="172"/>
      <c r="AYU409" s="172"/>
      <c r="AYV409" s="172"/>
      <c r="AYW409" s="172"/>
      <c r="AYX409" s="172"/>
      <c r="AYY409" s="172"/>
      <c r="AYZ409" s="172"/>
      <c r="AZA409" s="172"/>
      <c r="AZB409" s="172"/>
      <c r="AZC409" s="172"/>
      <c r="AZD409" s="172"/>
      <c r="AZE409" s="172"/>
      <c r="AZF409" s="172"/>
      <c r="AZG409" s="172"/>
      <c r="AZH409" s="172"/>
      <c r="AZI409" s="172"/>
      <c r="AZJ409" s="172"/>
      <c r="AZK409" s="172"/>
      <c r="AZL409" s="172"/>
      <c r="AZM409" s="172"/>
      <c r="AZN409" s="172"/>
      <c r="AZO409" s="172"/>
      <c r="AZP409" s="172"/>
      <c r="AZQ409" s="172"/>
      <c r="AZR409" s="172"/>
      <c r="AZS409" s="172"/>
      <c r="AZT409" s="172"/>
      <c r="AZU409" s="172"/>
      <c r="AZV409" s="172"/>
      <c r="AZW409" s="172"/>
      <c r="AZX409" s="172"/>
      <c r="AZY409" s="172"/>
      <c r="AZZ409" s="172"/>
      <c r="BAA409" s="172"/>
      <c r="BAB409" s="172"/>
      <c r="BAC409" s="172"/>
      <c r="BAD409" s="172"/>
      <c r="BAE409" s="172"/>
      <c r="BAF409" s="172"/>
      <c r="BAG409" s="172"/>
      <c r="BAH409" s="172"/>
      <c r="BAI409" s="172"/>
      <c r="BAJ409" s="172"/>
      <c r="BAK409" s="172"/>
      <c r="BAL409" s="172"/>
      <c r="BAM409" s="172"/>
      <c r="BAN409" s="172"/>
      <c r="BAO409" s="172"/>
      <c r="BAP409" s="172"/>
      <c r="BAQ409" s="172"/>
      <c r="BAR409" s="172"/>
      <c r="BAS409" s="172"/>
      <c r="BAT409" s="172"/>
      <c r="BAU409" s="172"/>
      <c r="BAV409" s="172"/>
      <c r="BAW409" s="172"/>
      <c r="BAX409" s="172"/>
      <c r="BAY409" s="172"/>
      <c r="BAZ409" s="172"/>
      <c r="BBA409" s="172"/>
      <c r="BBB409" s="172"/>
      <c r="BBC409" s="172"/>
      <c r="BBD409" s="172"/>
      <c r="BBE409" s="172"/>
      <c r="BBF409" s="172"/>
      <c r="BBG409" s="172"/>
      <c r="BBH409" s="172"/>
      <c r="BBI409" s="172"/>
      <c r="BBJ409" s="172"/>
      <c r="BBK409" s="172"/>
      <c r="BBL409" s="172"/>
      <c r="BBM409" s="172"/>
      <c r="BBN409" s="172"/>
      <c r="BBO409" s="172"/>
      <c r="BBP409" s="172"/>
      <c r="BBQ409" s="172"/>
      <c r="BBR409" s="172"/>
      <c r="BBS409" s="172"/>
      <c r="BBT409" s="172"/>
      <c r="BBU409" s="172"/>
      <c r="BBV409" s="172"/>
      <c r="BBW409" s="172"/>
      <c r="BBX409" s="172"/>
      <c r="BBY409" s="172"/>
      <c r="BBZ409" s="172"/>
      <c r="BCA409" s="172"/>
      <c r="BCB409" s="172"/>
      <c r="BCC409" s="172"/>
      <c r="BCD409" s="172"/>
      <c r="BCE409" s="172"/>
      <c r="BCF409" s="172"/>
      <c r="BCG409" s="172"/>
      <c r="BCH409" s="172"/>
      <c r="BCI409" s="172"/>
      <c r="BCJ409" s="172"/>
      <c r="BCK409" s="172"/>
      <c r="BCL409" s="172"/>
      <c r="BCM409" s="172"/>
      <c r="BCN409" s="172"/>
      <c r="BCO409" s="172"/>
      <c r="BCP409" s="172"/>
      <c r="BCQ409" s="172"/>
      <c r="BCR409" s="172"/>
      <c r="BCS409" s="172"/>
      <c r="BCT409" s="172"/>
      <c r="BCU409" s="172"/>
      <c r="BCV409" s="172"/>
      <c r="BCW409" s="172"/>
      <c r="BCX409" s="172"/>
      <c r="BCY409" s="172"/>
      <c r="BCZ409" s="172"/>
      <c r="BDA409" s="172"/>
      <c r="BDB409" s="172"/>
      <c r="BDC409" s="172"/>
      <c r="BDD409" s="172"/>
      <c r="BDE409" s="172"/>
      <c r="BDF409" s="172"/>
      <c r="BDG409" s="172"/>
      <c r="BDH409" s="172"/>
      <c r="BDI409" s="172"/>
      <c r="BDJ409" s="172"/>
      <c r="BDK409" s="172"/>
      <c r="BDL409" s="172"/>
      <c r="BDM409" s="172"/>
      <c r="BDN409" s="172"/>
      <c r="BDO409" s="172"/>
      <c r="BDP409" s="172"/>
      <c r="BDQ409" s="172"/>
      <c r="BDR409" s="172"/>
      <c r="BDS409" s="172"/>
      <c r="BDT409" s="172"/>
      <c r="BDU409" s="172"/>
      <c r="BDV409" s="172"/>
      <c r="BDW409" s="172"/>
      <c r="BDX409" s="172"/>
      <c r="BDY409" s="172"/>
      <c r="BDZ409" s="172"/>
      <c r="BEA409" s="172"/>
      <c r="BEB409" s="172"/>
      <c r="BEC409" s="172"/>
      <c r="BED409" s="172"/>
      <c r="BEE409" s="172"/>
      <c r="BEF409" s="172"/>
      <c r="BEG409" s="172"/>
      <c r="BEH409" s="172"/>
      <c r="BEI409" s="172"/>
      <c r="BEJ409" s="172"/>
      <c r="BEK409" s="172"/>
      <c r="BEL409" s="172"/>
      <c r="BEM409" s="172"/>
      <c r="BEN409" s="172"/>
      <c r="BEO409" s="172"/>
      <c r="BEP409" s="172"/>
      <c r="BEQ409" s="172"/>
      <c r="BER409" s="172"/>
      <c r="BES409" s="172"/>
      <c r="BET409" s="172"/>
      <c r="BEU409" s="172"/>
      <c r="BEV409" s="172"/>
      <c r="BEW409" s="172"/>
      <c r="BEX409" s="172"/>
      <c r="BEY409" s="172"/>
      <c r="BEZ409" s="172"/>
      <c r="BFA409" s="172"/>
      <c r="BFB409" s="172"/>
      <c r="BFC409" s="172"/>
      <c r="BFD409" s="172"/>
      <c r="BFE409" s="172"/>
      <c r="BFF409" s="172"/>
      <c r="BFG409" s="172"/>
      <c r="BFH409" s="172"/>
      <c r="BFI409" s="172"/>
      <c r="BFJ409" s="172"/>
      <c r="BFK409" s="172"/>
      <c r="BFL409" s="172"/>
      <c r="BFM409" s="172"/>
      <c r="BFN409" s="172"/>
      <c r="BFO409" s="172"/>
      <c r="BFP409" s="172"/>
      <c r="BFQ409" s="172"/>
      <c r="BFR409" s="172"/>
      <c r="BFS409" s="172"/>
      <c r="BFT409" s="172"/>
      <c r="BFU409" s="172"/>
      <c r="BFV409" s="172"/>
      <c r="BFW409" s="172"/>
      <c r="BFX409" s="172"/>
      <c r="BFY409" s="172"/>
      <c r="BFZ409" s="172"/>
      <c r="BGA409" s="172"/>
      <c r="BGB409" s="172"/>
      <c r="BGC409" s="172"/>
      <c r="BGD409" s="172"/>
      <c r="BGE409" s="172"/>
      <c r="BGF409" s="172"/>
      <c r="BGG409" s="172"/>
      <c r="BGH409" s="172"/>
      <c r="BGI409" s="172"/>
      <c r="BGJ409" s="172"/>
      <c r="BGK409" s="172"/>
      <c r="BGL409" s="172"/>
      <c r="BGM409" s="172"/>
      <c r="BGN409" s="172"/>
      <c r="BGO409" s="172"/>
      <c r="BGP409" s="172"/>
      <c r="BGQ409" s="172"/>
      <c r="BGR409" s="172"/>
      <c r="BGS409" s="172"/>
      <c r="BGT409" s="172"/>
      <c r="BGU409" s="172"/>
      <c r="BGV409" s="172"/>
      <c r="BGW409" s="172"/>
      <c r="BGX409" s="172"/>
      <c r="BGY409" s="172"/>
      <c r="BGZ409" s="172"/>
      <c r="BHA409" s="172"/>
      <c r="BHB409" s="172"/>
      <c r="BHC409" s="172"/>
      <c r="BHD409" s="172"/>
      <c r="BHE409" s="172"/>
      <c r="BHF409" s="172"/>
      <c r="BHG409" s="172"/>
      <c r="BHH409" s="172"/>
      <c r="BHI409" s="172"/>
      <c r="BHJ409" s="172"/>
      <c r="BHK409" s="172"/>
      <c r="BHL409" s="172"/>
      <c r="BHM409" s="172"/>
      <c r="BHN409" s="172"/>
      <c r="BHO409" s="172"/>
      <c r="BHP409" s="172"/>
      <c r="BHQ409" s="172"/>
      <c r="BHR409" s="172"/>
      <c r="BHS409" s="172"/>
      <c r="BHT409" s="172"/>
      <c r="BHU409" s="172"/>
      <c r="BHV409" s="172"/>
      <c r="BHW409" s="172"/>
      <c r="BHX409" s="172"/>
      <c r="BHY409" s="172"/>
      <c r="BHZ409" s="172"/>
      <c r="BIA409" s="172"/>
      <c r="BIB409" s="172"/>
      <c r="BIC409" s="172"/>
      <c r="BID409" s="172"/>
      <c r="BIE409" s="172"/>
      <c r="BIF409" s="172"/>
      <c r="BIG409" s="172"/>
      <c r="BIH409" s="172"/>
      <c r="BII409" s="172"/>
      <c r="BIJ409" s="172"/>
      <c r="BIK409" s="172"/>
      <c r="BIL409" s="172"/>
      <c r="BIM409" s="172"/>
      <c r="BIN409" s="172"/>
      <c r="BIO409" s="172"/>
      <c r="BIP409" s="172"/>
      <c r="BIQ409" s="172"/>
      <c r="BIR409" s="172"/>
      <c r="BIS409" s="172"/>
      <c r="BIT409" s="172"/>
      <c r="BIU409" s="172"/>
      <c r="BIV409" s="172"/>
      <c r="BIW409" s="172"/>
      <c r="BIX409" s="172"/>
      <c r="BIY409" s="172"/>
      <c r="BIZ409" s="172"/>
      <c r="BJA409" s="172"/>
      <c r="BJB409" s="172"/>
      <c r="BJC409" s="172"/>
      <c r="BJD409" s="172"/>
      <c r="BJE409" s="172"/>
      <c r="BJF409" s="172"/>
      <c r="BJG409" s="172"/>
      <c r="BJH409" s="172"/>
      <c r="BJI409" s="172"/>
      <c r="BJJ409" s="172"/>
      <c r="BJK409" s="172"/>
      <c r="BJL409" s="172"/>
      <c r="BJM409" s="172"/>
      <c r="BJN409" s="172"/>
      <c r="BJO409" s="172"/>
      <c r="BJP409" s="172"/>
      <c r="BJQ409" s="172"/>
      <c r="BJR409" s="172"/>
      <c r="BJS409" s="172"/>
      <c r="BJT409" s="172"/>
      <c r="BJU409" s="172"/>
      <c r="BJV409" s="172"/>
      <c r="BJW409" s="172"/>
      <c r="BJX409" s="172"/>
      <c r="BJY409" s="172"/>
      <c r="BJZ409" s="172"/>
      <c r="BKA409" s="172"/>
      <c r="BKB409" s="172"/>
      <c r="BKC409" s="172"/>
      <c r="BKD409" s="172"/>
      <c r="BKE409" s="172"/>
      <c r="BKF409" s="172"/>
      <c r="BKG409" s="172"/>
      <c r="BKH409" s="172"/>
      <c r="BKI409" s="172"/>
      <c r="BKJ409" s="172"/>
      <c r="BKK409" s="172"/>
      <c r="BKL409" s="172"/>
      <c r="BKM409" s="172"/>
      <c r="BKN409" s="172"/>
      <c r="BKO409" s="172"/>
      <c r="BKP409" s="172"/>
      <c r="BKQ409" s="172"/>
      <c r="BKR409" s="172"/>
      <c r="BKS409" s="172"/>
      <c r="BKT409" s="172"/>
      <c r="BKU409" s="172"/>
      <c r="BKV409" s="172"/>
      <c r="BKW409" s="172"/>
      <c r="BKX409" s="172"/>
      <c r="BKY409" s="172"/>
      <c r="BKZ409" s="172"/>
      <c r="BLA409" s="172"/>
      <c r="BLB409" s="172"/>
      <c r="BLC409" s="172"/>
      <c r="BLD409" s="172"/>
      <c r="BLE409" s="172"/>
      <c r="BLF409" s="172"/>
      <c r="BLG409" s="172"/>
      <c r="BLH409" s="172"/>
      <c r="BLI409" s="172"/>
      <c r="BLJ409" s="172"/>
      <c r="BLK409" s="172"/>
      <c r="BLL409" s="172"/>
      <c r="BLM409" s="172"/>
      <c r="BLN409" s="172"/>
      <c r="BLO409" s="172"/>
      <c r="BLP409" s="172"/>
      <c r="BLQ409" s="172"/>
      <c r="BLR409" s="172"/>
      <c r="BLS409" s="172"/>
      <c r="BLT409" s="172"/>
      <c r="BLU409" s="172"/>
      <c r="BLV409" s="172"/>
      <c r="BLW409" s="172"/>
      <c r="BLX409" s="172"/>
      <c r="BLY409" s="172"/>
      <c r="BLZ409" s="172"/>
      <c r="BMA409" s="172"/>
      <c r="BMB409" s="172"/>
      <c r="BMC409" s="172"/>
      <c r="BMD409" s="172"/>
      <c r="BME409" s="172"/>
      <c r="BMF409" s="172"/>
      <c r="BMG409" s="172"/>
      <c r="BMH409" s="172"/>
      <c r="BMI409" s="172"/>
      <c r="BMJ409" s="172"/>
      <c r="BMK409" s="172"/>
      <c r="BML409" s="172"/>
      <c r="BMM409" s="172"/>
      <c r="BMN409" s="172"/>
      <c r="BMO409" s="172"/>
      <c r="BMP409" s="172"/>
      <c r="BMQ409" s="172"/>
      <c r="BMR409" s="172"/>
      <c r="BMS409" s="172"/>
      <c r="BMT409" s="172"/>
      <c r="BMU409" s="172"/>
      <c r="BMV409" s="172"/>
      <c r="BMW409" s="172"/>
      <c r="BMX409" s="172"/>
      <c r="BMY409" s="172"/>
      <c r="BMZ409" s="172"/>
      <c r="BNA409" s="172"/>
      <c r="BNB409" s="172"/>
      <c r="BNC409" s="172"/>
      <c r="BND409" s="172"/>
      <c r="BNE409" s="172"/>
      <c r="BNF409" s="172"/>
      <c r="BNG409" s="172"/>
      <c r="BNH409" s="172"/>
      <c r="BNI409" s="172"/>
      <c r="BNJ409" s="172"/>
      <c r="BNK409" s="172"/>
      <c r="BNL409" s="172"/>
      <c r="BNM409" s="172"/>
      <c r="BNN409" s="172"/>
      <c r="BNO409" s="172"/>
      <c r="BNP409" s="172"/>
      <c r="BNQ409" s="172"/>
      <c r="BNR409" s="172"/>
      <c r="BNS409" s="172"/>
      <c r="BNT409" s="172"/>
      <c r="BNU409" s="172"/>
      <c r="BNV409" s="172"/>
      <c r="BNW409" s="172"/>
      <c r="BNX409" s="172"/>
      <c r="BNY409" s="172"/>
      <c r="BNZ409" s="172"/>
      <c r="BOA409" s="172"/>
      <c r="BOB409" s="172"/>
      <c r="BOC409" s="172"/>
      <c r="BOD409" s="172"/>
      <c r="BOE409" s="172"/>
      <c r="BOF409" s="172"/>
      <c r="BOG409" s="172"/>
      <c r="BOH409" s="172"/>
      <c r="BOI409" s="172"/>
      <c r="BOJ409" s="172"/>
      <c r="BOK409" s="172"/>
      <c r="BOL409" s="172"/>
      <c r="BOM409" s="172"/>
      <c r="BON409" s="172"/>
      <c r="BOO409" s="172"/>
      <c r="BOP409" s="172"/>
      <c r="BOQ409" s="172"/>
      <c r="BOR409" s="172"/>
      <c r="BOS409" s="172"/>
      <c r="BOT409" s="172"/>
      <c r="BOU409" s="172"/>
      <c r="BOV409" s="172"/>
      <c r="BOW409" s="172"/>
      <c r="BOX409" s="172"/>
      <c r="BOY409" s="172"/>
      <c r="BOZ409" s="172"/>
      <c r="BPA409" s="172"/>
      <c r="BPB409" s="172"/>
      <c r="BPC409" s="172"/>
      <c r="BPD409" s="172"/>
      <c r="BPE409" s="172"/>
      <c r="BPF409" s="172"/>
      <c r="BPG409" s="172"/>
      <c r="BPH409" s="172"/>
      <c r="BPI409" s="172"/>
      <c r="BPJ409" s="172"/>
      <c r="BPK409" s="172"/>
      <c r="BPL409" s="172"/>
      <c r="BPM409" s="172"/>
      <c r="BPN409" s="172"/>
      <c r="BPO409" s="172"/>
      <c r="BPP409" s="172"/>
      <c r="BPQ409" s="172"/>
      <c r="BPR409" s="172"/>
      <c r="BPS409" s="172"/>
      <c r="BPT409" s="172"/>
      <c r="BPU409" s="172"/>
      <c r="BPV409" s="172"/>
      <c r="BPW409" s="172"/>
      <c r="BPX409" s="172"/>
      <c r="BPY409" s="172"/>
      <c r="BPZ409" s="172"/>
      <c r="BQA409" s="172"/>
      <c r="BQB409" s="172"/>
      <c r="BQC409" s="172"/>
      <c r="BQD409" s="172"/>
      <c r="BQE409" s="172"/>
      <c r="BQF409" s="172"/>
      <c r="BQG409" s="172"/>
      <c r="BQH409" s="172"/>
      <c r="BQI409" s="172"/>
      <c r="BQJ409" s="172"/>
      <c r="BQK409" s="172"/>
      <c r="BQL409" s="172"/>
      <c r="BQM409" s="172"/>
      <c r="BQN409" s="172"/>
      <c r="BQO409" s="172"/>
      <c r="BQP409" s="172"/>
      <c r="BQQ409" s="172"/>
      <c r="BQR409" s="172"/>
      <c r="BQS409" s="172"/>
      <c r="BQT409" s="172"/>
      <c r="BQU409" s="172"/>
      <c r="BQV409" s="172"/>
      <c r="BQW409" s="172"/>
      <c r="BQX409" s="172"/>
      <c r="BQY409" s="172"/>
      <c r="BQZ409" s="172"/>
      <c r="BRA409" s="172"/>
      <c r="BRB409" s="172"/>
      <c r="BRC409" s="172"/>
      <c r="BRD409" s="172"/>
      <c r="BRE409" s="172"/>
      <c r="BRF409" s="172"/>
      <c r="BRG409" s="172"/>
      <c r="BRH409" s="172"/>
      <c r="BRI409" s="172"/>
      <c r="BRJ409" s="172"/>
      <c r="BRK409" s="172"/>
      <c r="BRL409" s="172"/>
      <c r="BRM409" s="172"/>
      <c r="BRN409" s="172"/>
      <c r="BRO409" s="172"/>
      <c r="BRP409" s="172"/>
      <c r="BRQ409" s="172"/>
      <c r="BRR409" s="172"/>
      <c r="BRS409" s="172"/>
      <c r="BRT409" s="172"/>
      <c r="BRU409" s="172"/>
      <c r="BRV409" s="172"/>
      <c r="BRW409" s="172"/>
      <c r="BRX409" s="172"/>
      <c r="BRY409" s="172"/>
      <c r="BRZ409" s="172"/>
      <c r="BSA409" s="172"/>
      <c r="BSB409" s="172"/>
      <c r="BSC409" s="172"/>
      <c r="BSD409" s="172"/>
      <c r="BSE409" s="172"/>
      <c r="BSF409" s="172"/>
      <c r="BSG409" s="172"/>
      <c r="BSH409" s="172"/>
      <c r="BSI409" s="172"/>
      <c r="BSJ409" s="172"/>
      <c r="BSK409" s="172"/>
      <c r="BSL409" s="172"/>
      <c r="BSM409" s="172"/>
      <c r="BSN409" s="172"/>
      <c r="BSO409" s="172"/>
      <c r="BSP409" s="172"/>
      <c r="BSQ409" s="172"/>
      <c r="BSR409" s="172"/>
      <c r="BSS409" s="172"/>
      <c r="BST409" s="172"/>
      <c r="BSU409" s="172"/>
      <c r="BSV409" s="172"/>
      <c r="BSW409" s="172"/>
      <c r="BSX409" s="172"/>
      <c r="BSY409" s="172"/>
      <c r="BSZ409" s="172"/>
      <c r="BTA409" s="172"/>
      <c r="BTB409" s="172"/>
      <c r="BTC409" s="172"/>
      <c r="BTD409" s="172"/>
      <c r="BTE409" s="172"/>
      <c r="BTF409" s="172"/>
      <c r="BTG409" s="172"/>
      <c r="BTH409" s="172"/>
      <c r="BTI409" s="172"/>
      <c r="BTJ409" s="172"/>
      <c r="BTK409" s="172"/>
      <c r="BTL409" s="172"/>
      <c r="BTM409" s="172"/>
      <c r="BTN409" s="172"/>
      <c r="BTO409" s="172"/>
      <c r="BTP409" s="172"/>
      <c r="BTQ409" s="172"/>
      <c r="BTR409" s="172"/>
      <c r="BTS409" s="172"/>
      <c r="BTT409" s="172"/>
      <c r="BTU409" s="172"/>
      <c r="BTV409" s="172"/>
      <c r="BTW409" s="172"/>
      <c r="BTX409" s="172"/>
      <c r="BTY409" s="172"/>
      <c r="BTZ409" s="172"/>
      <c r="BUA409" s="172"/>
      <c r="BUB409" s="172"/>
      <c r="BUC409" s="172"/>
      <c r="BUD409" s="172"/>
      <c r="BUE409" s="172"/>
      <c r="BUF409" s="172"/>
      <c r="BUG409" s="172"/>
      <c r="BUH409" s="172"/>
      <c r="BUI409" s="172"/>
      <c r="BUJ409" s="172"/>
      <c r="BUK409" s="172"/>
      <c r="BUL409" s="172"/>
      <c r="BUM409" s="172"/>
      <c r="BUN409" s="172"/>
      <c r="BUO409" s="172"/>
      <c r="BUP409" s="172"/>
      <c r="BUQ409" s="172"/>
      <c r="BUR409" s="172"/>
      <c r="BUS409" s="172"/>
      <c r="BUT409" s="172"/>
      <c r="BUU409" s="172"/>
      <c r="BUV409" s="172"/>
      <c r="BUW409" s="172"/>
      <c r="BUX409" s="172"/>
      <c r="BUY409" s="172"/>
      <c r="BUZ409" s="172"/>
      <c r="BVA409" s="172"/>
      <c r="BVB409" s="172"/>
      <c r="BVC409" s="172"/>
      <c r="BVD409" s="172"/>
      <c r="BVE409" s="172"/>
      <c r="BVF409" s="172"/>
      <c r="BVG409" s="172"/>
      <c r="BVH409" s="172"/>
      <c r="BVI409" s="172"/>
      <c r="BVJ409" s="172"/>
      <c r="BVK409" s="172"/>
      <c r="BVL409" s="172"/>
      <c r="BVM409" s="172"/>
      <c r="BVN409" s="172"/>
      <c r="BVO409" s="172"/>
      <c r="BVP409" s="172"/>
      <c r="BVQ409" s="172"/>
      <c r="BVR409" s="172"/>
      <c r="BVS409" s="172"/>
      <c r="BVT409" s="172"/>
      <c r="BVU409" s="172"/>
      <c r="BVV409" s="172"/>
      <c r="BVW409" s="172"/>
      <c r="BVX409" s="172"/>
      <c r="BVY409" s="172"/>
      <c r="BVZ409" s="172"/>
      <c r="BWA409" s="172"/>
      <c r="BWB409" s="172"/>
      <c r="BWC409" s="172"/>
      <c r="BWD409" s="172"/>
      <c r="BWE409" s="172"/>
      <c r="BWF409" s="172"/>
      <c r="BWG409" s="172"/>
      <c r="BWH409" s="172"/>
      <c r="BWI409" s="172"/>
      <c r="BWJ409" s="172"/>
      <c r="BWK409" s="172"/>
      <c r="BWL409" s="172"/>
      <c r="BWM409" s="172"/>
      <c r="BWN409" s="172"/>
      <c r="BWO409" s="172"/>
      <c r="BWP409" s="172"/>
      <c r="BWQ409" s="172"/>
      <c r="BWR409" s="172"/>
      <c r="BWS409" s="172"/>
      <c r="BWT409" s="172"/>
      <c r="BWU409" s="172"/>
      <c r="BWV409" s="172"/>
      <c r="BWW409" s="172"/>
      <c r="BWX409" s="172"/>
      <c r="BWY409" s="172"/>
      <c r="BWZ409" s="172"/>
      <c r="BXA409" s="172"/>
      <c r="BXB409" s="172"/>
      <c r="BXC409" s="172"/>
      <c r="BXD409" s="172"/>
      <c r="BXE409" s="172"/>
      <c r="BXF409" s="172"/>
      <c r="BXG409" s="172"/>
      <c r="BXH409" s="172"/>
      <c r="BXI409" s="172"/>
      <c r="BXJ409" s="172"/>
      <c r="BXK409" s="172"/>
      <c r="BXL409" s="172"/>
      <c r="BXM409" s="172"/>
      <c r="BXN409" s="172"/>
      <c r="BXO409" s="172"/>
      <c r="BXP409" s="172"/>
      <c r="BXQ409" s="172"/>
      <c r="BXR409" s="172"/>
      <c r="BXS409" s="172"/>
      <c r="BXT409" s="172"/>
      <c r="BXU409" s="172"/>
      <c r="BXV409" s="172"/>
      <c r="BXW409" s="172"/>
      <c r="BXX409" s="172"/>
      <c r="BXY409" s="172"/>
      <c r="BXZ409" s="172"/>
      <c r="BYA409" s="172"/>
      <c r="BYB409" s="172"/>
      <c r="BYC409" s="172"/>
      <c r="BYD409" s="172"/>
      <c r="BYE409" s="172"/>
      <c r="BYF409" s="172"/>
      <c r="BYG409" s="172"/>
      <c r="BYH409" s="172"/>
      <c r="BYI409" s="172"/>
      <c r="BYJ409" s="172"/>
      <c r="BYK409" s="172"/>
      <c r="BYL409" s="172"/>
      <c r="BYM409" s="172"/>
      <c r="BYN409" s="172"/>
      <c r="BYO409" s="172"/>
      <c r="BYP409" s="172"/>
      <c r="BYQ409" s="172"/>
      <c r="BYR409" s="172"/>
      <c r="BYS409" s="172"/>
      <c r="BYT409" s="172"/>
      <c r="BYU409" s="172"/>
      <c r="BYV409" s="172"/>
      <c r="BYW409" s="172"/>
      <c r="BYX409" s="172"/>
      <c r="BYY409" s="172"/>
      <c r="BYZ409" s="172"/>
      <c r="BZA409" s="172"/>
      <c r="BZB409" s="172"/>
      <c r="BZC409" s="172"/>
      <c r="BZD409" s="172"/>
      <c r="BZE409" s="172"/>
      <c r="BZF409" s="172"/>
      <c r="BZG409" s="172"/>
      <c r="BZH409" s="172"/>
      <c r="BZI409" s="172"/>
      <c r="BZJ409" s="172"/>
      <c r="BZK409" s="172"/>
      <c r="BZL409" s="172"/>
      <c r="BZM409" s="172"/>
      <c r="BZN409" s="172"/>
      <c r="BZO409" s="172"/>
      <c r="BZP409" s="172"/>
      <c r="BZQ409" s="172"/>
      <c r="BZR409" s="172"/>
      <c r="BZS409" s="172"/>
      <c r="BZT409" s="172"/>
      <c r="BZU409" s="172"/>
      <c r="BZV409" s="172"/>
      <c r="BZW409" s="172"/>
      <c r="BZX409" s="172"/>
      <c r="BZY409" s="172"/>
      <c r="BZZ409" s="172"/>
      <c r="CAA409" s="172"/>
      <c r="CAB409" s="172"/>
      <c r="CAC409" s="172"/>
      <c r="CAD409" s="172"/>
      <c r="CAE409" s="172"/>
      <c r="CAF409" s="172"/>
      <c r="CAG409" s="172"/>
      <c r="CAH409" s="172"/>
      <c r="CAI409" s="172"/>
      <c r="CAJ409" s="172"/>
      <c r="CAK409" s="172"/>
      <c r="CAL409" s="172"/>
      <c r="CAM409" s="172"/>
      <c r="CAN409" s="172"/>
      <c r="CAO409" s="172"/>
      <c r="CAP409" s="172"/>
      <c r="CAQ409" s="172"/>
      <c r="CAR409" s="172"/>
      <c r="CAS409" s="172"/>
      <c r="CAT409" s="172"/>
      <c r="CAU409" s="172"/>
      <c r="CAV409" s="172"/>
      <c r="CAW409" s="172"/>
      <c r="CAX409" s="172"/>
      <c r="CAY409" s="172"/>
      <c r="CAZ409" s="172"/>
      <c r="CBA409" s="172"/>
      <c r="CBB409" s="172"/>
      <c r="CBC409" s="172"/>
      <c r="CBD409" s="172"/>
      <c r="CBE409" s="172"/>
      <c r="CBF409" s="172"/>
      <c r="CBG409" s="172"/>
      <c r="CBH409" s="172"/>
      <c r="CBI409" s="172"/>
      <c r="CBJ409" s="172"/>
      <c r="CBK409" s="172"/>
      <c r="CBL409" s="172"/>
      <c r="CBM409" s="172"/>
      <c r="CBN409" s="172"/>
      <c r="CBO409" s="172"/>
      <c r="CBP409" s="172"/>
      <c r="CBQ409" s="172"/>
      <c r="CBR409" s="172"/>
      <c r="CBS409" s="172"/>
      <c r="CBT409" s="172"/>
      <c r="CBU409" s="172"/>
      <c r="CBV409" s="172"/>
      <c r="CBW409" s="172"/>
      <c r="CBX409" s="172"/>
      <c r="CBY409" s="172"/>
      <c r="CBZ409" s="172"/>
      <c r="CCA409" s="172"/>
      <c r="CCB409" s="172"/>
      <c r="CCC409" s="172"/>
      <c r="CCD409" s="172"/>
      <c r="CCE409" s="172"/>
      <c r="CCF409" s="172"/>
      <c r="CCG409" s="172"/>
      <c r="CCH409" s="172"/>
      <c r="CCI409" s="172"/>
      <c r="CCJ409" s="172"/>
      <c r="CCK409" s="172"/>
      <c r="CCL409" s="172"/>
      <c r="CCM409" s="172"/>
      <c r="CCN409" s="172"/>
      <c r="CCO409" s="172"/>
      <c r="CCP409" s="172"/>
      <c r="CCQ409" s="172"/>
      <c r="CCR409" s="172"/>
      <c r="CCS409" s="172"/>
      <c r="CCT409" s="172"/>
      <c r="CCU409" s="172"/>
      <c r="CCV409" s="172"/>
      <c r="CCW409" s="172"/>
      <c r="CCX409" s="172"/>
      <c r="CCY409" s="172"/>
      <c r="CCZ409" s="172"/>
      <c r="CDA409" s="172"/>
      <c r="CDB409" s="172"/>
      <c r="CDC409" s="172"/>
      <c r="CDD409" s="172"/>
      <c r="CDE409" s="172"/>
      <c r="CDF409" s="172"/>
      <c r="CDG409" s="172"/>
      <c r="CDH409" s="172"/>
      <c r="CDI409" s="172"/>
      <c r="CDJ409" s="172"/>
      <c r="CDK409" s="172"/>
      <c r="CDL409" s="172"/>
      <c r="CDM409" s="172"/>
      <c r="CDN409" s="172"/>
      <c r="CDO409" s="172"/>
      <c r="CDP409" s="172"/>
      <c r="CDQ409" s="172"/>
      <c r="CDR409" s="172"/>
      <c r="CDS409" s="172"/>
      <c r="CDT409" s="172"/>
      <c r="CDU409" s="172"/>
      <c r="CDV409" s="172"/>
      <c r="CDW409" s="172"/>
      <c r="CDX409" s="172"/>
      <c r="CDY409" s="172"/>
      <c r="CDZ409" s="172"/>
      <c r="CEA409" s="172"/>
      <c r="CEB409" s="172"/>
      <c r="CEC409" s="172"/>
      <c r="CED409" s="172"/>
      <c r="CEE409" s="172"/>
      <c r="CEF409" s="172"/>
      <c r="CEG409" s="172"/>
      <c r="CEH409" s="172"/>
      <c r="CEI409" s="172"/>
      <c r="CEJ409" s="172"/>
      <c r="CEK409" s="172"/>
      <c r="CEL409" s="172"/>
      <c r="CEM409" s="172"/>
      <c r="CEN409" s="172"/>
      <c r="CEO409" s="172"/>
      <c r="CEP409" s="172"/>
      <c r="CEQ409" s="172"/>
      <c r="CER409" s="172"/>
      <c r="CES409" s="172"/>
      <c r="CET409" s="172"/>
      <c r="CEU409" s="172"/>
      <c r="CEV409" s="172"/>
      <c r="CEW409" s="172"/>
      <c r="CEX409" s="172"/>
      <c r="CEY409" s="172"/>
      <c r="CEZ409" s="172"/>
      <c r="CFA409" s="172"/>
      <c r="CFB409" s="172"/>
      <c r="CFC409" s="172"/>
      <c r="CFD409" s="172"/>
      <c r="CFE409" s="172"/>
      <c r="CFF409" s="172"/>
      <c r="CFG409" s="172"/>
      <c r="CFH409" s="172"/>
      <c r="CFI409" s="172"/>
      <c r="CFJ409" s="172"/>
      <c r="CFK409" s="172"/>
      <c r="CFL409" s="172"/>
      <c r="CFM409" s="172"/>
      <c r="CFN409" s="172"/>
      <c r="CFO409" s="172"/>
      <c r="CFP409" s="172"/>
      <c r="CFQ409" s="172"/>
      <c r="CFR409" s="172"/>
      <c r="CFS409" s="172"/>
      <c r="CFT409" s="172"/>
      <c r="CFU409" s="172"/>
      <c r="CFV409" s="172"/>
      <c r="CFW409" s="172"/>
      <c r="CFX409" s="172"/>
      <c r="CFY409" s="172"/>
      <c r="CFZ409" s="172"/>
      <c r="CGA409" s="172"/>
      <c r="CGB409" s="172"/>
      <c r="CGC409" s="172"/>
      <c r="CGD409" s="172"/>
      <c r="CGE409" s="172"/>
      <c r="CGF409" s="172"/>
      <c r="CGG409" s="172"/>
      <c r="CGH409" s="172"/>
      <c r="CGI409" s="172"/>
      <c r="CGJ409" s="172"/>
      <c r="CGK409" s="172"/>
      <c r="CGL409" s="172"/>
      <c r="CGM409" s="172"/>
      <c r="CGN409" s="172"/>
      <c r="CGO409" s="172"/>
      <c r="CGP409" s="172"/>
      <c r="CGQ409" s="172"/>
      <c r="CGR409" s="172"/>
      <c r="CGS409" s="172"/>
      <c r="CGT409" s="172"/>
      <c r="CGU409" s="172"/>
      <c r="CGV409" s="172"/>
      <c r="CGW409" s="172"/>
      <c r="CGX409" s="172"/>
      <c r="CGY409" s="172"/>
      <c r="CGZ409" s="172"/>
      <c r="CHA409" s="172"/>
      <c r="CHB409" s="172"/>
      <c r="CHC409" s="172"/>
      <c r="CHD409" s="172"/>
      <c r="CHE409" s="172"/>
      <c r="CHF409" s="172"/>
      <c r="CHG409" s="172"/>
      <c r="CHH409" s="172"/>
      <c r="CHI409" s="172"/>
      <c r="CHJ409" s="172"/>
      <c r="CHK409" s="172"/>
      <c r="CHL409" s="172"/>
      <c r="CHM409" s="172"/>
      <c r="CHN409" s="172"/>
      <c r="CHO409" s="172"/>
      <c r="CHP409" s="172"/>
      <c r="CHQ409" s="172"/>
      <c r="CHR409" s="172"/>
      <c r="CHS409" s="172"/>
      <c r="CHT409" s="172"/>
      <c r="CHU409" s="172"/>
      <c r="CHV409" s="172"/>
      <c r="CHW409" s="172"/>
      <c r="CHX409" s="172"/>
      <c r="CHY409" s="172"/>
      <c r="CHZ409" s="172"/>
      <c r="CIA409" s="172"/>
      <c r="CIB409" s="172"/>
      <c r="CIC409" s="172"/>
      <c r="CID409" s="172"/>
      <c r="CIE409" s="172"/>
      <c r="CIF409" s="172"/>
      <c r="CIG409" s="172"/>
      <c r="CIH409" s="172"/>
      <c r="CII409" s="172"/>
      <c r="CIJ409" s="172"/>
      <c r="CIK409" s="172"/>
      <c r="CIL409" s="172"/>
      <c r="CIM409" s="172"/>
      <c r="CIN409" s="172"/>
      <c r="CIO409" s="172"/>
      <c r="CIP409" s="172"/>
      <c r="CIQ409" s="172"/>
      <c r="CIR409" s="172"/>
      <c r="CIS409" s="172"/>
      <c r="CIT409" s="172"/>
      <c r="CIU409" s="172"/>
      <c r="CIV409" s="172"/>
      <c r="CIW409" s="172"/>
      <c r="CIX409" s="172"/>
      <c r="CIY409" s="172"/>
      <c r="CIZ409" s="172"/>
      <c r="CJA409" s="172"/>
      <c r="CJB409" s="172"/>
      <c r="CJC409" s="172"/>
      <c r="CJD409" s="172"/>
      <c r="CJE409" s="172"/>
      <c r="CJF409" s="172"/>
      <c r="CJG409" s="172"/>
      <c r="CJH409" s="172"/>
      <c r="CJI409" s="172"/>
      <c r="CJJ409" s="172"/>
      <c r="CJK409" s="172"/>
      <c r="CJL409" s="172"/>
      <c r="CJM409" s="172"/>
      <c r="CJN409" s="172"/>
      <c r="CJO409" s="172"/>
      <c r="CJP409" s="172"/>
      <c r="CJQ409" s="172"/>
      <c r="CJR409" s="172"/>
      <c r="CJS409" s="172"/>
      <c r="CJT409" s="172"/>
      <c r="CJU409" s="172"/>
      <c r="CJV409" s="172"/>
      <c r="CJW409" s="172"/>
      <c r="CJX409" s="172"/>
      <c r="CJY409" s="172"/>
      <c r="CJZ409" s="172"/>
      <c r="CKA409" s="172"/>
      <c r="CKB409" s="172"/>
      <c r="CKC409" s="172"/>
      <c r="CKD409" s="172"/>
      <c r="CKE409" s="172"/>
      <c r="CKF409" s="172"/>
      <c r="CKG409" s="172"/>
      <c r="CKH409" s="172"/>
      <c r="CKI409" s="172"/>
      <c r="CKJ409" s="172"/>
      <c r="CKK409" s="172"/>
      <c r="CKL409" s="172"/>
      <c r="CKM409" s="172"/>
      <c r="CKN409" s="172"/>
      <c r="CKO409" s="172"/>
      <c r="CKP409" s="172"/>
      <c r="CKQ409" s="172"/>
      <c r="CKR409" s="172"/>
      <c r="CKS409" s="172"/>
      <c r="CKT409" s="172"/>
      <c r="CKU409" s="172"/>
      <c r="CKV409" s="172"/>
      <c r="CKW409" s="172"/>
      <c r="CKX409" s="172"/>
      <c r="CKY409" s="172"/>
      <c r="CKZ409" s="172"/>
      <c r="CLA409" s="172"/>
      <c r="CLB409" s="172"/>
      <c r="CLC409" s="172"/>
      <c r="CLD409" s="172"/>
      <c r="CLE409" s="172"/>
      <c r="CLF409" s="172"/>
      <c r="CLG409" s="172"/>
      <c r="CLH409" s="172"/>
      <c r="CLI409" s="172"/>
      <c r="CLJ409" s="172"/>
      <c r="CLK409" s="172"/>
      <c r="CLL409" s="172"/>
      <c r="CLM409" s="172"/>
      <c r="CLN409" s="172"/>
      <c r="CLO409" s="172"/>
      <c r="CLP409" s="172"/>
      <c r="CLQ409" s="172"/>
      <c r="CLR409" s="172"/>
      <c r="CLS409" s="172"/>
      <c r="CLT409" s="172"/>
      <c r="CLU409" s="172"/>
      <c r="CLV409" s="172"/>
      <c r="CLW409" s="172"/>
      <c r="CLX409" s="172"/>
      <c r="CLY409" s="172"/>
      <c r="CLZ409" s="172"/>
      <c r="CMA409" s="172"/>
      <c r="CMB409" s="172"/>
      <c r="CMC409" s="172"/>
      <c r="CMD409" s="172"/>
      <c r="CME409" s="172"/>
      <c r="CMF409" s="172"/>
      <c r="CMG409" s="172"/>
      <c r="CMH409" s="172"/>
      <c r="CMI409" s="172"/>
      <c r="CMJ409" s="172"/>
      <c r="CMK409" s="172"/>
      <c r="CML409" s="172"/>
      <c r="CMM409" s="172"/>
      <c r="CMN409" s="172"/>
      <c r="CMO409" s="172"/>
      <c r="CMP409" s="172"/>
      <c r="CMQ409" s="172"/>
      <c r="CMR409" s="172"/>
      <c r="CMS409" s="172"/>
      <c r="CMT409" s="172"/>
      <c r="CMU409" s="172"/>
      <c r="CMV409" s="172"/>
      <c r="CMW409" s="172"/>
      <c r="CMX409" s="172"/>
      <c r="CMY409" s="172"/>
      <c r="CMZ409" s="172"/>
      <c r="CNA409" s="172"/>
      <c r="CNB409" s="172"/>
      <c r="CNC409" s="172"/>
      <c r="CND409" s="172"/>
      <c r="CNE409" s="172"/>
      <c r="CNF409" s="172"/>
      <c r="CNG409" s="172"/>
      <c r="CNH409" s="172"/>
      <c r="CNI409" s="172"/>
      <c r="CNJ409" s="172"/>
      <c r="CNK409" s="172"/>
      <c r="CNL409" s="172"/>
      <c r="CNM409" s="172"/>
      <c r="CNN409" s="172"/>
      <c r="CNO409" s="172"/>
      <c r="CNP409" s="172"/>
      <c r="CNQ409" s="172"/>
      <c r="CNR409" s="172"/>
      <c r="CNS409" s="172"/>
      <c r="CNT409" s="172"/>
      <c r="CNU409" s="172"/>
      <c r="CNV409" s="172"/>
      <c r="CNW409" s="172"/>
      <c r="CNX409" s="172"/>
      <c r="CNY409" s="172"/>
      <c r="CNZ409" s="172"/>
      <c r="COA409" s="172"/>
      <c r="COB409" s="172"/>
      <c r="COC409" s="172"/>
      <c r="COD409" s="172"/>
      <c r="COE409" s="172"/>
      <c r="COF409" s="172"/>
      <c r="COG409" s="172"/>
      <c r="COH409" s="172"/>
      <c r="COI409" s="172"/>
      <c r="COJ409" s="172"/>
      <c r="COK409" s="172"/>
      <c r="COL409" s="172"/>
      <c r="COM409" s="172"/>
      <c r="CON409" s="172"/>
      <c r="COO409" s="172"/>
      <c r="COP409" s="172"/>
      <c r="COQ409" s="172"/>
      <c r="COR409" s="172"/>
      <c r="COS409" s="172"/>
      <c r="COT409" s="172"/>
      <c r="COU409" s="172"/>
      <c r="COV409" s="172"/>
      <c r="COW409" s="172"/>
      <c r="COX409" s="172"/>
      <c r="COY409" s="172"/>
      <c r="COZ409" s="172"/>
      <c r="CPA409" s="172"/>
      <c r="CPB409" s="172"/>
      <c r="CPC409" s="172"/>
      <c r="CPD409" s="172"/>
      <c r="CPE409" s="172"/>
      <c r="CPF409" s="172"/>
      <c r="CPG409" s="172"/>
      <c r="CPH409" s="172"/>
      <c r="CPI409" s="172"/>
      <c r="CPJ409" s="172"/>
      <c r="CPK409" s="172"/>
      <c r="CPL409" s="172"/>
      <c r="CPM409" s="172"/>
      <c r="CPN409" s="172"/>
      <c r="CPO409" s="172"/>
      <c r="CPP409" s="172"/>
      <c r="CPQ409" s="172"/>
      <c r="CPR409" s="172"/>
      <c r="CPS409" s="172"/>
      <c r="CPT409" s="172"/>
      <c r="CPU409" s="172"/>
      <c r="CPV409" s="172"/>
      <c r="CPW409" s="172"/>
      <c r="CPX409" s="172"/>
      <c r="CPY409" s="172"/>
      <c r="CPZ409" s="172"/>
      <c r="CQA409" s="172"/>
      <c r="CQB409" s="172"/>
      <c r="CQC409" s="172"/>
      <c r="CQD409" s="172"/>
      <c r="CQE409" s="172"/>
      <c r="CQF409" s="172"/>
      <c r="CQG409" s="172"/>
      <c r="CQH409" s="172"/>
      <c r="CQI409" s="172"/>
      <c r="CQJ409" s="172"/>
      <c r="CQK409" s="172"/>
      <c r="CQL409" s="172"/>
      <c r="CQM409" s="172"/>
      <c r="CQN409" s="172"/>
      <c r="CQO409" s="172"/>
      <c r="CQP409" s="172"/>
      <c r="CQQ409" s="172"/>
      <c r="CQR409" s="172"/>
      <c r="CQS409" s="172"/>
      <c r="CQT409" s="172"/>
      <c r="CQU409" s="172"/>
      <c r="CQV409" s="172"/>
      <c r="CQW409" s="172"/>
      <c r="CQX409" s="172"/>
      <c r="CQY409" s="172"/>
      <c r="CQZ409" s="172"/>
      <c r="CRA409" s="172"/>
      <c r="CRB409" s="172"/>
      <c r="CRC409" s="172"/>
      <c r="CRD409" s="172"/>
      <c r="CRE409" s="172"/>
      <c r="CRF409" s="172"/>
      <c r="CRG409" s="172"/>
      <c r="CRH409" s="172"/>
      <c r="CRI409" s="172"/>
      <c r="CRJ409" s="172"/>
      <c r="CRK409" s="172"/>
      <c r="CRL409" s="172"/>
      <c r="CRM409" s="172"/>
      <c r="CRN409" s="172"/>
      <c r="CRO409" s="172"/>
      <c r="CRP409" s="172"/>
      <c r="CRQ409" s="172"/>
      <c r="CRR409" s="172"/>
      <c r="CRS409" s="172"/>
      <c r="CRT409" s="172"/>
      <c r="CRU409" s="172"/>
      <c r="CRV409" s="172"/>
      <c r="CRW409" s="172"/>
      <c r="CRX409" s="172"/>
      <c r="CRY409" s="172"/>
      <c r="CRZ409" s="172"/>
      <c r="CSA409" s="172"/>
      <c r="CSB409" s="172"/>
      <c r="CSC409" s="172"/>
      <c r="CSD409" s="172"/>
      <c r="CSE409" s="172"/>
      <c r="CSF409" s="172"/>
      <c r="CSG409" s="172"/>
      <c r="CSH409" s="172"/>
      <c r="CSI409" s="172"/>
      <c r="CSJ409" s="172"/>
      <c r="CSK409" s="172"/>
      <c r="CSL409" s="172"/>
      <c r="CSM409" s="172"/>
      <c r="CSN409" s="172"/>
      <c r="CSO409" s="172"/>
      <c r="CSP409" s="172"/>
      <c r="CSQ409" s="172"/>
      <c r="CSR409" s="172"/>
      <c r="CSS409" s="172"/>
      <c r="CST409" s="172"/>
      <c r="CSU409" s="172"/>
      <c r="CSV409" s="172"/>
      <c r="CSW409" s="172"/>
      <c r="CSX409" s="172"/>
      <c r="CSY409" s="172"/>
      <c r="CSZ409" s="172"/>
      <c r="CTA409" s="172"/>
      <c r="CTB409" s="172"/>
      <c r="CTC409" s="172"/>
      <c r="CTD409" s="172"/>
      <c r="CTE409" s="172"/>
      <c r="CTF409" s="172"/>
      <c r="CTG409" s="172"/>
      <c r="CTH409" s="172"/>
      <c r="CTI409" s="172"/>
      <c r="CTJ409" s="172"/>
      <c r="CTK409" s="172"/>
      <c r="CTL409" s="172"/>
      <c r="CTM409" s="172"/>
      <c r="CTN409" s="172"/>
      <c r="CTO409" s="172"/>
      <c r="CTP409" s="172"/>
      <c r="CTQ409" s="172"/>
      <c r="CTR409" s="172"/>
      <c r="CTS409" s="172"/>
      <c r="CTT409" s="172"/>
      <c r="CTU409" s="172"/>
      <c r="CTV409" s="172"/>
      <c r="CTW409" s="172"/>
      <c r="CTX409" s="172"/>
      <c r="CTY409" s="172"/>
      <c r="CTZ409" s="172"/>
      <c r="CUA409" s="172"/>
      <c r="CUB409" s="172"/>
      <c r="CUC409" s="172"/>
      <c r="CUD409" s="172"/>
      <c r="CUE409" s="172"/>
      <c r="CUF409" s="172"/>
      <c r="CUG409" s="172"/>
      <c r="CUH409" s="172"/>
      <c r="CUI409" s="172"/>
      <c r="CUJ409" s="172"/>
      <c r="CUK409" s="172"/>
      <c r="CUL409" s="172"/>
      <c r="CUM409" s="172"/>
      <c r="CUN409" s="172"/>
      <c r="CUO409" s="172"/>
      <c r="CUP409" s="172"/>
      <c r="CUQ409" s="172"/>
      <c r="CUR409" s="172"/>
      <c r="CUS409" s="172"/>
      <c r="CUT409" s="172"/>
      <c r="CUU409" s="172"/>
      <c r="CUV409" s="172"/>
      <c r="CUW409" s="172"/>
      <c r="CUX409" s="172"/>
      <c r="CUY409" s="172"/>
      <c r="CUZ409" s="172"/>
      <c r="CVA409" s="172"/>
      <c r="CVB409" s="172"/>
      <c r="CVC409" s="172"/>
      <c r="CVD409" s="172"/>
      <c r="CVE409" s="172"/>
      <c r="CVF409" s="172"/>
      <c r="CVG409" s="172"/>
      <c r="CVH409" s="172"/>
      <c r="CVI409" s="172"/>
      <c r="CVJ409" s="172"/>
      <c r="CVK409" s="172"/>
      <c r="CVL409" s="172"/>
      <c r="CVM409" s="172"/>
      <c r="CVN409" s="172"/>
      <c r="CVO409" s="172"/>
      <c r="CVP409" s="172"/>
      <c r="CVQ409" s="172"/>
      <c r="CVR409" s="172"/>
      <c r="CVS409" s="172"/>
      <c r="CVT409" s="172"/>
      <c r="CVU409" s="172"/>
      <c r="CVV409" s="172"/>
      <c r="CVW409" s="172"/>
      <c r="CVX409" s="172"/>
      <c r="CVY409" s="172"/>
      <c r="CVZ409" s="172"/>
      <c r="CWA409" s="172"/>
      <c r="CWB409" s="172"/>
      <c r="CWC409" s="172"/>
      <c r="CWD409" s="172"/>
      <c r="CWE409" s="172"/>
      <c r="CWF409" s="172"/>
      <c r="CWG409" s="172"/>
      <c r="CWH409" s="172"/>
      <c r="CWI409" s="172"/>
      <c r="CWJ409" s="172"/>
      <c r="CWK409" s="172"/>
      <c r="CWL409" s="172"/>
      <c r="CWM409" s="172"/>
      <c r="CWN409" s="172"/>
      <c r="CWO409" s="172"/>
      <c r="CWP409" s="172"/>
      <c r="CWQ409" s="172"/>
      <c r="CWR409" s="172"/>
      <c r="CWS409" s="172"/>
      <c r="CWT409" s="172"/>
      <c r="CWU409" s="172"/>
      <c r="CWV409" s="172"/>
      <c r="CWW409" s="172"/>
      <c r="CWX409" s="172"/>
      <c r="CWY409" s="172"/>
      <c r="CWZ409" s="172"/>
      <c r="CXA409" s="172"/>
      <c r="CXB409" s="172"/>
      <c r="CXC409" s="172"/>
      <c r="CXD409" s="172"/>
      <c r="CXE409" s="172"/>
      <c r="CXF409" s="172"/>
      <c r="CXG409" s="172"/>
      <c r="CXH409" s="172"/>
      <c r="CXI409" s="172"/>
      <c r="CXJ409" s="172"/>
      <c r="CXK409" s="172"/>
      <c r="CXL409" s="172"/>
      <c r="CXM409" s="172"/>
      <c r="CXN409" s="172"/>
      <c r="CXO409" s="172"/>
      <c r="CXP409" s="172"/>
      <c r="CXQ409" s="172"/>
      <c r="CXR409" s="172"/>
      <c r="CXS409" s="172"/>
      <c r="CXT409" s="172"/>
      <c r="CXU409" s="172"/>
      <c r="CXV409" s="172"/>
      <c r="CXW409" s="172"/>
      <c r="CXX409" s="172"/>
      <c r="CXY409" s="172"/>
      <c r="CXZ409" s="172"/>
      <c r="CYA409" s="172"/>
      <c r="CYB409" s="172"/>
      <c r="CYC409" s="172"/>
      <c r="CYD409" s="172"/>
      <c r="CYE409" s="172"/>
      <c r="CYF409" s="172"/>
      <c r="CYG409" s="172"/>
      <c r="CYH409" s="172"/>
      <c r="CYI409" s="172"/>
      <c r="CYJ409" s="172"/>
      <c r="CYK409" s="172"/>
      <c r="CYL409" s="172"/>
      <c r="CYM409" s="172"/>
      <c r="CYN409" s="172"/>
      <c r="CYO409" s="172"/>
      <c r="CYP409" s="172"/>
      <c r="CYQ409" s="172"/>
      <c r="CYR409" s="172"/>
      <c r="CYS409" s="172"/>
      <c r="CYT409" s="172"/>
      <c r="CYU409" s="172"/>
      <c r="CYV409" s="172"/>
      <c r="CYW409" s="172"/>
      <c r="CYX409" s="172"/>
      <c r="CYY409" s="172"/>
      <c r="CYZ409" s="172"/>
      <c r="CZA409" s="172"/>
      <c r="CZB409" s="172"/>
      <c r="CZC409" s="172"/>
      <c r="CZD409" s="172"/>
      <c r="CZE409" s="172"/>
      <c r="CZF409" s="172"/>
      <c r="CZG409" s="172"/>
      <c r="CZH409" s="172"/>
      <c r="CZI409" s="172"/>
      <c r="CZJ409" s="172"/>
      <c r="CZK409" s="172"/>
      <c r="CZL409" s="172"/>
      <c r="CZM409" s="172"/>
      <c r="CZN409" s="172"/>
      <c r="CZO409" s="172"/>
      <c r="CZP409" s="172"/>
      <c r="CZQ409" s="172"/>
      <c r="CZR409" s="172"/>
      <c r="CZS409" s="172"/>
      <c r="CZT409" s="172"/>
      <c r="CZU409" s="172"/>
      <c r="CZV409" s="172"/>
      <c r="CZW409" s="172"/>
      <c r="CZX409" s="172"/>
      <c r="CZY409" s="172"/>
      <c r="CZZ409" s="172"/>
      <c r="DAA409" s="172"/>
      <c r="DAB409" s="172"/>
      <c r="DAC409" s="172"/>
      <c r="DAD409" s="172"/>
      <c r="DAE409" s="172"/>
      <c r="DAF409" s="172"/>
      <c r="DAG409" s="172"/>
      <c r="DAH409" s="172"/>
      <c r="DAI409" s="172"/>
      <c r="DAJ409" s="172"/>
      <c r="DAK409" s="172"/>
      <c r="DAL409" s="172"/>
      <c r="DAM409" s="172"/>
      <c r="DAN409" s="172"/>
      <c r="DAO409" s="172"/>
      <c r="DAP409" s="172"/>
      <c r="DAQ409" s="172"/>
      <c r="DAR409" s="172"/>
      <c r="DAS409" s="172"/>
      <c r="DAT409" s="172"/>
      <c r="DAU409" s="172"/>
      <c r="DAV409" s="172"/>
      <c r="DAW409" s="172"/>
      <c r="DAX409" s="172"/>
      <c r="DAY409" s="172"/>
      <c r="DAZ409" s="172"/>
      <c r="DBA409" s="172"/>
      <c r="DBB409" s="172"/>
      <c r="DBC409" s="172"/>
      <c r="DBD409" s="172"/>
      <c r="DBE409" s="172"/>
      <c r="DBF409" s="172"/>
      <c r="DBG409" s="172"/>
      <c r="DBH409" s="172"/>
      <c r="DBI409" s="172"/>
      <c r="DBJ409" s="172"/>
      <c r="DBK409" s="172"/>
      <c r="DBL409" s="172"/>
      <c r="DBM409" s="172"/>
      <c r="DBN409" s="172"/>
      <c r="DBO409" s="172"/>
      <c r="DBP409" s="172"/>
      <c r="DBQ409" s="172"/>
      <c r="DBR409" s="172"/>
      <c r="DBS409" s="172"/>
      <c r="DBT409" s="172"/>
      <c r="DBU409" s="172"/>
      <c r="DBV409" s="172"/>
      <c r="DBW409" s="172"/>
      <c r="DBX409" s="172"/>
      <c r="DBY409" s="172"/>
      <c r="DBZ409" s="172"/>
      <c r="DCA409" s="172"/>
      <c r="DCB409" s="172"/>
      <c r="DCC409" s="172"/>
      <c r="DCD409" s="172"/>
      <c r="DCE409" s="172"/>
      <c r="DCF409" s="172"/>
      <c r="DCG409" s="172"/>
      <c r="DCH409" s="172"/>
      <c r="DCI409" s="172"/>
      <c r="DCJ409" s="172"/>
      <c r="DCK409" s="172"/>
      <c r="DCL409" s="172"/>
      <c r="DCM409" s="172"/>
      <c r="DCN409" s="172"/>
      <c r="DCO409" s="172"/>
      <c r="DCP409" s="172"/>
      <c r="DCQ409" s="172"/>
      <c r="DCR409" s="172"/>
      <c r="DCS409" s="172"/>
      <c r="DCT409" s="172"/>
      <c r="DCU409" s="172"/>
      <c r="DCV409" s="172"/>
      <c r="DCW409" s="172"/>
      <c r="DCX409" s="172"/>
      <c r="DCY409" s="172"/>
      <c r="DCZ409" s="172"/>
      <c r="DDA409" s="172"/>
      <c r="DDB409" s="172"/>
      <c r="DDC409" s="172"/>
      <c r="DDD409" s="172"/>
      <c r="DDE409" s="172"/>
      <c r="DDF409" s="172"/>
      <c r="DDG409" s="172"/>
      <c r="DDH409" s="172"/>
      <c r="DDI409" s="172"/>
      <c r="DDJ409" s="172"/>
      <c r="DDK409" s="172"/>
      <c r="DDL409" s="172"/>
      <c r="DDM409" s="172"/>
      <c r="DDN409" s="172"/>
      <c r="DDO409" s="172"/>
      <c r="DDP409" s="172"/>
      <c r="DDQ409" s="172"/>
      <c r="DDR409" s="172"/>
      <c r="DDS409" s="172"/>
      <c r="DDT409" s="172"/>
      <c r="DDU409" s="172"/>
      <c r="DDV409" s="172"/>
      <c r="DDW409" s="172"/>
      <c r="DDX409" s="172"/>
      <c r="DDY409" s="172"/>
      <c r="DDZ409" s="172"/>
      <c r="DEA409" s="172"/>
      <c r="DEB409" s="172"/>
      <c r="DEC409" s="172"/>
      <c r="DED409" s="172"/>
      <c r="DEE409" s="172"/>
      <c r="DEF409" s="172"/>
      <c r="DEG409" s="172"/>
      <c r="DEH409" s="172"/>
      <c r="DEI409" s="172"/>
      <c r="DEJ409" s="172"/>
      <c r="DEK409" s="172"/>
      <c r="DEL409" s="172"/>
      <c r="DEM409" s="172"/>
      <c r="DEN409" s="172"/>
      <c r="DEO409" s="172"/>
      <c r="DEP409" s="172"/>
      <c r="DEQ409" s="172"/>
      <c r="DER409" s="172"/>
      <c r="DES409" s="172"/>
      <c r="DET409" s="172"/>
      <c r="DEU409" s="172"/>
      <c r="DEV409" s="172"/>
      <c r="DEW409" s="172"/>
      <c r="DEX409" s="172"/>
      <c r="DEY409" s="172"/>
      <c r="DEZ409" s="172"/>
      <c r="DFA409" s="172"/>
      <c r="DFB409" s="172"/>
      <c r="DFC409" s="172"/>
      <c r="DFD409" s="172"/>
      <c r="DFE409" s="172"/>
      <c r="DFF409" s="172"/>
      <c r="DFG409" s="172"/>
      <c r="DFH409" s="172"/>
      <c r="DFI409" s="172"/>
      <c r="DFJ409" s="172"/>
      <c r="DFK409" s="172"/>
      <c r="DFL409" s="172"/>
      <c r="DFM409" s="172"/>
      <c r="DFN409" s="172"/>
      <c r="DFO409" s="172"/>
      <c r="DFP409" s="172"/>
      <c r="DFQ409" s="172"/>
      <c r="DFR409" s="172"/>
      <c r="DFS409" s="172"/>
      <c r="DFT409" s="172"/>
      <c r="DFU409" s="172"/>
      <c r="DFV409" s="172"/>
      <c r="DFW409" s="172"/>
      <c r="DFX409" s="172"/>
      <c r="DFY409" s="172"/>
      <c r="DFZ409" s="172"/>
      <c r="DGA409" s="172"/>
      <c r="DGB409" s="172"/>
      <c r="DGC409" s="172"/>
      <c r="DGD409" s="172"/>
      <c r="DGE409" s="172"/>
      <c r="DGF409" s="172"/>
      <c r="DGG409" s="172"/>
      <c r="DGH409" s="172"/>
      <c r="DGI409" s="172"/>
      <c r="DGJ409" s="172"/>
      <c r="DGK409" s="172"/>
      <c r="DGL409" s="172"/>
      <c r="DGM409" s="172"/>
      <c r="DGN409" s="172"/>
      <c r="DGO409" s="172"/>
      <c r="DGP409" s="172"/>
      <c r="DGQ409" s="172"/>
      <c r="DGR409" s="172"/>
      <c r="DGS409" s="172"/>
      <c r="DGT409" s="172"/>
      <c r="DGU409" s="172"/>
      <c r="DGV409" s="172"/>
      <c r="DGW409" s="172"/>
      <c r="DGX409" s="172"/>
      <c r="DGY409" s="172"/>
      <c r="DGZ409" s="172"/>
      <c r="DHA409" s="172"/>
      <c r="DHB409" s="172"/>
      <c r="DHC409" s="172"/>
      <c r="DHD409" s="172"/>
      <c r="DHE409" s="172"/>
      <c r="DHF409" s="172"/>
      <c r="DHG409" s="172"/>
      <c r="DHH409" s="172"/>
      <c r="DHI409" s="172"/>
      <c r="DHJ409" s="172"/>
      <c r="DHK409" s="172"/>
      <c r="DHL409" s="172"/>
      <c r="DHM409" s="172"/>
      <c r="DHN409" s="172"/>
      <c r="DHO409" s="172"/>
      <c r="DHP409" s="172"/>
      <c r="DHQ409" s="172"/>
      <c r="DHR409" s="172"/>
      <c r="DHS409" s="172"/>
      <c r="DHT409" s="172"/>
      <c r="DHU409" s="172"/>
      <c r="DHV409" s="172"/>
      <c r="DHW409" s="172"/>
      <c r="DHX409" s="172"/>
      <c r="DHY409" s="172"/>
      <c r="DHZ409" s="172"/>
      <c r="DIA409" s="172"/>
      <c r="DIB409" s="172"/>
      <c r="DIC409" s="172"/>
      <c r="DID409" s="172"/>
      <c r="DIE409" s="172"/>
      <c r="DIF409" s="172"/>
      <c r="DIG409" s="172"/>
      <c r="DIH409" s="172"/>
      <c r="DII409" s="172"/>
      <c r="DIJ409" s="172"/>
      <c r="DIK409" s="172"/>
      <c r="DIL409" s="172"/>
      <c r="DIM409" s="172"/>
      <c r="DIN409" s="172"/>
      <c r="DIO409" s="172"/>
      <c r="DIP409" s="172"/>
      <c r="DIQ409" s="172"/>
      <c r="DIR409" s="172"/>
      <c r="DIS409" s="172"/>
      <c r="DIT409" s="172"/>
      <c r="DIU409" s="172"/>
      <c r="DIV409" s="172"/>
      <c r="DIW409" s="172"/>
      <c r="DIX409" s="172"/>
      <c r="DIY409" s="172"/>
      <c r="DIZ409" s="172"/>
      <c r="DJA409" s="172"/>
      <c r="DJB409" s="172"/>
      <c r="DJC409" s="172"/>
      <c r="DJD409" s="172"/>
      <c r="DJE409" s="172"/>
      <c r="DJF409" s="172"/>
      <c r="DJG409" s="172"/>
      <c r="DJH409" s="172"/>
      <c r="DJI409" s="172"/>
      <c r="DJJ409" s="172"/>
      <c r="DJK409" s="172"/>
      <c r="DJL409" s="172"/>
      <c r="DJM409" s="172"/>
      <c r="DJN409" s="172"/>
      <c r="DJO409" s="172"/>
      <c r="DJP409" s="172"/>
      <c r="DJQ409" s="172"/>
      <c r="DJR409" s="172"/>
      <c r="DJS409" s="172"/>
      <c r="DJT409" s="172"/>
      <c r="DJU409" s="172"/>
      <c r="DJV409" s="172"/>
      <c r="DJW409" s="172"/>
      <c r="DJX409" s="172"/>
      <c r="DJY409" s="172"/>
      <c r="DJZ409" s="172"/>
      <c r="DKA409" s="172"/>
      <c r="DKB409" s="172"/>
      <c r="DKC409" s="172"/>
      <c r="DKD409" s="172"/>
      <c r="DKE409" s="172"/>
      <c r="DKF409" s="172"/>
      <c r="DKG409" s="172"/>
      <c r="DKH409" s="172"/>
      <c r="DKI409" s="172"/>
      <c r="DKJ409" s="172"/>
      <c r="DKK409" s="172"/>
      <c r="DKL409" s="172"/>
      <c r="DKM409" s="172"/>
      <c r="DKN409" s="172"/>
      <c r="DKO409" s="172"/>
      <c r="DKP409" s="172"/>
      <c r="DKQ409" s="172"/>
      <c r="DKR409" s="172"/>
      <c r="DKS409" s="172"/>
      <c r="DKT409" s="172"/>
      <c r="DKU409" s="172"/>
      <c r="DKV409" s="172"/>
      <c r="DKW409" s="172"/>
      <c r="DKX409" s="172"/>
      <c r="DKY409" s="172"/>
      <c r="DKZ409" s="172"/>
      <c r="DLA409" s="172"/>
      <c r="DLB409" s="172"/>
      <c r="DLC409" s="172"/>
      <c r="DLD409" s="172"/>
      <c r="DLE409" s="172"/>
      <c r="DLF409" s="172"/>
      <c r="DLG409" s="172"/>
      <c r="DLH409" s="172"/>
      <c r="DLI409" s="172"/>
      <c r="DLJ409" s="172"/>
      <c r="DLK409" s="172"/>
      <c r="DLL409" s="172"/>
      <c r="DLM409" s="172"/>
      <c r="DLN409" s="172"/>
      <c r="DLO409" s="172"/>
      <c r="DLP409" s="172"/>
      <c r="DLQ409" s="172"/>
      <c r="DLR409" s="172"/>
      <c r="DLS409" s="172"/>
      <c r="DLT409" s="172"/>
      <c r="DLU409" s="172"/>
      <c r="DLV409" s="172"/>
      <c r="DLW409" s="172"/>
      <c r="DLX409" s="172"/>
      <c r="DLY409" s="172"/>
      <c r="DLZ409" s="172"/>
      <c r="DMA409" s="172"/>
      <c r="DMB409" s="172"/>
      <c r="DMC409" s="172"/>
      <c r="DMD409" s="172"/>
      <c r="DME409" s="172"/>
      <c r="DMF409" s="172"/>
      <c r="DMG409" s="172"/>
      <c r="DMH409" s="172"/>
      <c r="DMI409" s="172"/>
      <c r="DMJ409" s="172"/>
      <c r="DMK409" s="172"/>
      <c r="DML409" s="172"/>
      <c r="DMM409" s="172"/>
      <c r="DMN409" s="172"/>
      <c r="DMO409" s="172"/>
      <c r="DMP409" s="172"/>
      <c r="DMQ409" s="172"/>
      <c r="DMR409" s="172"/>
      <c r="DMS409" s="172"/>
      <c r="DMT409" s="172"/>
      <c r="DMU409" s="172"/>
      <c r="DMV409" s="172"/>
      <c r="DMW409" s="172"/>
      <c r="DMX409" s="172"/>
      <c r="DMY409" s="172"/>
      <c r="DMZ409" s="172"/>
      <c r="DNA409" s="172"/>
      <c r="DNB409" s="172"/>
      <c r="DNC409" s="172"/>
      <c r="DND409" s="172"/>
      <c r="DNE409" s="172"/>
      <c r="DNF409" s="172"/>
      <c r="DNG409" s="172"/>
      <c r="DNH409" s="172"/>
      <c r="DNI409" s="172"/>
      <c r="DNJ409" s="172"/>
      <c r="DNK409" s="172"/>
      <c r="DNL409" s="172"/>
      <c r="DNM409" s="172"/>
      <c r="DNN409" s="172"/>
      <c r="DNO409" s="172"/>
      <c r="DNP409" s="172"/>
      <c r="DNQ409" s="172"/>
      <c r="DNR409" s="172"/>
      <c r="DNS409" s="172"/>
      <c r="DNT409" s="172"/>
      <c r="DNU409" s="172"/>
      <c r="DNV409" s="172"/>
      <c r="DNW409" s="172"/>
      <c r="DNX409" s="172"/>
      <c r="DNY409" s="172"/>
      <c r="DNZ409" s="172"/>
      <c r="DOA409" s="172"/>
      <c r="DOB409" s="172"/>
      <c r="DOC409" s="172"/>
      <c r="DOD409" s="172"/>
      <c r="DOE409" s="172"/>
      <c r="DOF409" s="172"/>
      <c r="DOG409" s="172"/>
      <c r="DOH409" s="172"/>
      <c r="DOI409" s="172"/>
      <c r="DOJ409" s="172"/>
      <c r="DOK409" s="172"/>
      <c r="DOL409" s="172"/>
      <c r="DOM409" s="172"/>
      <c r="DON409" s="172"/>
      <c r="DOO409" s="172"/>
      <c r="DOP409" s="172"/>
      <c r="DOQ409" s="172"/>
      <c r="DOR409" s="172"/>
      <c r="DOS409" s="172"/>
      <c r="DOT409" s="172"/>
      <c r="DOU409" s="172"/>
      <c r="DOV409" s="172"/>
      <c r="DOW409" s="172"/>
      <c r="DOX409" s="172"/>
      <c r="DOY409" s="172"/>
      <c r="DOZ409" s="172"/>
      <c r="DPA409" s="172"/>
      <c r="DPB409" s="172"/>
      <c r="DPC409" s="172"/>
      <c r="DPD409" s="172"/>
      <c r="DPE409" s="172"/>
      <c r="DPF409" s="172"/>
      <c r="DPG409" s="172"/>
      <c r="DPH409" s="172"/>
      <c r="DPI409" s="172"/>
      <c r="DPJ409" s="172"/>
      <c r="DPK409" s="172"/>
      <c r="DPL409" s="172"/>
      <c r="DPM409" s="172"/>
      <c r="DPN409" s="172"/>
      <c r="DPO409" s="172"/>
      <c r="DPP409" s="172"/>
      <c r="DPQ409" s="172"/>
      <c r="DPR409" s="172"/>
      <c r="DPS409" s="172"/>
      <c r="DPT409" s="172"/>
      <c r="DPU409" s="172"/>
      <c r="DPV409" s="172"/>
      <c r="DPW409" s="172"/>
      <c r="DPX409" s="172"/>
      <c r="DPY409" s="172"/>
      <c r="DPZ409" s="172"/>
      <c r="DQA409" s="172"/>
      <c r="DQB409" s="172"/>
      <c r="DQC409" s="172"/>
      <c r="DQD409" s="172"/>
      <c r="DQE409" s="172"/>
      <c r="DQF409" s="172"/>
      <c r="DQG409" s="172"/>
      <c r="DQH409" s="172"/>
      <c r="DQI409" s="172"/>
      <c r="DQJ409" s="172"/>
      <c r="DQK409" s="172"/>
      <c r="DQL409" s="172"/>
      <c r="DQM409" s="172"/>
      <c r="DQN409" s="172"/>
      <c r="DQO409" s="172"/>
      <c r="DQP409" s="172"/>
      <c r="DQQ409" s="172"/>
      <c r="DQR409" s="172"/>
      <c r="DQS409" s="172"/>
      <c r="DQT409" s="172"/>
      <c r="DQU409" s="172"/>
      <c r="DQV409" s="172"/>
      <c r="DQW409" s="172"/>
      <c r="DQX409" s="172"/>
      <c r="DQY409" s="172"/>
      <c r="DQZ409" s="172"/>
      <c r="DRA409" s="172"/>
      <c r="DRB409" s="172"/>
      <c r="DRC409" s="172"/>
      <c r="DRD409" s="172"/>
      <c r="DRE409" s="172"/>
      <c r="DRF409" s="172"/>
      <c r="DRG409" s="172"/>
      <c r="DRH409" s="172"/>
      <c r="DRI409" s="172"/>
      <c r="DRJ409" s="172"/>
      <c r="DRK409" s="172"/>
      <c r="DRL409" s="172"/>
      <c r="DRM409" s="172"/>
      <c r="DRN409" s="172"/>
      <c r="DRO409" s="172"/>
      <c r="DRP409" s="172"/>
      <c r="DRQ409" s="172"/>
      <c r="DRR409" s="172"/>
      <c r="DRS409" s="172"/>
      <c r="DRT409" s="172"/>
      <c r="DRU409" s="172"/>
      <c r="DRV409" s="172"/>
      <c r="DRW409" s="172"/>
      <c r="DRX409" s="172"/>
      <c r="DRY409" s="172"/>
      <c r="DRZ409" s="172"/>
      <c r="DSA409" s="172"/>
      <c r="DSB409" s="172"/>
      <c r="DSC409" s="172"/>
      <c r="DSD409" s="172"/>
      <c r="DSE409" s="172"/>
      <c r="DSF409" s="172"/>
      <c r="DSG409" s="172"/>
      <c r="DSH409" s="172"/>
      <c r="DSI409" s="172"/>
      <c r="DSJ409" s="172"/>
      <c r="DSK409" s="172"/>
      <c r="DSL409" s="172"/>
      <c r="DSM409" s="172"/>
      <c r="DSN409" s="172"/>
      <c r="DSO409" s="172"/>
      <c r="DSP409" s="172"/>
      <c r="DSQ409" s="172"/>
      <c r="DSR409" s="172"/>
      <c r="DSS409" s="172"/>
      <c r="DST409" s="172"/>
      <c r="DSU409" s="172"/>
      <c r="DSV409" s="172"/>
      <c r="DSW409" s="172"/>
      <c r="DSX409" s="172"/>
      <c r="DSY409" s="172"/>
      <c r="DSZ409" s="172"/>
      <c r="DTA409" s="172"/>
      <c r="DTB409" s="172"/>
      <c r="DTC409" s="172"/>
      <c r="DTD409" s="172"/>
      <c r="DTE409" s="172"/>
      <c r="DTF409" s="172"/>
      <c r="DTG409" s="172"/>
      <c r="DTH409" s="172"/>
      <c r="DTI409" s="172"/>
      <c r="DTJ409" s="172"/>
      <c r="DTK409" s="172"/>
      <c r="DTL409" s="172"/>
      <c r="DTM409" s="172"/>
      <c r="DTN409" s="172"/>
      <c r="DTO409" s="172"/>
      <c r="DTP409" s="172"/>
      <c r="DTQ409" s="172"/>
      <c r="DTR409" s="172"/>
      <c r="DTS409" s="172"/>
      <c r="DTT409" s="172"/>
      <c r="DTU409" s="172"/>
      <c r="DTV409" s="172"/>
      <c r="DTW409" s="172"/>
      <c r="DTX409" s="172"/>
      <c r="DTY409" s="172"/>
      <c r="DTZ409" s="172"/>
      <c r="DUA409" s="172"/>
      <c r="DUB409" s="172"/>
      <c r="DUC409" s="172"/>
      <c r="DUD409" s="172"/>
      <c r="DUE409" s="172"/>
      <c r="DUF409" s="172"/>
      <c r="DUG409" s="172"/>
      <c r="DUH409" s="172"/>
      <c r="DUI409" s="172"/>
      <c r="DUJ409" s="172"/>
      <c r="DUK409" s="172"/>
      <c r="DUL409" s="172"/>
      <c r="DUM409" s="172"/>
      <c r="DUN409" s="172"/>
      <c r="DUO409" s="172"/>
      <c r="DUP409" s="172"/>
      <c r="DUQ409" s="172"/>
      <c r="DUR409" s="172"/>
      <c r="DUS409" s="172"/>
      <c r="DUT409" s="172"/>
      <c r="DUU409" s="172"/>
      <c r="DUV409" s="172"/>
      <c r="DUW409" s="172"/>
      <c r="DUX409" s="172"/>
      <c r="DUY409" s="172"/>
      <c r="DUZ409" s="172"/>
      <c r="DVA409" s="172"/>
      <c r="DVB409" s="172"/>
      <c r="DVC409" s="172"/>
      <c r="DVD409" s="172"/>
      <c r="DVE409" s="172"/>
      <c r="DVF409" s="172"/>
      <c r="DVG409" s="172"/>
      <c r="DVH409" s="172"/>
      <c r="DVI409" s="172"/>
      <c r="DVJ409" s="172"/>
      <c r="DVK409" s="172"/>
      <c r="DVL409" s="172"/>
      <c r="DVM409" s="172"/>
      <c r="DVN409" s="172"/>
      <c r="DVO409" s="172"/>
      <c r="DVP409" s="172"/>
      <c r="DVQ409" s="172"/>
      <c r="DVR409" s="172"/>
      <c r="DVS409" s="172"/>
      <c r="DVT409" s="172"/>
      <c r="DVU409" s="172"/>
      <c r="DVV409" s="172"/>
      <c r="DVW409" s="172"/>
      <c r="DVX409" s="172"/>
      <c r="DVY409" s="172"/>
      <c r="DVZ409" s="172"/>
      <c r="DWA409" s="172"/>
      <c r="DWB409" s="172"/>
      <c r="DWC409" s="172"/>
      <c r="DWD409" s="172"/>
      <c r="DWE409" s="172"/>
      <c r="DWF409" s="172"/>
      <c r="DWG409" s="172"/>
      <c r="DWH409" s="172"/>
      <c r="DWI409" s="172"/>
      <c r="DWJ409" s="172"/>
      <c r="DWK409" s="172"/>
      <c r="DWL409" s="172"/>
      <c r="DWM409" s="172"/>
      <c r="DWN409" s="172"/>
      <c r="DWO409" s="172"/>
      <c r="DWP409" s="172"/>
      <c r="DWQ409" s="172"/>
      <c r="DWR409" s="172"/>
      <c r="DWS409" s="172"/>
      <c r="DWT409" s="172"/>
      <c r="DWU409" s="172"/>
      <c r="DWV409" s="172"/>
      <c r="DWW409" s="172"/>
      <c r="DWX409" s="172"/>
      <c r="DWY409" s="172"/>
      <c r="DWZ409" s="172"/>
      <c r="DXA409" s="172"/>
      <c r="DXB409" s="172"/>
      <c r="DXC409" s="172"/>
      <c r="DXD409" s="172"/>
      <c r="DXE409" s="172"/>
      <c r="DXF409" s="172"/>
      <c r="DXG409" s="172"/>
      <c r="DXH409" s="172"/>
      <c r="DXI409" s="172"/>
      <c r="DXJ409" s="172"/>
      <c r="DXK409" s="172"/>
      <c r="DXL409" s="172"/>
      <c r="DXM409" s="172"/>
      <c r="DXN409" s="172"/>
      <c r="DXO409" s="172"/>
      <c r="DXP409" s="172"/>
      <c r="DXQ409" s="172"/>
      <c r="DXR409" s="172"/>
      <c r="DXS409" s="172"/>
      <c r="DXT409" s="172"/>
      <c r="DXU409" s="172"/>
      <c r="DXV409" s="172"/>
      <c r="DXW409" s="172"/>
      <c r="DXX409" s="172"/>
      <c r="DXY409" s="172"/>
      <c r="DXZ409" s="172"/>
      <c r="DYA409" s="172"/>
      <c r="DYB409" s="172"/>
      <c r="DYC409" s="172"/>
      <c r="DYD409" s="172"/>
      <c r="DYE409" s="172"/>
      <c r="DYF409" s="172"/>
      <c r="DYG409" s="172"/>
      <c r="DYH409" s="172"/>
      <c r="DYI409" s="172"/>
      <c r="DYJ409" s="172"/>
      <c r="DYK409" s="172"/>
      <c r="DYL409" s="172"/>
      <c r="DYM409" s="172"/>
      <c r="DYN409" s="172"/>
      <c r="DYO409" s="172"/>
      <c r="DYP409" s="172"/>
      <c r="DYQ409" s="172"/>
      <c r="DYR409" s="172"/>
      <c r="DYS409" s="172"/>
      <c r="DYT409" s="172"/>
      <c r="DYU409" s="172"/>
      <c r="DYV409" s="172"/>
      <c r="DYW409" s="172"/>
      <c r="DYX409" s="172"/>
      <c r="DYY409" s="172"/>
      <c r="DYZ409" s="172"/>
      <c r="DZA409" s="172"/>
      <c r="DZB409" s="172"/>
      <c r="DZC409" s="172"/>
      <c r="DZD409" s="172"/>
      <c r="DZE409" s="172"/>
      <c r="DZF409" s="172"/>
      <c r="DZG409" s="172"/>
      <c r="DZH409" s="172"/>
      <c r="DZI409" s="172"/>
      <c r="DZJ409" s="172"/>
      <c r="DZK409" s="172"/>
      <c r="DZL409" s="172"/>
      <c r="DZM409" s="172"/>
      <c r="DZN409" s="172"/>
      <c r="DZO409" s="172"/>
      <c r="DZP409" s="172"/>
      <c r="DZQ409" s="172"/>
      <c r="DZR409" s="172"/>
      <c r="DZS409" s="172"/>
      <c r="DZT409" s="172"/>
      <c r="DZU409" s="172"/>
      <c r="DZV409" s="172"/>
      <c r="DZW409" s="172"/>
      <c r="DZX409" s="172"/>
      <c r="DZY409" s="172"/>
      <c r="DZZ409" s="172"/>
      <c r="EAA409" s="172"/>
      <c r="EAB409" s="172"/>
      <c r="EAC409" s="172"/>
      <c r="EAD409" s="172"/>
      <c r="EAE409" s="172"/>
      <c r="EAF409" s="172"/>
      <c r="EAG409" s="172"/>
      <c r="EAH409" s="172"/>
      <c r="EAI409" s="172"/>
      <c r="EAJ409" s="172"/>
      <c r="EAK409" s="172"/>
      <c r="EAL409" s="172"/>
      <c r="EAM409" s="172"/>
      <c r="EAN409" s="172"/>
      <c r="EAO409" s="172"/>
      <c r="EAP409" s="172"/>
      <c r="EAQ409" s="172"/>
      <c r="EAR409" s="172"/>
      <c r="EAS409" s="172"/>
      <c r="EAT409" s="172"/>
      <c r="EAU409" s="172"/>
      <c r="EAV409" s="172"/>
      <c r="EAW409" s="172"/>
      <c r="EAX409" s="172"/>
      <c r="EAY409" s="172"/>
      <c r="EAZ409" s="172"/>
      <c r="EBA409" s="172"/>
      <c r="EBB409" s="172"/>
      <c r="EBC409" s="172"/>
      <c r="EBD409" s="172"/>
      <c r="EBE409" s="172"/>
      <c r="EBF409" s="172"/>
      <c r="EBG409" s="172"/>
      <c r="EBH409" s="172"/>
      <c r="EBI409" s="172"/>
      <c r="EBJ409" s="172"/>
      <c r="EBK409" s="172"/>
      <c r="EBL409" s="172"/>
      <c r="EBM409" s="172"/>
      <c r="EBN409" s="172"/>
      <c r="EBO409" s="172"/>
      <c r="EBP409" s="172"/>
      <c r="EBQ409" s="172"/>
      <c r="EBR409" s="172"/>
      <c r="EBS409" s="172"/>
      <c r="EBT409" s="172"/>
      <c r="EBU409" s="172"/>
      <c r="EBV409" s="172"/>
      <c r="EBW409" s="172"/>
      <c r="EBX409" s="172"/>
      <c r="EBY409" s="172"/>
      <c r="EBZ409" s="172"/>
      <c r="ECA409" s="172"/>
      <c r="ECB409" s="172"/>
      <c r="ECC409" s="172"/>
      <c r="ECD409" s="172"/>
      <c r="ECE409" s="172"/>
      <c r="ECF409" s="172"/>
      <c r="ECG409" s="172"/>
      <c r="ECH409" s="172"/>
      <c r="ECI409" s="172"/>
      <c r="ECJ409" s="172"/>
      <c r="ECK409" s="172"/>
      <c r="ECL409" s="172"/>
      <c r="ECM409" s="172"/>
      <c r="ECN409" s="172"/>
      <c r="ECO409" s="172"/>
      <c r="ECP409" s="172"/>
      <c r="ECQ409" s="172"/>
      <c r="ECR409" s="172"/>
      <c r="ECS409" s="172"/>
      <c r="ECT409" s="172"/>
      <c r="ECU409" s="172"/>
      <c r="ECV409" s="172"/>
      <c r="ECW409" s="172"/>
      <c r="ECX409" s="172"/>
      <c r="ECY409" s="172"/>
      <c r="ECZ409" s="172"/>
      <c r="EDA409" s="172"/>
      <c r="EDB409" s="172"/>
      <c r="EDC409" s="172"/>
      <c r="EDD409" s="172"/>
      <c r="EDE409" s="172"/>
      <c r="EDF409" s="172"/>
      <c r="EDG409" s="172"/>
      <c r="EDH409" s="172"/>
      <c r="EDI409" s="172"/>
      <c r="EDJ409" s="172"/>
      <c r="EDK409" s="172"/>
      <c r="EDL409" s="172"/>
      <c r="EDM409" s="172"/>
      <c r="EDN409" s="172"/>
      <c r="EDO409" s="172"/>
      <c r="EDP409" s="172"/>
      <c r="EDQ409" s="172"/>
      <c r="EDR409" s="172"/>
      <c r="EDS409" s="172"/>
      <c r="EDT409" s="172"/>
      <c r="EDU409" s="172"/>
      <c r="EDV409" s="172"/>
      <c r="EDW409" s="172"/>
      <c r="EDX409" s="172"/>
      <c r="EDY409" s="172"/>
      <c r="EDZ409" s="172"/>
      <c r="EEA409" s="172"/>
      <c r="EEB409" s="172"/>
      <c r="EEC409" s="172"/>
      <c r="EED409" s="172"/>
      <c r="EEE409" s="172"/>
      <c r="EEF409" s="172"/>
      <c r="EEG409" s="172"/>
      <c r="EEH409" s="172"/>
      <c r="EEI409" s="172"/>
      <c r="EEJ409" s="172"/>
      <c r="EEK409" s="172"/>
      <c r="EEL409" s="172"/>
      <c r="EEM409" s="172"/>
      <c r="EEN409" s="172"/>
      <c r="EEO409" s="172"/>
      <c r="EEP409" s="172"/>
      <c r="EEQ409" s="172"/>
      <c r="EER409" s="172"/>
      <c r="EES409" s="172"/>
      <c r="EET409" s="172"/>
      <c r="EEU409" s="172"/>
      <c r="EEV409" s="172"/>
      <c r="EEW409" s="172"/>
      <c r="EEX409" s="172"/>
      <c r="EEY409" s="172"/>
      <c r="EEZ409" s="172"/>
      <c r="EFA409" s="172"/>
      <c r="EFB409" s="172"/>
      <c r="EFC409" s="172"/>
      <c r="EFD409" s="172"/>
      <c r="EFE409" s="172"/>
      <c r="EFF409" s="172"/>
      <c r="EFG409" s="172"/>
      <c r="EFH409" s="172"/>
      <c r="EFI409" s="172"/>
      <c r="EFJ409" s="172"/>
      <c r="EFK409" s="172"/>
      <c r="EFL409" s="172"/>
      <c r="EFM409" s="172"/>
      <c r="EFN409" s="172"/>
      <c r="EFO409" s="172"/>
      <c r="EFP409" s="172"/>
      <c r="EFQ409" s="172"/>
      <c r="EFR409" s="172"/>
      <c r="EFS409" s="172"/>
      <c r="EFT409" s="172"/>
      <c r="EFU409" s="172"/>
      <c r="EFV409" s="172"/>
      <c r="EFW409" s="172"/>
      <c r="EFX409" s="172"/>
      <c r="EFY409" s="172"/>
      <c r="EFZ409" s="172"/>
      <c r="EGA409" s="172"/>
      <c r="EGB409" s="172"/>
      <c r="EGC409" s="172"/>
      <c r="EGD409" s="172"/>
      <c r="EGE409" s="172"/>
      <c r="EGF409" s="172"/>
      <c r="EGG409" s="172"/>
      <c r="EGH409" s="172"/>
      <c r="EGI409" s="172"/>
      <c r="EGJ409" s="172"/>
      <c r="EGK409" s="172"/>
      <c r="EGL409" s="172"/>
      <c r="EGM409" s="172"/>
      <c r="EGN409" s="172"/>
      <c r="EGO409" s="172"/>
      <c r="EGP409" s="172"/>
      <c r="EGQ409" s="172"/>
      <c r="EGR409" s="172"/>
      <c r="EGS409" s="172"/>
      <c r="EGT409" s="172"/>
      <c r="EGU409" s="172"/>
      <c r="EGV409" s="172"/>
      <c r="EGW409" s="172"/>
      <c r="EGX409" s="172"/>
      <c r="EGY409" s="172"/>
      <c r="EGZ409" s="172"/>
      <c r="EHA409" s="172"/>
      <c r="EHB409" s="172"/>
      <c r="EHC409" s="172"/>
      <c r="EHD409" s="172"/>
      <c r="EHE409" s="172"/>
      <c r="EHF409" s="172"/>
      <c r="EHG409" s="172"/>
      <c r="EHH409" s="172"/>
      <c r="EHI409" s="172"/>
      <c r="EHJ409" s="172"/>
      <c r="EHK409" s="172"/>
      <c r="EHL409" s="172"/>
      <c r="EHM409" s="172"/>
      <c r="EHN409" s="172"/>
      <c r="EHO409" s="172"/>
      <c r="EHP409" s="172"/>
      <c r="EHQ409" s="172"/>
      <c r="EHR409" s="172"/>
      <c r="EHS409" s="172"/>
      <c r="EHT409" s="172"/>
      <c r="EHU409" s="172"/>
      <c r="EHV409" s="172"/>
      <c r="EHW409" s="172"/>
      <c r="EHX409" s="172"/>
      <c r="EHY409" s="172"/>
      <c r="EHZ409" s="172"/>
      <c r="EIA409" s="172"/>
      <c r="EIB409" s="172"/>
      <c r="EIC409" s="172"/>
      <c r="EID409" s="172"/>
      <c r="EIE409" s="172"/>
      <c r="EIF409" s="172"/>
      <c r="EIG409" s="172"/>
      <c r="EIH409" s="172"/>
      <c r="EII409" s="172"/>
      <c r="EIJ409" s="172"/>
      <c r="EIK409" s="172"/>
      <c r="EIL409" s="172"/>
      <c r="EIM409" s="172"/>
      <c r="EIN409" s="172"/>
      <c r="EIO409" s="172"/>
      <c r="EIP409" s="172"/>
      <c r="EIQ409" s="172"/>
      <c r="EIR409" s="172"/>
      <c r="EIS409" s="172"/>
      <c r="EIT409" s="172"/>
      <c r="EIU409" s="172"/>
      <c r="EIV409" s="172"/>
      <c r="EIW409" s="172"/>
      <c r="EIX409" s="172"/>
      <c r="EIY409" s="172"/>
      <c r="EIZ409" s="172"/>
      <c r="EJA409" s="172"/>
      <c r="EJB409" s="172"/>
      <c r="EJC409" s="172"/>
      <c r="EJD409" s="172"/>
      <c r="EJE409" s="172"/>
      <c r="EJF409" s="172"/>
      <c r="EJG409" s="172"/>
      <c r="EJH409" s="172"/>
      <c r="EJI409" s="172"/>
      <c r="EJJ409" s="172"/>
      <c r="EJK409" s="172"/>
      <c r="EJL409" s="172"/>
      <c r="EJM409" s="172"/>
      <c r="EJN409" s="172"/>
      <c r="EJO409" s="172"/>
      <c r="EJP409" s="172"/>
      <c r="EJQ409" s="172"/>
      <c r="EJR409" s="172"/>
      <c r="EJS409" s="172"/>
      <c r="EJT409" s="172"/>
      <c r="EJU409" s="172"/>
      <c r="EJV409" s="172"/>
      <c r="EJW409" s="172"/>
      <c r="EJX409" s="172"/>
      <c r="EJY409" s="172"/>
      <c r="EJZ409" s="172"/>
      <c r="EKA409" s="172"/>
      <c r="EKB409" s="172"/>
      <c r="EKC409" s="172"/>
      <c r="EKD409" s="172"/>
      <c r="EKE409" s="172"/>
      <c r="EKF409" s="172"/>
      <c r="EKG409" s="172"/>
      <c r="EKH409" s="172"/>
      <c r="EKI409" s="172"/>
      <c r="EKJ409" s="172"/>
      <c r="EKK409" s="172"/>
      <c r="EKL409" s="172"/>
      <c r="EKM409" s="172"/>
      <c r="EKN409" s="172"/>
      <c r="EKO409" s="172"/>
      <c r="EKP409" s="172"/>
      <c r="EKQ409" s="172"/>
      <c r="EKR409" s="172"/>
      <c r="EKS409" s="172"/>
      <c r="EKT409" s="172"/>
      <c r="EKU409" s="172"/>
      <c r="EKV409" s="172"/>
      <c r="EKW409" s="172"/>
      <c r="EKX409" s="172"/>
      <c r="EKY409" s="172"/>
      <c r="EKZ409" s="172"/>
      <c r="ELA409" s="172"/>
      <c r="ELB409" s="172"/>
      <c r="ELC409" s="172"/>
      <c r="ELD409" s="172"/>
      <c r="ELE409" s="172"/>
      <c r="ELF409" s="172"/>
      <c r="ELG409" s="172"/>
      <c r="ELH409" s="172"/>
      <c r="ELI409" s="172"/>
      <c r="ELJ409" s="172"/>
      <c r="ELK409" s="172"/>
      <c r="ELL409" s="172"/>
      <c r="ELM409" s="172"/>
      <c r="ELN409" s="172"/>
      <c r="ELO409" s="172"/>
      <c r="ELP409" s="172"/>
      <c r="ELQ409" s="172"/>
      <c r="ELR409" s="172"/>
      <c r="ELS409" s="172"/>
      <c r="ELT409" s="172"/>
      <c r="ELU409" s="172"/>
      <c r="ELV409" s="172"/>
      <c r="ELW409" s="172"/>
      <c r="ELX409" s="172"/>
      <c r="ELY409" s="172"/>
      <c r="ELZ409" s="172"/>
      <c r="EMA409" s="172"/>
      <c r="EMB409" s="172"/>
      <c r="EMC409" s="172"/>
      <c r="EMD409" s="172"/>
      <c r="EME409" s="172"/>
      <c r="EMF409" s="172"/>
      <c r="EMG409" s="172"/>
      <c r="EMH409" s="172"/>
      <c r="EMI409" s="172"/>
      <c r="EMJ409" s="172"/>
      <c r="EMK409" s="172"/>
      <c r="EML409" s="172"/>
      <c r="EMM409" s="172"/>
      <c r="EMN409" s="172"/>
      <c r="EMO409" s="172"/>
      <c r="EMP409" s="172"/>
      <c r="EMQ409" s="172"/>
      <c r="EMR409" s="172"/>
      <c r="EMS409" s="172"/>
      <c r="EMT409" s="172"/>
      <c r="EMU409" s="172"/>
      <c r="EMV409" s="172"/>
      <c r="EMW409" s="172"/>
      <c r="EMX409" s="172"/>
      <c r="EMY409" s="172"/>
      <c r="EMZ409" s="172"/>
      <c r="ENA409" s="172"/>
      <c r="ENB409" s="172"/>
      <c r="ENC409" s="172"/>
      <c r="END409" s="172"/>
      <c r="ENE409" s="172"/>
      <c r="ENF409" s="172"/>
      <c r="ENG409" s="172"/>
      <c r="ENH409" s="172"/>
      <c r="ENI409" s="172"/>
      <c r="ENJ409" s="172"/>
      <c r="ENK409" s="172"/>
      <c r="ENL409" s="172"/>
      <c r="ENM409" s="172"/>
      <c r="ENN409" s="172"/>
      <c r="ENO409" s="172"/>
      <c r="ENP409" s="172"/>
      <c r="ENQ409" s="172"/>
      <c r="ENR409" s="172"/>
      <c r="ENS409" s="172"/>
      <c r="ENT409" s="172"/>
      <c r="ENU409" s="172"/>
      <c r="ENV409" s="172"/>
      <c r="ENW409" s="172"/>
      <c r="ENX409" s="172"/>
      <c r="ENY409" s="172"/>
      <c r="ENZ409" s="172"/>
      <c r="EOA409" s="172"/>
      <c r="EOB409" s="172"/>
      <c r="EOC409" s="172"/>
      <c r="EOD409" s="172"/>
      <c r="EOE409" s="172"/>
      <c r="EOF409" s="172"/>
      <c r="EOG409" s="172"/>
      <c r="EOH409" s="172"/>
      <c r="EOI409" s="172"/>
      <c r="EOJ409" s="172"/>
      <c r="EOK409" s="172"/>
      <c r="EOL409" s="172"/>
      <c r="EOM409" s="172"/>
      <c r="EON409" s="172"/>
      <c r="EOO409" s="172"/>
      <c r="EOP409" s="172"/>
      <c r="EOQ409" s="172"/>
      <c r="EOR409" s="172"/>
      <c r="EOS409" s="172"/>
      <c r="EOT409" s="172"/>
      <c r="EOU409" s="172"/>
      <c r="EOV409" s="172"/>
      <c r="EOW409" s="172"/>
      <c r="EOX409" s="172"/>
      <c r="EOY409" s="172"/>
      <c r="EOZ409" s="172"/>
      <c r="EPA409" s="172"/>
      <c r="EPB409" s="172"/>
      <c r="EPC409" s="172"/>
      <c r="EPD409" s="172"/>
      <c r="EPE409" s="172"/>
      <c r="EPF409" s="172"/>
      <c r="EPG409" s="172"/>
      <c r="EPH409" s="172"/>
      <c r="EPI409" s="172"/>
      <c r="EPJ409" s="172"/>
      <c r="EPK409" s="172"/>
      <c r="EPL409" s="172"/>
      <c r="EPM409" s="172"/>
      <c r="EPN409" s="172"/>
      <c r="EPO409" s="172"/>
      <c r="EPP409" s="172"/>
      <c r="EPQ409" s="172"/>
      <c r="EPR409" s="172"/>
      <c r="EPS409" s="172"/>
      <c r="EPT409" s="172"/>
      <c r="EPU409" s="172"/>
      <c r="EPV409" s="172"/>
      <c r="EPW409" s="172"/>
      <c r="EPX409" s="172"/>
      <c r="EPY409" s="172"/>
      <c r="EPZ409" s="172"/>
      <c r="EQA409" s="172"/>
      <c r="EQB409" s="172"/>
      <c r="EQC409" s="172"/>
      <c r="EQD409" s="172"/>
      <c r="EQE409" s="172"/>
      <c r="EQF409" s="172"/>
      <c r="EQG409" s="172"/>
      <c r="EQH409" s="172"/>
      <c r="EQI409" s="172"/>
      <c r="EQJ409" s="172"/>
      <c r="EQK409" s="172"/>
      <c r="EQL409" s="172"/>
      <c r="EQM409" s="172"/>
      <c r="EQN409" s="172"/>
      <c r="EQO409" s="172"/>
      <c r="EQP409" s="172"/>
      <c r="EQQ409" s="172"/>
      <c r="EQR409" s="172"/>
      <c r="EQS409" s="172"/>
      <c r="EQT409" s="172"/>
      <c r="EQU409" s="172"/>
      <c r="EQV409" s="172"/>
      <c r="EQW409" s="172"/>
      <c r="EQX409" s="172"/>
      <c r="EQY409" s="172"/>
      <c r="EQZ409" s="172"/>
      <c r="ERA409" s="172"/>
      <c r="ERB409" s="172"/>
      <c r="ERC409" s="172"/>
      <c r="ERD409" s="172"/>
      <c r="ERE409" s="172"/>
      <c r="ERF409" s="172"/>
      <c r="ERG409" s="172"/>
      <c r="ERH409" s="172"/>
      <c r="ERI409" s="172"/>
      <c r="ERJ409" s="172"/>
      <c r="ERK409" s="172"/>
      <c r="ERL409" s="172"/>
      <c r="ERM409" s="172"/>
      <c r="ERN409" s="172"/>
      <c r="ERO409" s="172"/>
      <c r="ERP409" s="172"/>
      <c r="ERQ409" s="172"/>
      <c r="ERR409" s="172"/>
      <c r="ERS409" s="172"/>
      <c r="ERT409" s="172"/>
      <c r="ERU409" s="172"/>
      <c r="ERV409" s="172"/>
      <c r="ERW409" s="172"/>
      <c r="ERX409" s="172"/>
      <c r="ERY409" s="172"/>
      <c r="ERZ409" s="172"/>
      <c r="ESA409" s="172"/>
      <c r="ESB409" s="172"/>
      <c r="ESC409" s="172"/>
      <c r="ESD409" s="172"/>
      <c r="ESE409" s="172"/>
      <c r="ESF409" s="172"/>
      <c r="ESG409" s="172"/>
      <c r="ESH409" s="172"/>
      <c r="ESI409" s="172"/>
      <c r="ESJ409" s="172"/>
      <c r="ESK409" s="172"/>
      <c r="ESL409" s="172"/>
      <c r="ESM409" s="172"/>
      <c r="ESN409" s="172"/>
      <c r="ESO409" s="172"/>
      <c r="ESP409" s="172"/>
      <c r="ESQ409" s="172"/>
      <c r="ESR409" s="172"/>
      <c r="ESS409" s="172"/>
      <c r="EST409" s="172"/>
      <c r="ESU409" s="172"/>
      <c r="ESV409" s="172"/>
      <c r="ESW409" s="172"/>
      <c r="ESX409" s="172"/>
      <c r="ESY409" s="172"/>
      <c r="ESZ409" s="172"/>
      <c r="ETA409" s="172"/>
      <c r="ETB409" s="172"/>
      <c r="ETC409" s="172"/>
      <c r="ETD409" s="172"/>
      <c r="ETE409" s="172"/>
      <c r="ETF409" s="172"/>
      <c r="ETG409" s="172"/>
      <c r="ETH409" s="172"/>
      <c r="ETI409" s="172"/>
      <c r="ETJ409" s="172"/>
      <c r="ETK409" s="172"/>
      <c r="ETL409" s="172"/>
      <c r="ETM409" s="172"/>
      <c r="ETN409" s="172"/>
      <c r="ETO409" s="172"/>
      <c r="ETP409" s="172"/>
      <c r="ETQ409" s="172"/>
      <c r="ETR409" s="172"/>
      <c r="ETS409" s="172"/>
      <c r="ETT409" s="172"/>
      <c r="ETU409" s="172"/>
      <c r="ETV409" s="172"/>
      <c r="ETW409" s="172"/>
      <c r="ETX409" s="172"/>
      <c r="ETY409" s="172"/>
      <c r="ETZ409" s="172"/>
      <c r="EUA409" s="172"/>
      <c r="EUB409" s="172"/>
      <c r="EUC409" s="172"/>
      <c r="EUD409" s="172"/>
      <c r="EUE409" s="172"/>
      <c r="EUF409" s="172"/>
      <c r="EUG409" s="172"/>
      <c r="EUH409" s="172"/>
      <c r="EUI409" s="172"/>
      <c r="EUJ409" s="172"/>
      <c r="EUK409" s="172"/>
      <c r="EUL409" s="172"/>
      <c r="EUM409" s="172"/>
      <c r="EUN409" s="172"/>
      <c r="EUO409" s="172"/>
      <c r="EUP409" s="172"/>
      <c r="EUQ409" s="172"/>
      <c r="EUR409" s="172"/>
      <c r="EUS409" s="172"/>
      <c r="EUT409" s="172"/>
      <c r="EUU409" s="172"/>
      <c r="EUV409" s="172"/>
      <c r="EUW409" s="172"/>
      <c r="EUX409" s="172"/>
      <c r="EUY409" s="172"/>
      <c r="EUZ409" s="172"/>
      <c r="EVA409" s="172"/>
      <c r="EVB409" s="172"/>
      <c r="EVC409" s="172"/>
      <c r="EVD409" s="172"/>
      <c r="EVE409" s="172"/>
      <c r="EVF409" s="172"/>
      <c r="EVG409" s="172"/>
      <c r="EVH409" s="172"/>
      <c r="EVI409" s="172"/>
      <c r="EVJ409" s="172"/>
      <c r="EVK409" s="172"/>
      <c r="EVL409" s="172"/>
      <c r="EVM409" s="172"/>
      <c r="EVN409" s="172"/>
      <c r="EVO409" s="172"/>
      <c r="EVP409" s="172"/>
      <c r="EVQ409" s="172"/>
      <c r="EVR409" s="172"/>
      <c r="EVS409" s="172"/>
      <c r="EVT409" s="172"/>
      <c r="EVU409" s="172"/>
      <c r="EVV409" s="172"/>
      <c r="EVW409" s="172"/>
      <c r="EVX409" s="172"/>
      <c r="EVY409" s="172"/>
      <c r="EVZ409" s="172"/>
      <c r="EWA409" s="172"/>
      <c r="EWB409" s="172"/>
      <c r="EWC409" s="172"/>
      <c r="EWD409" s="172"/>
      <c r="EWE409" s="172"/>
      <c r="EWF409" s="172"/>
      <c r="EWG409" s="172"/>
      <c r="EWH409" s="172"/>
      <c r="EWI409" s="172"/>
      <c r="EWJ409" s="172"/>
      <c r="EWK409" s="172"/>
      <c r="EWL409" s="172"/>
      <c r="EWM409" s="172"/>
      <c r="EWN409" s="172"/>
      <c r="EWO409" s="172"/>
      <c r="EWP409" s="172"/>
      <c r="EWQ409" s="172"/>
      <c r="EWR409" s="172"/>
      <c r="EWS409" s="172"/>
      <c r="EWT409" s="172"/>
      <c r="EWU409" s="172"/>
      <c r="EWV409" s="172"/>
      <c r="EWW409" s="172"/>
      <c r="EWX409" s="172"/>
      <c r="EWY409" s="172"/>
      <c r="EWZ409" s="172"/>
      <c r="EXA409" s="172"/>
      <c r="EXB409" s="172"/>
      <c r="EXC409" s="172"/>
      <c r="EXD409" s="172"/>
      <c r="EXE409" s="172"/>
      <c r="EXF409" s="172"/>
      <c r="EXG409" s="172"/>
      <c r="EXH409" s="172"/>
      <c r="EXI409" s="172"/>
      <c r="EXJ409" s="172"/>
      <c r="EXK409" s="172"/>
      <c r="EXL409" s="172"/>
      <c r="EXM409" s="172"/>
      <c r="EXN409" s="172"/>
      <c r="EXO409" s="172"/>
      <c r="EXP409" s="172"/>
      <c r="EXQ409" s="172"/>
      <c r="EXR409" s="172"/>
      <c r="EXS409" s="172"/>
      <c r="EXT409" s="172"/>
      <c r="EXU409" s="172"/>
      <c r="EXV409" s="172"/>
      <c r="EXW409" s="172"/>
      <c r="EXX409" s="172"/>
      <c r="EXY409" s="172"/>
      <c r="EXZ409" s="172"/>
      <c r="EYA409" s="172"/>
      <c r="EYB409" s="172"/>
      <c r="EYC409" s="172"/>
      <c r="EYD409" s="172"/>
      <c r="EYE409" s="172"/>
      <c r="EYF409" s="172"/>
      <c r="EYG409" s="172"/>
      <c r="EYH409" s="172"/>
      <c r="EYI409" s="172"/>
      <c r="EYJ409" s="172"/>
      <c r="EYK409" s="172"/>
      <c r="EYL409" s="172"/>
      <c r="EYM409" s="172"/>
      <c r="EYN409" s="172"/>
      <c r="EYO409" s="172"/>
      <c r="EYP409" s="172"/>
      <c r="EYQ409" s="172"/>
      <c r="EYR409" s="172"/>
      <c r="EYS409" s="172"/>
      <c r="EYT409" s="172"/>
      <c r="EYU409" s="172"/>
      <c r="EYV409" s="172"/>
      <c r="EYW409" s="172"/>
      <c r="EYX409" s="172"/>
      <c r="EYY409" s="172"/>
      <c r="EYZ409" s="172"/>
      <c r="EZA409" s="172"/>
      <c r="EZB409" s="172"/>
      <c r="EZC409" s="172"/>
      <c r="EZD409" s="172"/>
      <c r="EZE409" s="172"/>
      <c r="EZF409" s="172"/>
      <c r="EZG409" s="172"/>
      <c r="EZH409" s="172"/>
      <c r="EZI409" s="172"/>
      <c r="EZJ409" s="172"/>
      <c r="EZK409" s="172"/>
      <c r="EZL409" s="172"/>
      <c r="EZM409" s="172"/>
      <c r="EZN409" s="172"/>
      <c r="EZO409" s="172"/>
      <c r="EZP409" s="172"/>
      <c r="EZQ409" s="172"/>
      <c r="EZR409" s="172"/>
      <c r="EZS409" s="172"/>
      <c r="EZT409" s="172"/>
      <c r="EZU409" s="172"/>
      <c r="EZV409" s="172"/>
      <c r="EZW409" s="172"/>
      <c r="EZX409" s="172"/>
      <c r="EZY409" s="172"/>
      <c r="EZZ409" s="172"/>
      <c r="FAA409" s="172"/>
      <c r="FAB409" s="172"/>
      <c r="FAC409" s="172"/>
      <c r="FAD409" s="172"/>
      <c r="FAE409" s="172"/>
      <c r="FAF409" s="172"/>
      <c r="FAG409" s="172"/>
      <c r="FAH409" s="172"/>
      <c r="FAI409" s="172"/>
      <c r="FAJ409" s="172"/>
      <c r="FAK409" s="172"/>
      <c r="FAL409" s="172"/>
      <c r="FAM409" s="172"/>
      <c r="FAN409" s="172"/>
      <c r="FAO409" s="172"/>
      <c r="FAP409" s="172"/>
      <c r="FAQ409" s="172"/>
      <c r="FAR409" s="172"/>
      <c r="FAS409" s="172"/>
      <c r="FAT409" s="172"/>
      <c r="FAU409" s="172"/>
      <c r="FAV409" s="172"/>
      <c r="FAW409" s="172"/>
      <c r="FAX409" s="172"/>
      <c r="FAY409" s="172"/>
      <c r="FAZ409" s="172"/>
      <c r="FBA409" s="172"/>
      <c r="FBB409" s="172"/>
      <c r="FBC409" s="172"/>
      <c r="FBD409" s="172"/>
      <c r="FBE409" s="172"/>
      <c r="FBF409" s="172"/>
      <c r="FBG409" s="172"/>
      <c r="FBH409" s="172"/>
      <c r="FBI409" s="172"/>
      <c r="FBJ409" s="172"/>
      <c r="FBK409" s="172"/>
      <c r="FBL409" s="172"/>
      <c r="FBM409" s="172"/>
      <c r="FBN409" s="172"/>
      <c r="FBO409" s="172"/>
      <c r="FBP409" s="172"/>
      <c r="FBQ409" s="172"/>
      <c r="FBR409" s="172"/>
      <c r="FBS409" s="172"/>
      <c r="FBT409" s="172"/>
      <c r="FBU409" s="172"/>
      <c r="FBV409" s="172"/>
      <c r="FBW409" s="172"/>
      <c r="FBX409" s="172"/>
      <c r="FBY409" s="172"/>
      <c r="FBZ409" s="172"/>
      <c r="FCA409" s="172"/>
      <c r="FCB409" s="172"/>
      <c r="FCC409" s="172"/>
      <c r="FCD409" s="172"/>
      <c r="FCE409" s="172"/>
      <c r="FCF409" s="172"/>
      <c r="FCG409" s="172"/>
      <c r="FCH409" s="172"/>
      <c r="FCI409" s="172"/>
      <c r="FCJ409" s="172"/>
      <c r="FCK409" s="172"/>
      <c r="FCL409" s="172"/>
      <c r="FCM409" s="172"/>
      <c r="FCN409" s="172"/>
      <c r="FCO409" s="172"/>
      <c r="FCP409" s="172"/>
      <c r="FCQ409" s="172"/>
      <c r="FCR409" s="172"/>
      <c r="FCS409" s="172"/>
      <c r="FCT409" s="172"/>
      <c r="FCU409" s="172"/>
      <c r="FCV409" s="172"/>
      <c r="FCW409" s="172"/>
      <c r="FCX409" s="172"/>
      <c r="FCY409" s="172"/>
      <c r="FCZ409" s="172"/>
      <c r="FDA409" s="172"/>
      <c r="FDB409" s="172"/>
      <c r="FDC409" s="172"/>
      <c r="FDD409" s="172"/>
      <c r="FDE409" s="172"/>
      <c r="FDF409" s="172"/>
      <c r="FDG409" s="172"/>
      <c r="FDH409" s="172"/>
      <c r="FDI409" s="172"/>
      <c r="FDJ409" s="172"/>
      <c r="FDK409" s="172"/>
      <c r="FDL409" s="172"/>
      <c r="FDM409" s="172"/>
      <c r="FDN409" s="172"/>
      <c r="FDO409" s="172"/>
      <c r="FDP409" s="172"/>
      <c r="FDQ409" s="172"/>
      <c r="FDR409" s="172"/>
      <c r="FDS409" s="172"/>
      <c r="FDT409" s="172"/>
      <c r="FDU409" s="172"/>
      <c r="FDV409" s="172"/>
      <c r="FDW409" s="172"/>
      <c r="FDX409" s="172"/>
      <c r="FDY409" s="172"/>
      <c r="FDZ409" s="172"/>
      <c r="FEA409" s="172"/>
      <c r="FEB409" s="172"/>
      <c r="FEC409" s="172"/>
      <c r="FED409" s="172"/>
      <c r="FEE409" s="172"/>
      <c r="FEF409" s="172"/>
      <c r="FEG409" s="172"/>
      <c r="FEH409" s="172"/>
      <c r="FEI409" s="172"/>
      <c r="FEJ409" s="172"/>
      <c r="FEK409" s="172"/>
      <c r="FEL409" s="172"/>
      <c r="FEM409" s="172"/>
      <c r="FEN409" s="172"/>
      <c r="FEO409" s="172"/>
      <c r="FEP409" s="172"/>
      <c r="FEQ409" s="172"/>
      <c r="FER409" s="172"/>
      <c r="FES409" s="172"/>
      <c r="FET409" s="172"/>
      <c r="FEU409" s="172"/>
      <c r="FEV409" s="172"/>
      <c r="FEW409" s="172"/>
      <c r="FEX409" s="172"/>
      <c r="FEY409" s="172"/>
      <c r="FEZ409" s="172"/>
      <c r="FFA409" s="172"/>
      <c r="FFB409" s="172"/>
      <c r="FFC409" s="172"/>
      <c r="FFD409" s="172"/>
      <c r="FFE409" s="172"/>
      <c r="FFF409" s="172"/>
      <c r="FFG409" s="172"/>
      <c r="FFH409" s="172"/>
      <c r="FFI409" s="172"/>
      <c r="FFJ409" s="172"/>
      <c r="FFK409" s="172"/>
      <c r="FFL409" s="172"/>
      <c r="FFM409" s="172"/>
      <c r="FFN409" s="172"/>
      <c r="FFO409" s="172"/>
      <c r="FFP409" s="172"/>
      <c r="FFQ409" s="172"/>
      <c r="FFR409" s="172"/>
      <c r="FFS409" s="172"/>
      <c r="FFT409" s="172"/>
      <c r="FFU409" s="172"/>
      <c r="FFV409" s="172"/>
      <c r="FFW409" s="172"/>
      <c r="FFX409" s="172"/>
      <c r="FFY409" s="172"/>
      <c r="FFZ409" s="172"/>
      <c r="FGA409" s="172"/>
      <c r="FGB409" s="172"/>
      <c r="FGC409" s="172"/>
      <c r="FGD409" s="172"/>
      <c r="FGE409" s="172"/>
      <c r="FGF409" s="172"/>
      <c r="FGG409" s="172"/>
      <c r="FGH409" s="172"/>
      <c r="FGI409" s="172"/>
      <c r="FGJ409" s="172"/>
      <c r="FGK409" s="172"/>
      <c r="FGL409" s="172"/>
      <c r="FGM409" s="172"/>
      <c r="FGN409" s="172"/>
      <c r="FGO409" s="172"/>
      <c r="FGP409" s="172"/>
      <c r="FGQ409" s="172"/>
      <c r="FGR409" s="172"/>
      <c r="FGS409" s="172"/>
      <c r="FGT409" s="172"/>
      <c r="FGU409" s="172"/>
      <c r="FGV409" s="172"/>
      <c r="FGW409" s="172"/>
      <c r="FGX409" s="172"/>
      <c r="FGY409" s="172"/>
      <c r="FGZ409" s="172"/>
      <c r="FHA409" s="172"/>
      <c r="FHB409" s="172"/>
      <c r="FHC409" s="172"/>
      <c r="FHD409" s="172"/>
      <c r="FHE409" s="172"/>
      <c r="FHF409" s="172"/>
      <c r="FHG409" s="172"/>
      <c r="FHH409" s="172"/>
      <c r="FHI409" s="172"/>
      <c r="FHJ409" s="172"/>
      <c r="FHK409" s="172"/>
      <c r="FHL409" s="172"/>
      <c r="FHM409" s="172"/>
      <c r="FHN409" s="172"/>
      <c r="FHO409" s="172"/>
      <c r="FHP409" s="172"/>
      <c r="FHQ409" s="172"/>
      <c r="FHR409" s="172"/>
      <c r="FHS409" s="172"/>
      <c r="FHT409" s="172"/>
      <c r="FHU409" s="172"/>
      <c r="FHV409" s="172"/>
      <c r="FHW409" s="172"/>
      <c r="FHX409" s="172"/>
      <c r="FHY409" s="172"/>
      <c r="FHZ409" s="172"/>
      <c r="FIA409" s="172"/>
      <c r="FIB409" s="172"/>
      <c r="FIC409" s="172"/>
      <c r="FID409" s="172"/>
      <c r="FIE409" s="172"/>
      <c r="FIF409" s="172"/>
      <c r="FIG409" s="172"/>
      <c r="FIH409" s="172"/>
      <c r="FII409" s="172"/>
      <c r="FIJ409" s="172"/>
      <c r="FIK409" s="172"/>
      <c r="FIL409" s="172"/>
      <c r="FIM409" s="172"/>
      <c r="FIN409" s="172"/>
      <c r="FIO409" s="172"/>
      <c r="FIP409" s="172"/>
      <c r="FIQ409" s="172"/>
      <c r="FIR409" s="172"/>
      <c r="FIS409" s="172"/>
      <c r="FIT409" s="172"/>
      <c r="FIU409" s="172"/>
      <c r="FIV409" s="172"/>
      <c r="FIW409" s="172"/>
      <c r="FIX409" s="172"/>
      <c r="FIY409" s="172"/>
      <c r="FIZ409" s="172"/>
      <c r="FJA409" s="172"/>
      <c r="FJB409" s="172"/>
      <c r="FJC409" s="172"/>
      <c r="FJD409" s="172"/>
      <c r="FJE409" s="172"/>
      <c r="FJF409" s="172"/>
      <c r="FJG409" s="172"/>
      <c r="FJH409" s="172"/>
      <c r="FJI409" s="172"/>
      <c r="FJJ409" s="172"/>
      <c r="FJK409" s="172"/>
      <c r="FJL409" s="172"/>
      <c r="FJM409" s="172"/>
      <c r="FJN409" s="172"/>
      <c r="FJO409" s="172"/>
      <c r="FJP409" s="172"/>
      <c r="FJQ409" s="172"/>
      <c r="FJR409" s="172"/>
      <c r="FJS409" s="172"/>
      <c r="FJT409" s="172"/>
      <c r="FJU409" s="172"/>
      <c r="FJV409" s="172"/>
      <c r="FJW409" s="172"/>
      <c r="FJX409" s="172"/>
      <c r="FJY409" s="172"/>
      <c r="FJZ409" s="172"/>
      <c r="FKA409" s="172"/>
      <c r="FKB409" s="172"/>
      <c r="FKC409" s="172"/>
      <c r="FKD409" s="172"/>
      <c r="FKE409" s="172"/>
      <c r="FKF409" s="172"/>
      <c r="FKG409" s="172"/>
      <c r="FKH409" s="172"/>
      <c r="FKI409" s="172"/>
      <c r="FKJ409" s="172"/>
      <c r="FKK409" s="172"/>
      <c r="FKL409" s="172"/>
      <c r="FKM409" s="172"/>
      <c r="FKN409" s="172"/>
      <c r="FKO409" s="172"/>
      <c r="FKP409" s="172"/>
      <c r="FKQ409" s="172"/>
      <c r="FKR409" s="172"/>
      <c r="FKS409" s="172"/>
      <c r="FKT409" s="172"/>
      <c r="FKU409" s="172"/>
      <c r="FKV409" s="172"/>
      <c r="FKW409" s="172"/>
      <c r="FKX409" s="172"/>
      <c r="FKY409" s="172"/>
      <c r="FKZ409" s="172"/>
      <c r="FLA409" s="172"/>
      <c r="FLB409" s="172"/>
      <c r="FLC409" s="172"/>
      <c r="FLD409" s="172"/>
      <c r="FLE409" s="172"/>
      <c r="FLF409" s="172"/>
      <c r="FLG409" s="172"/>
      <c r="FLH409" s="172"/>
      <c r="FLI409" s="172"/>
      <c r="FLJ409" s="172"/>
      <c r="FLK409" s="172"/>
      <c r="FLL409" s="172"/>
      <c r="FLM409" s="172"/>
      <c r="FLN409" s="172"/>
      <c r="FLO409" s="172"/>
      <c r="FLP409" s="172"/>
      <c r="FLQ409" s="172"/>
      <c r="FLR409" s="172"/>
      <c r="FLS409" s="172"/>
      <c r="FLT409" s="172"/>
      <c r="FLU409" s="172"/>
      <c r="FLV409" s="172"/>
      <c r="FLW409" s="172"/>
      <c r="FLX409" s="172"/>
      <c r="FLY409" s="172"/>
      <c r="FLZ409" s="172"/>
      <c r="FMA409" s="172"/>
      <c r="FMB409" s="172"/>
      <c r="FMC409" s="172"/>
      <c r="FMD409" s="172"/>
      <c r="FME409" s="172"/>
      <c r="FMF409" s="172"/>
      <c r="FMG409" s="172"/>
      <c r="FMH409" s="172"/>
      <c r="FMI409" s="172"/>
      <c r="FMJ409" s="172"/>
      <c r="FMK409" s="172"/>
      <c r="FML409" s="172"/>
      <c r="FMM409" s="172"/>
      <c r="FMN409" s="172"/>
      <c r="FMO409" s="172"/>
      <c r="FMP409" s="172"/>
      <c r="FMQ409" s="172"/>
      <c r="FMR409" s="172"/>
      <c r="FMS409" s="172"/>
      <c r="FMT409" s="172"/>
      <c r="FMU409" s="172"/>
      <c r="FMV409" s="172"/>
      <c r="FMW409" s="172"/>
      <c r="FMX409" s="172"/>
      <c r="FMY409" s="172"/>
      <c r="FMZ409" s="172"/>
      <c r="FNA409" s="172"/>
      <c r="FNB409" s="172"/>
      <c r="FNC409" s="172"/>
      <c r="FND409" s="172"/>
      <c r="FNE409" s="172"/>
      <c r="FNF409" s="172"/>
      <c r="FNG409" s="172"/>
      <c r="FNH409" s="172"/>
      <c r="FNI409" s="172"/>
      <c r="FNJ409" s="172"/>
      <c r="FNK409" s="172"/>
      <c r="FNL409" s="172"/>
      <c r="FNM409" s="172"/>
      <c r="FNN409" s="172"/>
      <c r="FNO409" s="172"/>
      <c r="FNP409" s="172"/>
      <c r="FNQ409" s="172"/>
      <c r="FNR409" s="172"/>
      <c r="FNS409" s="172"/>
      <c r="FNT409" s="172"/>
      <c r="FNU409" s="172"/>
      <c r="FNV409" s="172"/>
      <c r="FNW409" s="172"/>
      <c r="FNX409" s="172"/>
      <c r="FNY409" s="172"/>
      <c r="FNZ409" s="172"/>
      <c r="FOA409" s="172"/>
      <c r="FOB409" s="172"/>
      <c r="FOC409" s="172"/>
      <c r="FOD409" s="172"/>
      <c r="FOE409" s="172"/>
      <c r="FOF409" s="172"/>
      <c r="FOG409" s="172"/>
      <c r="FOH409" s="172"/>
      <c r="FOI409" s="172"/>
      <c r="FOJ409" s="172"/>
      <c r="FOK409" s="172"/>
      <c r="FOL409" s="172"/>
      <c r="FOM409" s="172"/>
      <c r="FON409" s="172"/>
      <c r="FOO409" s="172"/>
      <c r="FOP409" s="172"/>
      <c r="FOQ409" s="172"/>
      <c r="FOR409" s="172"/>
      <c r="FOS409" s="172"/>
      <c r="FOT409" s="172"/>
      <c r="FOU409" s="172"/>
      <c r="FOV409" s="172"/>
      <c r="FOW409" s="172"/>
      <c r="FOX409" s="172"/>
      <c r="FOY409" s="172"/>
      <c r="FOZ409" s="172"/>
      <c r="FPA409" s="172"/>
      <c r="FPB409" s="172"/>
      <c r="FPC409" s="172"/>
      <c r="FPD409" s="172"/>
      <c r="FPE409" s="172"/>
      <c r="FPF409" s="172"/>
      <c r="FPG409" s="172"/>
      <c r="FPH409" s="172"/>
      <c r="FPI409" s="172"/>
      <c r="FPJ409" s="172"/>
      <c r="FPK409" s="172"/>
      <c r="FPL409" s="172"/>
      <c r="FPM409" s="172"/>
      <c r="FPN409" s="172"/>
      <c r="FPO409" s="172"/>
      <c r="FPP409" s="172"/>
      <c r="FPQ409" s="172"/>
      <c r="FPR409" s="172"/>
      <c r="FPS409" s="172"/>
      <c r="FPT409" s="172"/>
      <c r="FPU409" s="172"/>
      <c r="FPV409" s="172"/>
      <c r="FPW409" s="172"/>
      <c r="FPX409" s="172"/>
      <c r="FPY409" s="172"/>
      <c r="FPZ409" s="172"/>
      <c r="FQA409" s="172"/>
      <c r="FQB409" s="172"/>
      <c r="FQC409" s="172"/>
      <c r="FQD409" s="172"/>
      <c r="FQE409" s="172"/>
      <c r="FQF409" s="172"/>
      <c r="FQG409" s="172"/>
      <c r="FQH409" s="172"/>
      <c r="FQI409" s="172"/>
      <c r="FQJ409" s="172"/>
      <c r="FQK409" s="172"/>
      <c r="FQL409" s="172"/>
      <c r="FQM409" s="172"/>
      <c r="FQN409" s="172"/>
      <c r="FQO409" s="172"/>
      <c r="FQP409" s="172"/>
      <c r="FQQ409" s="172"/>
      <c r="FQR409" s="172"/>
      <c r="FQS409" s="172"/>
      <c r="FQT409" s="172"/>
      <c r="FQU409" s="172"/>
      <c r="FQV409" s="172"/>
      <c r="FQW409" s="172"/>
      <c r="FQX409" s="172"/>
      <c r="FQY409" s="172"/>
      <c r="FQZ409" s="172"/>
      <c r="FRA409" s="172"/>
      <c r="FRB409" s="172"/>
      <c r="FRC409" s="172"/>
      <c r="FRD409" s="172"/>
      <c r="FRE409" s="172"/>
      <c r="FRF409" s="172"/>
      <c r="FRG409" s="172"/>
      <c r="FRH409" s="172"/>
      <c r="FRI409" s="172"/>
      <c r="FRJ409" s="172"/>
      <c r="FRK409" s="172"/>
      <c r="FRL409" s="172"/>
      <c r="FRM409" s="172"/>
      <c r="FRN409" s="172"/>
      <c r="FRO409" s="172"/>
      <c r="FRP409" s="172"/>
      <c r="FRQ409" s="172"/>
      <c r="FRR409" s="172"/>
      <c r="FRS409" s="172"/>
      <c r="FRT409" s="172"/>
      <c r="FRU409" s="172"/>
      <c r="FRV409" s="172"/>
      <c r="FRW409" s="172"/>
      <c r="FRX409" s="172"/>
      <c r="FRY409" s="172"/>
      <c r="FRZ409" s="172"/>
      <c r="FSA409" s="172"/>
      <c r="FSB409" s="172"/>
      <c r="FSC409" s="172"/>
      <c r="FSD409" s="172"/>
      <c r="FSE409" s="172"/>
      <c r="FSF409" s="172"/>
      <c r="FSG409" s="172"/>
      <c r="FSH409" s="172"/>
      <c r="FSI409" s="172"/>
      <c r="FSJ409" s="172"/>
      <c r="FSK409" s="172"/>
      <c r="FSL409" s="172"/>
      <c r="FSM409" s="172"/>
      <c r="FSN409" s="172"/>
      <c r="FSO409" s="172"/>
      <c r="FSP409" s="172"/>
      <c r="FSQ409" s="172"/>
      <c r="FSR409" s="172"/>
      <c r="FSS409" s="172"/>
      <c r="FST409" s="172"/>
      <c r="FSU409" s="172"/>
      <c r="FSV409" s="172"/>
      <c r="FSW409" s="172"/>
      <c r="FSX409" s="172"/>
      <c r="FSY409" s="172"/>
      <c r="FSZ409" s="172"/>
      <c r="FTA409" s="172"/>
      <c r="FTB409" s="172"/>
      <c r="FTC409" s="172"/>
      <c r="FTD409" s="172"/>
      <c r="FTE409" s="172"/>
      <c r="FTF409" s="172"/>
      <c r="FTG409" s="172"/>
      <c r="FTH409" s="172"/>
      <c r="FTI409" s="172"/>
      <c r="FTJ409" s="172"/>
      <c r="FTK409" s="172"/>
      <c r="FTL409" s="172"/>
      <c r="FTM409" s="172"/>
      <c r="FTN409" s="172"/>
      <c r="FTO409" s="172"/>
      <c r="FTP409" s="172"/>
      <c r="FTQ409" s="172"/>
      <c r="FTR409" s="172"/>
      <c r="FTS409" s="172"/>
      <c r="FTT409" s="172"/>
      <c r="FTU409" s="172"/>
      <c r="FTV409" s="172"/>
      <c r="FTW409" s="172"/>
      <c r="FTX409" s="172"/>
      <c r="FTY409" s="172"/>
      <c r="FTZ409" s="172"/>
      <c r="FUA409" s="172"/>
      <c r="FUB409" s="172"/>
      <c r="FUC409" s="172"/>
      <c r="FUD409" s="172"/>
      <c r="FUE409" s="172"/>
      <c r="FUF409" s="172"/>
      <c r="FUG409" s="172"/>
      <c r="FUH409" s="172"/>
      <c r="FUI409" s="172"/>
      <c r="FUJ409" s="172"/>
      <c r="FUK409" s="172"/>
      <c r="FUL409" s="172"/>
      <c r="FUM409" s="172"/>
      <c r="FUN409" s="172"/>
      <c r="FUO409" s="172"/>
      <c r="FUP409" s="172"/>
      <c r="FUQ409" s="172"/>
      <c r="FUR409" s="172"/>
      <c r="FUS409" s="172"/>
      <c r="FUT409" s="172"/>
      <c r="FUU409" s="172"/>
      <c r="FUV409" s="172"/>
      <c r="FUW409" s="172"/>
      <c r="FUX409" s="172"/>
      <c r="FUY409" s="172"/>
      <c r="FUZ409" s="172"/>
      <c r="FVA409" s="172"/>
      <c r="FVB409" s="172"/>
      <c r="FVC409" s="172"/>
      <c r="FVD409" s="172"/>
      <c r="FVE409" s="172"/>
      <c r="FVF409" s="172"/>
      <c r="FVG409" s="172"/>
      <c r="FVH409" s="172"/>
      <c r="FVI409" s="172"/>
      <c r="FVJ409" s="172"/>
      <c r="FVK409" s="172"/>
      <c r="FVL409" s="172"/>
      <c r="FVM409" s="172"/>
      <c r="FVN409" s="172"/>
      <c r="FVO409" s="172"/>
      <c r="FVP409" s="172"/>
      <c r="FVQ409" s="172"/>
      <c r="FVR409" s="172"/>
      <c r="FVS409" s="172"/>
      <c r="FVT409" s="172"/>
      <c r="FVU409" s="172"/>
      <c r="FVV409" s="172"/>
      <c r="FVW409" s="172"/>
      <c r="FVX409" s="172"/>
      <c r="FVY409" s="172"/>
      <c r="FVZ409" s="172"/>
      <c r="FWA409" s="172"/>
      <c r="FWB409" s="172"/>
      <c r="FWC409" s="172"/>
      <c r="FWD409" s="172"/>
      <c r="FWE409" s="172"/>
      <c r="FWF409" s="172"/>
      <c r="FWG409" s="172"/>
      <c r="FWH409" s="172"/>
      <c r="FWI409" s="172"/>
      <c r="FWJ409" s="172"/>
      <c r="FWK409" s="172"/>
      <c r="FWL409" s="172"/>
      <c r="FWM409" s="172"/>
      <c r="FWN409" s="172"/>
      <c r="FWO409" s="172"/>
      <c r="FWP409" s="172"/>
      <c r="FWQ409" s="172"/>
      <c r="FWR409" s="172"/>
      <c r="FWS409" s="172"/>
      <c r="FWT409" s="172"/>
      <c r="FWU409" s="172"/>
      <c r="FWV409" s="172"/>
      <c r="FWW409" s="172"/>
      <c r="FWX409" s="172"/>
      <c r="FWY409" s="172"/>
      <c r="FWZ409" s="172"/>
      <c r="FXA409" s="172"/>
      <c r="FXB409" s="172"/>
      <c r="FXC409" s="172"/>
      <c r="FXD409" s="172"/>
      <c r="FXE409" s="172"/>
      <c r="FXF409" s="172"/>
      <c r="FXG409" s="172"/>
      <c r="FXH409" s="172"/>
      <c r="FXI409" s="172"/>
      <c r="FXJ409" s="172"/>
      <c r="FXK409" s="172"/>
      <c r="FXL409" s="172"/>
      <c r="FXM409" s="172"/>
      <c r="FXN409" s="172"/>
      <c r="FXO409" s="172"/>
      <c r="FXP409" s="172"/>
      <c r="FXQ409" s="172"/>
      <c r="FXR409" s="172"/>
      <c r="FXS409" s="172"/>
      <c r="FXT409" s="172"/>
      <c r="FXU409" s="172"/>
      <c r="FXV409" s="172"/>
      <c r="FXW409" s="172"/>
      <c r="FXX409" s="172"/>
      <c r="FXY409" s="172"/>
      <c r="FXZ409" s="172"/>
      <c r="FYA409" s="172"/>
      <c r="FYB409" s="172"/>
      <c r="FYC409" s="172"/>
      <c r="FYD409" s="172"/>
      <c r="FYE409" s="172"/>
      <c r="FYF409" s="172"/>
      <c r="FYG409" s="172"/>
      <c r="FYH409" s="172"/>
      <c r="FYI409" s="172"/>
      <c r="FYJ409" s="172"/>
      <c r="FYK409" s="172"/>
      <c r="FYL409" s="172"/>
      <c r="FYM409" s="172"/>
      <c r="FYN409" s="172"/>
      <c r="FYO409" s="172"/>
      <c r="FYP409" s="172"/>
      <c r="FYQ409" s="172"/>
      <c r="FYR409" s="172"/>
      <c r="FYS409" s="172"/>
      <c r="FYT409" s="172"/>
      <c r="FYU409" s="172"/>
      <c r="FYV409" s="172"/>
      <c r="FYW409" s="172"/>
      <c r="FYX409" s="172"/>
      <c r="FYY409" s="172"/>
      <c r="FYZ409" s="172"/>
      <c r="FZA409" s="172"/>
      <c r="FZB409" s="172"/>
      <c r="FZC409" s="172"/>
      <c r="FZD409" s="172"/>
      <c r="FZE409" s="172"/>
      <c r="FZF409" s="172"/>
      <c r="FZG409" s="172"/>
      <c r="FZH409" s="172"/>
      <c r="FZI409" s="172"/>
      <c r="FZJ409" s="172"/>
      <c r="FZK409" s="172"/>
      <c r="FZL409" s="172"/>
      <c r="FZM409" s="172"/>
      <c r="FZN409" s="172"/>
      <c r="FZO409" s="172"/>
      <c r="FZP409" s="172"/>
      <c r="FZQ409" s="172"/>
      <c r="FZR409" s="172"/>
      <c r="FZS409" s="172"/>
      <c r="FZT409" s="172"/>
      <c r="FZU409" s="172"/>
      <c r="FZV409" s="172"/>
      <c r="FZW409" s="172"/>
      <c r="FZX409" s="172"/>
      <c r="FZY409" s="172"/>
      <c r="FZZ409" s="172"/>
      <c r="GAA409" s="172"/>
      <c r="GAB409" s="172"/>
      <c r="GAC409" s="172"/>
      <c r="GAD409" s="172"/>
      <c r="GAE409" s="172"/>
      <c r="GAF409" s="172"/>
      <c r="GAG409" s="172"/>
      <c r="GAH409" s="172"/>
      <c r="GAI409" s="172"/>
      <c r="GAJ409" s="172"/>
      <c r="GAK409" s="172"/>
      <c r="GAL409" s="172"/>
      <c r="GAM409" s="172"/>
      <c r="GAN409" s="172"/>
      <c r="GAO409" s="172"/>
      <c r="GAP409" s="172"/>
      <c r="GAQ409" s="172"/>
      <c r="GAR409" s="172"/>
      <c r="GAS409" s="172"/>
      <c r="GAT409" s="172"/>
      <c r="GAU409" s="172"/>
      <c r="GAV409" s="172"/>
      <c r="GAW409" s="172"/>
      <c r="GAX409" s="172"/>
      <c r="GAY409" s="172"/>
      <c r="GAZ409" s="172"/>
      <c r="GBA409" s="172"/>
      <c r="GBB409" s="172"/>
      <c r="GBC409" s="172"/>
      <c r="GBD409" s="172"/>
      <c r="GBE409" s="172"/>
      <c r="GBF409" s="172"/>
      <c r="GBG409" s="172"/>
      <c r="GBH409" s="172"/>
      <c r="GBI409" s="172"/>
      <c r="GBJ409" s="172"/>
      <c r="GBK409" s="172"/>
      <c r="GBL409" s="172"/>
      <c r="GBM409" s="172"/>
      <c r="GBN409" s="172"/>
      <c r="GBO409" s="172"/>
      <c r="GBP409" s="172"/>
      <c r="GBQ409" s="172"/>
      <c r="GBR409" s="172"/>
      <c r="GBS409" s="172"/>
      <c r="GBT409" s="172"/>
      <c r="GBU409" s="172"/>
      <c r="GBV409" s="172"/>
      <c r="GBW409" s="172"/>
      <c r="GBX409" s="172"/>
      <c r="GBY409" s="172"/>
      <c r="GBZ409" s="172"/>
      <c r="GCA409" s="172"/>
      <c r="GCB409" s="172"/>
      <c r="GCC409" s="172"/>
      <c r="GCD409" s="172"/>
      <c r="GCE409" s="172"/>
      <c r="GCF409" s="172"/>
      <c r="GCG409" s="172"/>
      <c r="GCH409" s="172"/>
      <c r="GCI409" s="172"/>
      <c r="GCJ409" s="172"/>
      <c r="GCK409" s="172"/>
      <c r="GCL409" s="172"/>
      <c r="GCM409" s="172"/>
      <c r="GCN409" s="172"/>
      <c r="GCO409" s="172"/>
      <c r="GCP409" s="172"/>
      <c r="GCQ409" s="172"/>
      <c r="GCR409" s="172"/>
      <c r="GCS409" s="172"/>
      <c r="GCT409" s="172"/>
      <c r="GCU409" s="172"/>
      <c r="GCV409" s="172"/>
      <c r="GCW409" s="172"/>
      <c r="GCX409" s="172"/>
      <c r="GCY409" s="172"/>
      <c r="GCZ409" s="172"/>
      <c r="GDA409" s="172"/>
      <c r="GDB409" s="172"/>
      <c r="GDC409" s="172"/>
      <c r="GDD409" s="172"/>
      <c r="GDE409" s="172"/>
      <c r="GDF409" s="172"/>
      <c r="GDG409" s="172"/>
      <c r="GDH409" s="172"/>
      <c r="GDI409" s="172"/>
      <c r="GDJ409" s="172"/>
      <c r="GDK409" s="172"/>
      <c r="GDL409" s="172"/>
      <c r="GDM409" s="172"/>
      <c r="GDN409" s="172"/>
      <c r="GDO409" s="172"/>
      <c r="GDP409" s="172"/>
      <c r="GDQ409" s="172"/>
      <c r="GDR409" s="172"/>
      <c r="GDS409" s="172"/>
      <c r="GDT409" s="172"/>
      <c r="GDU409" s="172"/>
      <c r="GDV409" s="172"/>
      <c r="GDW409" s="172"/>
      <c r="GDX409" s="172"/>
      <c r="GDY409" s="172"/>
      <c r="GDZ409" s="172"/>
      <c r="GEA409" s="172"/>
      <c r="GEB409" s="172"/>
      <c r="GEC409" s="172"/>
      <c r="GED409" s="172"/>
      <c r="GEE409" s="172"/>
      <c r="GEF409" s="172"/>
      <c r="GEG409" s="172"/>
      <c r="GEH409" s="172"/>
      <c r="GEI409" s="172"/>
      <c r="GEJ409" s="172"/>
      <c r="GEK409" s="172"/>
      <c r="GEL409" s="172"/>
      <c r="GEM409" s="172"/>
      <c r="GEN409" s="172"/>
      <c r="GEO409" s="172"/>
      <c r="GEP409" s="172"/>
      <c r="GEQ409" s="172"/>
      <c r="GER409" s="172"/>
      <c r="GES409" s="172"/>
      <c r="GET409" s="172"/>
      <c r="GEU409" s="172"/>
      <c r="GEV409" s="172"/>
      <c r="GEW409" s="172"/>
      <c r="GEX409" s="172"/>
      <c r="GEY409" s="172"/>
      <c r="GEZ409" s="172"/>
      <c r="GFA409" s="172"/>
      <c r="GFB409" s="172"/>
      <c r="GFC409" s="172"/>
      <c r="GFD409" s="172"/>
      <c r="GFE409" s="172"/>
      <c r="GFF409" s="172"/>
      <c r="GFG409" s="172"/>
      <c r="GFH409" s="172"/>
      <c r="GFI409" s="172"/>
      <c r="GFJ409" s="172"/>
      <c r="GFK409" s="172"/>
      <c r="GFL409" s="172"/>
      <c r="GFM409" s="172"/>
      <c r="GFN409" s="172"/>
      <c r="GFO409" s="172"/>
      <c r="GFP409" s="172"/>
      <c r="GFQ409" s="172"/>
      <c r="GFR409" s="172"/>
      <c r="GFS409" s="172"/>
      <c r="GFT409" s="172"/>
      <c r="GFU409" s="172"/>
      <c r="GFV409" s="172"/>
      <c r="GFW409" s="172"/>
      <c r="GFX409" s="172"/>
      <c r="GFY409" s="172"/>
      <c r="GFZ409" s="172"/>
      <c r="GGA409" s="172"/>
      <c r="GGB409" s="172"/>
      <c r="GGC409" s="172"/>
      <c r="GGD409" s="172"/>
      <c r="GGE409" s="172"/>
      <c r="GGF409" s="172"/>
      <c r="GGG409" s="172"/>
      <c r="GGH409" s="172"/>
      <c r="GGI409" s="172"/>
      <c r="GGJ409" s="172"/>
      <c r="GGK409" s="172"/>
      <c r="GGL409" s="172"/>
      <c r="GGM409" s="172"/>
      <c r="GGN409" s="172"/>
      <c r="GGO409" s="172"/>
      <c r="GGP409" s="172"/>
      <c r="GGQ409" s="172"/>
      <c r="GGR409" s="172"/>
      <c r="GGS409" s="172"/>
      <c r="GGT409" s="172"/>
      <c r="GGU409" s="172"/>
      <c r="GGV409" s="172"/>
      <c r="GGW409" s="172"/>
      <c r="GGX409" s="172"/>
      <c r="GGY409" s="172"/>
      <c r="GGZ409" s="172"/>
      <c r="GHA409" s="172"/>
      <c r="GHB409" s="172"/>
      <c r="GHC409" s="172"/>
      <c r="GHD409" s="172"/>
      <c r="GHE409" s="172"/>
      <c r="GHF409" s="172"/>
      <c r="GHG409" s="172"/>
      <c r="GHH409" s="172"/>
      <c r="GHI409" s="172"/>
      <c r="GHJ409" s="172"/>
      <c r="GHK409" s="172"/>
      <c r="GHL409" s="172"/>
      <c r="GHM409" s="172"/>
      <c r="GHN409" s="172"/>
      <c r="GHO409" s="172"/>
      <c r="GHP409" s="172"/>
      <c r="GHQ409" s="172"/>
      <c r="GHR409" s="172"/>
      <c r="GHS409" s="172"/>
      <c r="GHT409" s="172"/>
      <c r="GHU409" s="172"/>
      <c r="GHV409" s="172"/>
      <c r="GHW409" s="172"/>
      <c r="GHX409" s="172"/>
      <c r="GHY409" s="172"/>
      <c r="GHZ409" s="172"/>
      <c r="GIA409" s="172"/>
      <c r="GIB409" s="172"/>
      <c r="GIC409" s="172"/>
      <c r="GID409" s="172"/>
      <c r="GIE409" s="172"/>
      <c r="GIF409" s="172"/>
      <c r="GIG409" s="172"/>
      <c r="GIH409" s="172"/>
      <c r="GII409" s="172"/>
      <c r="GIJ409" s="172"/>
      <c r="GIK409" s="172"/>
      <c r="GIL409" s="172"/>
      <c r="GIM409" s="172"/>
      <c r="GIN409" s="172"/>
      <c r="GIO409" s="172"/>
      <c r="GIP409" s="172"/>
      <c r="GIQ409" s="172"/>
      <c r="GIR409" s="172"/>
      <c r="GIS409" s="172"/>
      <c r="GIT409" s="172"/>
      <c r="GIU409" s="172"/>
      <c r="GIV409" s="172"/>
      <c r="GIW409" s="172"/>
      <c r="GIX409" s="172"/>
      <c r="GIY409" s="172"/>
      <c r="GIZ409" s="172"/>
      <c r="GJA409" s="172"/>
      <c r="GJB409" s="172"/>
      <c r="GJC409" s="172"/>
      <c r="GJD409" s="172"/>
      <c r="GJE409" s="172"/>
      <c r="GJF409" s="172"/>
      <c r="GJG409" s="172"/>
      <c r="GJH409" s="172"/>
      <c r="GJI409" s="172"/>
      <c r="GJJ409" s="172"/>
      <c r="GJK409" s="172"/>
      <c r="GJL409" s="172"/>
      <c r="GJM409" s="172"/>
      <c r="GJN409" s="172"/>
      <c r="GJO409" s="172"/>
      <c r="GJP409" s="172"/>
      <c r="GJQ409" s="172"/>
      <c r="GJR409" s="172"/>
      <c r="GJS409" s="172"/>
      <c r="GJT409" s="172"/>
      <c r="GJU409" s="172"/>
      <c r="GJV409" s="172"/>
      <c r="GJW409" s="172"/>
      <c r="GJX409" s="172"/>
      <c r="GJY409" s="172"/>
      <c r="GJZ409" s="172"/>
      <c r="GKA409" s="172"/>
      <c r="GKB409" s="172"/>
      <c r="GKC409" s="172"/>
      <c r="GKD409" s="172"/>
      <c r="GKE409" s="172"/>
      <c r="GKF409" s="172"/>
      <c r="GKG409" s="172"/>
      <c r="GKH409" s="172"/>
      <c r="GKI409" s="172"/>
      <c r="GKJ409" s="172"/>
      <c r="GKK409" s="172"/>
      <c r="GKL409" s="172"/>
      <c r="GKM409" s="172"/>
      <c r="GKN409" s="172"/>
      <c r="GKO409" s="172"/>
      <c r="GKP409" s="172"/>
      <c r="GKQ409" s="172"/>
      <c r="GKR409" s="172"/>
      <c r="GKS409" s="172"/>
      <c r="GKT409" s="172"/>
      <c r="GKU409" s="172"/>
      <c r="GKV409" s="172"/>
      <c r="GKW409" s="172"/>
      <c r="GKX409" s="172"/>
      <c r="GKY409" s="172"/>
      <c r="GKZ409" s="172"/>
      <c r="GLA409" s="172"/>
      <c r="GLB409" s="172"/>
      <c r="GLC409" s="172"/>
      <c r="GLD409" s="172"/>
      <c r="GLE409" s="172"/>
      <c r="GLF409" s="172"/>
      <c r="GLG409" s="172"/>
      <c r="GLH409" s="172"/>
      <c r="GLI409" s="172"/>
      <c r="GLJ409" s="172"/>
      <c r="GLK409" s="172"/>
      <c r="GLL409" s="172"/>
      <c r="GLM409" s="172"/>
      <c r="GLN409" s="172"/>
      <c r="GLO409" s="172"/>
      <c r="GLP409" s="172"/>
      <c r="GLQ409" s="172"/>
      <c r="GLR409" s="172"/>
      <c r="GLS409" s="172"/>
      <c r="GLT409" s="172"/>
      <c r="GLU409" s="172"/>
      <c r="GLV409" s="172"/>
      <c r="GLW409" s="172"/>
      <c r="GLX409" s="172"/>
      <c r="GLY409" s="172"/>
      <c r="GLZ409" s="172"/>
      <c r="GMA409" s="172"/>
      <c r="GMB409" s="172"/>
      <c r="GMC409" s="172"/>
      <c r="GMD409" s="172"/>
      <c r="GME409" s="172"/>
      <c r="GMF409" s="172"/>
      <c r="GMG409" s="172"/>
      <c r="GMH409" s="172"/>
      <c r="GMI409" s="172"/>
      <c r="GMJ409" s="172"/>
      <c r="GMK409" s="172"/>
      <c r="GML409" s="172"/>
      <c r="GMM409" s="172"/>
      <c r="GMN409" s="172"/>
      <c r="GMO409" s="172"/>
      <c r="GMP409" s="172"/>
      <c r="GMQ409" s="172"/>
      <c r="GMR409" s="172"/>
      <c r="GMS409" s="172"/>
      <c r="GMT409" s="172"/>
      <c r="GMU409" s="172"/>
      <c r="GMV409" s="172"/>
      <c r="GMW409" s="172"/>
      <c r="GMX409" s="172"/>
      <c r="GMY409" s="172"/>
      <c r="GMZ409" s="172"/>
      <c r="GNA409" s="172"/>
      <c r="GNB409" s="172"/>
      <c r="GNC409" s="172"/>
      <c r="GND409" s="172"/>
      <c r="GNE409" s="172"/>
      <c r="GNF409" s="172"/>
      <c r="GNG409" s="172"/>
      <c r="GNH409" s="172"/>
      <c r="GNI409" s="172"/>
      <c r="GNJ409" s="172"/>
      <c r="GNK409" s="172"/>
      <c r="GNL409" s="172"/>
      <c r="GNM409" s="172"/>
      <c r="GNN409" s="172"/>
      <c r="GNO409" s="172"/>
      <c r="GNP409" s="172"/>
      <c r="GNQ409" s="172"/>
      <c r="GNR409" s="172"/>
      <c r="GNS409" s="172"/>
      <c r="GNT409" s="172"/>
      <c r="GNU409" s="172"/>
      <c r="GNV409" s="172"/>
      <c r="GNW409" s="172"/>
      <c r="GNX409" s="172"/>
      <c r="GNY409" s="172"/>
      <c r="GNZ409" s="172"/>
      <c r="GOA409" s="172"/>
      <c r="GOB409" s="172"/>
      <c r="GOC409" s="172"/>
      <c r="GOD409" s="172"/>
      <c r="GOE409" s="172"/>
      <c r="GOF409" s="172"/>
      <c r="GOG409" s="172"/>
      <c r="GOH409" s="172"/>
      <c r="GOI409" s="172"/>
      <c r="GOJ409" s="172"/>
      <c r="GOK409" s="172"/>
      <c r="GOL409" s="172"/>
      <c r="GOM409" s="172"/>
      <c r="GON409" s="172"/>
      <c r="GOO409" s="172"/>
      <c r="GOP409" s="172"/>
      <c r="GOQ409" s="172"/>
      <c r="GOR409" s="172"/>
      <c r="GOS409" s="172"/>
      <c r="GOT409" s="172"/>
      <c r="GOU409" s="172"/>
      <c r="GOV409" s="172"/>
      <c r="GOW409" s="172"/>
      <c r="GOX409" s="172"/>
      <c r="GOY409" s="172"/>
      <c r="GOZ409" s="172"/>
      <c r="GPA409" s="172"/>
      <c r="GPB409" s="172"/>
      <c r="GPC409" s="172"/>
      <c r="GPD409" s="172"/>
      <c r="GPE409" s="172"/>
      <c r="GPF409" s="172"/>
      <c r="GPG409" s="172"/>
      <c r="GPH409" s="172"/>
      <c r="GPI409" s="172"/>
      <c r="GPJ409" s="172"/>
      <c r="GPK409" s="172"/>
      <c r="GPL409" s="172"/>
      <c r="GPM409" s="172"/>
      <c r="GPN409" s="172"/>
      <c r="GPO409" s="172"/>
      <c r="GPP409" s="172"/>
      <c r="GPQ409" s="172"/>
      <c r="GPR409" s="172"/>
      <c r="GPS409" s="172"/>
      <c r="GPT409" s="172"/>
      <c r="GPU409" s="172"/>
      <c r="GPV409" s="172"/>
      <c r="GPW409" s="172"/>
      <c r="GPX409" s="172"/>
      <c r="GPY409" s="172"/>
      <c r="GPZ409" s="172"/>
      <c r="GQA409" s="172"/>
      <c r="GQB409" s="172"/>
      <c r="GQC409" s="172"/>
      <c r="GQD409" s="172"/>
      <c r="GQE409" s="172"/>
      <c r="GQF409" s="172"/>
      <c r="GQG409" s="172"/>
      <c r="GQH409" s="172"/>
      <c r="GQI409" s="172"/>
      <c r="GQJ409" s="172"/>
      <c r="GQK409" s="172"/>
      <c r="GQL409" s="172"/>
      <c r="GQM409" s="172"/>
      <c r="GQN409" s="172"/>
      <c r="GQO409" s="172"/>
      <c r="GQP409" s="172"/>
      <c r="GQQ409" s="172"/>
      <c r="GQR409" s="172"/>
      <c r="GQS409" s="172"/>
      <c r="GQT409" s="172"/>
      <c r="GQU409" s="172"/>
      <c r="GQV409" s="172"/>
      <c r="GQW409" s="172"/>
      <c r="GQX409" s="172"/>
      <c r="GQY409" s="172"/>
      <c r="GQZ409" s="172"/>
      <c r="GRA409" s="172"/>
      <c r="GRB409" s="172"/>
      <c r="GRC409" s="172"/>
      <c r="GRD409" s="172"/>
      <c r="GRE409" s="172"/>
      <c r="GRF409" s="172"/>
      <c r="GRG409" s="172"/>
      <c r="GRH409" s="172"/>
      <c r="GRI409" s="172"/>
      <c r="GRJ409" s="172"/>
      <c r="GRK409" s="172"/>
      <c r="GRL409" s="172"/>
      <c r="GRM409" s="172"/>
      <c r="GRN409" s="172"/>
      <c r="GRO409" s="172"/>
      <c r="GRP409" s="172"/>
      <c r="GRQ409" s="172"/>
      <c r="GRR409" s="172"/>
      <c r="GRS409" s="172"/>
      <c r="GRT409" s="172"/>
      <c r="GRU409" s="172"/>
      <c r="GRV409" s="172"/>
      <c r="GRW409" s="172"/>
      <c r="GRX409" s="172"/>
      <c r="GRY409" s="172"/>
      <c r="GRZ409" s="172"/>
      <c r="GSA409" s="172"/>
      <c r="GSB409" s="172"/>
      <c r="GSC409" s="172"/>
      <c r="GSD409" s="172"/>
      <c r="GSE409" s="172"/>
      <c r="GSF409" s="172"/>
      <c r="GSG409" s="172"/>
      <c r="GSH409" s="172"/>
      <c r="GSI409" s="172"/>
      <c r="GSJ409" s="172"/>
      <c r="GSK409" s="172"/>
      <c r="GSL409" s="172"/>
      <c r="GSM409" s="172"/>
      <c r="GSN409" s="172"/>
      <c r="GSO409" s="172"/>
      <c r="GSP409" s="172"/>
      <c r="GSQ409" s="172"/>
      <c r="GSR409" s="172"/>
      <c r="GSS409" s="172"/>
      <c r="GST409" s="172"/>
      <c r="GSU409" s="172"/>
      <c r="GSV409" s="172"/>
      <c r="GSW409" s="172"/>
      <c r="GSX409" s="172"/>
      <c r="GSY409" s="172"/>
      <c r="GSZ409" s="172"/>
      <c r="GTA409" s="172"/>
      <c r="GTB409" s="172"/>
      <c r="GTC409" s="172"/>
      <c r="GTD409" s="172"/>
      <c r="GTE409" s="172"/>
      <c r="GTF409" s="172"/>
      <c r="GTG409" s="172"/>
      <c r="GTH409" s="172"/>
      <c r="GTI409" s="172"/>
      <c r="GTJ409" s="172"/>
      <c r="GTK409" s="172"/>
      <c r="GTL409" s="172"/>
      <c r="GTM409" s="172"/>
      <c r="GTN409" s="172"/>
      <c r="GTO409" s="172"/>
      <c r="GTP409" s="172"/>
      <c r="GTQ409" s="172"/>
      <c r="GTR409" s="172"/>
      <c r="GTS409" s="172"/>
      <c r="GTT409" s="172"/>
      <c r="GTU409" s="172"/>
      <c r="GTV409" s="172"/>
      <c r="GTW409" s="172"/>
      <c r="GTX409" s="172"/>
      <c r="GTY409" s="172"/>
      <c r="GTZ409" s="172"/>
      <c r="GUA409" s="172"/>
      <c r="GUB409" s="172"/>
      <c r="GUC409" s="172"/>
      <c r="GUD409" s="172"/>
      <c r="GUE409" s="172"/>
      <c r="GUF409" s="172"/>
      <c r="GUG409" s="172"/>
      <c r="GUH409" s="172"/>
      <c r="GUI409" s="172"/>
      <c r="GUJ409" s="172"/>
      <c r="GUK409" s="172"/>
      <c r="GUL409" s="172"/>
      <c r="GUM409" s="172"/>
      <c r="GUN409" s="172"/>
      <c r="GUO409" s="172"/>
      <c r="GUP409" s="172"/>
      <c r="GUQ409" s="172"/>
      <c r="GUR409" s="172"/>
      <c r="GUS409" s="172"/>
      <c r="GUT409" s="172"/>
      <c r="GUU409" s="172"/>
      <c r="GUV409" s="172"/>
      <c r="GUW409" s="172"/>
      <c r="GUX409" s="172"/>
      <c r="GUY409" s="172"/>
      <c r="GUZ409" s="172"/>
      <c r="GVA409" s="172"/>
      <c r="GVB409" s="172"/>
      <c r="GVC409" s="172"/>
      <c r="GVD409" s="172"/>
      <c r="GVE409" s="172"/>
      <c r="GVF409" s="172"/>
      <c r="GVG409" s="172"/>
      <c r="GVH409" s="172"/>
      <c r="GVI409" s="172"/>
      <c r="GVJ409" s="172"/>
      <c r="GVK409" s="172"/>
      <c r="GVL409" s="172"/>
      <c r="GVM409" s="172"/>
      <c r="GVN409" s="172"/>
      <c r="GVO409" s="172"/>
      <c r="GVP409" s="172"/>
      <c r="GVQ409" s="172"/>
      <c r="GVR409" s="172"/>
      <c r="GVS409" s="172"/>
      <c r="GVT409" s="172"/>
      <c r="GVU409" s="172"/>
      <c r="GVV409" s="172"/>
      <c r="GVW409" s="172"/>
      <c r="GVX409" s="172"/>
      <c r="GVY409" s="172"/>
      <c r="GVZ409" s="172"/>
      <c r="GWA409" s="172"/>
      <c r="GWB409" s="172"/>
      <c r="GWC409" s="172"/>
      <c r="GWD409" s="172"/>
      <c r="GWE409" s="172"/>
      <c r="GWF409" s="172"/>
      <c r="GWG409" s="172"/>
      <c r="GWH409" s="172"/>
      <c r="GWI409" s="172"/>
      <c r="GWJ409" s="172"/>
      <c r="GWK409" s="172"/>
      <c r="GWL409" s="172"/>
      <c r="GWM409" s="172"/>
      <c r="GWN409" s="172"/>
      <c r="GWO409" s="172"/>
      <c r="GWP409" s="172"/>
      <c r="GWQ409" s="172"/>
      <c r="GWR409" s="172"/>
      <c r="GWS409" s="172"/>
      <c r="GWT409" s="172"/>
      <c r="GWU409" s="172"/>
      <c r="GWV409" s="172"/>
      <c r="GWW409" s="172"/>
      <c r="GWX409" s="172"/>
      <c r="GWY409" s="172"/>
      <c r="GWZ409" s="172"/>
      <c r="GXA409" s="172"/>
      <c r="GXB409" s="172"/>
      <c r="GXC409" s="172"/>
      <c r="GXD409" s="172"/>
      <c r="GXE409" s="172"/>
      <c r="GXF409" s="172"/>
      <c r="GXG409" s="172"/>
      <c r="GXH409" s="172"/>
      <c r="GXI409" s="172"/>
      <c r="GXJ409" s="172"/>
      <c r="GXK409" s="172"/>
      <c r="GXL409" s="172"/>
      <c r="GXM409" s="172"/>
      <c r="GXN409" s="172"/>
      <c r="GXO409" s="172"/>
      <c r="GXP409" s="172"/>
      <c r="GXQ409" s="172"/>
      <c r="GXR409" s="172"/>
      <c r="GXS409" s="172"/>
      <c r="GXT409" s="172"/>
      <c r="GXU409" s="172"/>
      <c r="GXV409" s="172"/>
      <c r="GXW409" s="172"/>
      <c r="GXX409" s="172"/>
      <c r="GXY409" s="172"/>
      <c r="GXZ409" s="172"/>
      <c r="GYA409" s="172"/>
      <c r="GYB409" s="172"/>
      <c r="GYC409" s="172"/>
      <c r="GYD409" s="172"/>
      <c r="GYE409" s="172"/>
      <c r="GYF409" s="172"/>
      <c r="GYG409" s="172"/>
      <c r="GYH409" s="172"/>
      <c r="GYI409" s="172"/>
      <c r="GYJ409" s="172"/>
      <c r="GYK409" s="172"/>
      <c r="GYL409" s="172"/>
      <c r="GYM409" s="172"/>
      <c r="GYN409" s="172"/>
      <c r="GYO409" s="172"/>
      <c r="GYP409" s="172"/>
      <c r="GYQ409" s="172"/>
      <c r="GYR409" s="172"/>
      <c r="GYS409" s="172"/>
      <c r="GYT409" s="172"/>
      <c r="GYU409" s="172"/>
      <c r="GYV409" s="172"/>
      <c r="GYW409" s="172"/>
      <c r="GYX409" s="172"/>
      <c r="GYY409" s="172"/>
      <c r="GYZ409" s="172"/>
      <c r="GZA409" s="172"/>
      <c r="GZB409" s="172"/>
      <c r="GZC409" s="172"/>
      <c r="GZD409" s="172"/>
      <c r="GZE409" s="172"/>
      <c r="GZF409" s="172"/>
      <c r="GZG409" s="172"/>
      <c r="GZH409" s="172"/>
      <c r="GZI409" s="172"/>
      <c r="GZJ409" s="172"/>
      <c r="GZK409" s="172"/>
      <c r="GZL409" s="172"/>
      <c r="GZM409" s="172"/>
      <c r="GZN409" s="172"/>
      <c r="GZO409" s="172"/>
      <c r="GZP409" s="172"/>
      <c r="GZQ409" s="172"/>
      <c r="GZR409" s="172"/>
      <c r="GZS409" s="172"/>
      <c r="GZT409" s="172"/>
      <c r="GZU409" s="172"/>
      <c r="GZV409" s="172"/>
      <c r="GZW409" s="172"/>
      <c r="GZX409" s="172"/>
      <c r="GZY409" s="172"/>
      <c r="GZZ409" s="172"/>
      <c r="HAA409" s="172"/>
      <c r="HAB409" s="172"/>
      <c r="HAC409" s="172"/>
      <c r="HAD409" s="172"/>
      <c r="HAE409" s="172"/>
      <c r="HAF409" s="172"/>
      <c r="HAG409" s="172"/>
      <c r="HAH409" s="172"/>
      <c r="HAI409" s="172"/>
      <c r="HAJ409" s="172"/>
      <c r="HAK409" s="172"/>
      <c r="HAL409" s="172"/>
      <c r="HAM409" s="172"/>
      <c r="HAN409" s="172"/>
      <c r="HAO409" s="172"/>
      <c r="HAP409" s="172"/>
      <c r="HAQ409" s="172"/>
      <c r="HAR409" s="172"/>
      <c r="HAS409" s="172"/>
      <c r="HAT409" s="172"/>
      <c r="HAU409" s="172"/>
      <c r="HAV409" s="172"/>
      <c r="HAW409" s="172"/>
      <c r="HAX409" s="172"/>
      <c r="HAY409" s="172"/>
      <c r="HAZ409" s="172"/>
      <c r="HBA409" s="172"/>
      <c r="HBB409" s="172"/>
      <c r="HBC409" s="172"/>
      <c r="HBD409" s="172"/>
      <c r="HBE409" s="172"/>
      <c r="HBF409" s="172"/>
      <c r="HBG409" s="172"/>
      <c r="HBH409" s="172"/>
      <c r="HBI409" s="172"/>
      <c r="HBJ409" s="172"/>
      <c r="HBK409" s="172"/>
      <c r="HBL409" s="172"/>
      <c r="HBM409" s="172"/>
      <c r="HBN409" s="172"/>
      <c r="HBO409" s="172"/>
      <c r="HBP409" s="172"/>
      <c r="HBQ409" s="172"/>
      <c r="HBR409" s="172"/>
      <c r="HBS409" s="172"/>
      <c r="HBT409" s="172"/>
      <c r="HBU409" s="172"/>
      <c r="HBV409" s="172"/>
      <c r="HBW409" s="172"/>
      <c r="HBX409" s="172"/>
      <c r="HBY409" s="172"/>
      <c r="HBZ409" s="172"/>
      <c r="HCA409" s="172"/>
      <c r="HCB409" s="172"/>
      <c r="HCC409" s="172"/>
      <c r="HCD409" s="172"/>
      <c r="HCE409" s="172"/>
      <c r="HCF409" s="172"/>
      <c r="HCG409" s="172"/>
      <c r="HCH409" s="172"/>
      <c r="HCI409" s="172"/>
      <c r="HCJ409" s="172"/>
      <c r="HCK409" s="172"/>
      <c r="HCL409" s="172"/>
      <c r="HCM409" s="172"/>
      <c r="HCN409" s="172"/>
      <c r="HCO409" s="172"/>
      <c r="HCP409" s="172"/>
      <c r="HCQ409" s="172"/>
      <c r="HCR409" s="172"/>
      <c r="HCS409" s="172"/>
      <c r="HCT409" s="172"/>
      <c r="HCU409" s="172"/>
      <c r="HCV409" s="172"/>
      <c r="HCW409" s="172"/>
      <c r="HCX409" s="172"/>
      <c r="HCY409" s="172"/>
      <c r="HCZ409" s="172"/>
      <c r="HDA409" s="172"/>
      <c r="HDB409" s="172"/>
      <c r="HDC409" s="172"/>
      <c r="HDD409" s="172"/>
      <c r="HDE409" s="172"/>
      <c r="HDF409" s="172"/>
      <c r="HDG409" s="172"/>
      <c r="HDH409" s="172"/>
      <c r="HDI409" s="172"/>
      <c r="HDJ409" s="172"/>
      <c r="HDK409" s="172"/>
      <c r="HDL409" s="172"/>
      <c r="HDM409" s="172"/>
      <c r="HDN409" s="172"/>
      <c r="HDO409" s="172"/>
      <c r="HDP409" s="172"/>
      <c r="HDQ409" s="172"/>
      <c r="HDR409" s="172"/>
      <c r="HDS409" s="172"/>
      <c r="HDT409" s="172"/>
      <c r="HDU409" s="172"/>
      <c r="HDV409" s="172"/>
      <c r="HDW409" s="172"/>
      <c r="HDX409" s="172"/>
      <c r="HDY409" s="172"/>
      <c r="HDZ409" s="172"/>
      <c r="HEA409" s="172"/>
      <c r="HEB409" s="172"/>
      <c r="HEC409" s="172"/>
      <c r="HED409" s="172"/>
      <c r="HEE409" s="172"/>
      <c r="HEF409" s="172"/>
      <c r="HEG409" s="172"/>
      <c r="HEH409" s="172"/>
      <c r="HEI409" s="172"/>
      <c r="HEJ409" s="172"/>
      <c r="HEK409" s="172"/>
      <c r="HEL409" s="172"/>
      <c r="HEM409" s="172"/>
      <c r="HEN409" s="172"/>
      <c r="HEO409" s="172"/>
      <c r="HEP409" s="172"/>
      <c r="HEQ409" s="172"/>
      <c r="HER409" s="172"/>
      <c r="HES409" s="172"/>
      <c r="HET409" s="172"/>
      <c r="HEU409" s="172"/>
      <c r="HEV409" s="172"/>
      <c r="HEW409" s="172"/>
      <c r="HEX409" s="172"/>
      <c r="HEY409" s="172"/>
      <c r="HEZ409" s="172"/>
      <c r="HFA409" s="172"/>
      <c r="HFB409" s="172"/>
      <c r="HFC409" s="172"/>
      <c r="HFD409" s="172"/>
      <c r="HFE409" s="172"/>
      <c r="HFF409" s="172"/>
      <c r="HFG409" s="172"/>
      <c r="HFH409" s="172"/>
      <c r="HFI409" s="172"/>
      <c r="HFJ409" s="172"/>
      <c r="HFK409" s="172"/>
      <c r="HFL409" s="172"/>
      <c r="HFM409" s="172"/>
      <c r="HFN409" s="172"/>
      <c r="HFO409" s="172"/>
      <c r="HFP409" s="172"/>
      <c r="HFQ409" s="172"/>
      <c r="HFR409" s="172"/>
      <c r="HFS409" s="172"/>
      <c r="HFT409" s="172"/>
      <c r="HFU409" s="172"/>
      <c r="HFV409" s="172"/>
      <c r="HFW409" s="172"/>
      <c r="HFX409" s="172"/>
      <c r="HFY409" s="172"/>
      <c r="HFZ409" s="172"/>
      <c r="HGA409" s="172"/>
      <c r="HGB409" s="172"/>
      <c r="HGC409" s="172"/>
      <c r="HGD409" s="172"/>
      <c r="HGE409" s="172"/>
      <c r="HGF409" s="172"/>
      <c r="HGG409" s="172"/>
      <c r="HGH409" s="172"/>
      <c r="HGI409" s="172"/>
      <c r="HGJ409" s="172"/>
      <c r="HGK409" s="172"/>
      <c r="HGL409" s="172"/>
      <c r="HGM409" s="172"/>
      <c r="HGN409" s="172"/>
      <c r="HGO409" s="172"/>
      <c r="HGP409" s="172"/>
      <c r="HGQ409" s="172"/>
      <c r="HGR409" s="172"/>
      <c r="HGS409" s="172"/>
      <c r="HGT409" s="172"/>
      <c r="HGU409" s="172"/>
      <c r="HGV409" s="172"/>
      <c r="HGW409" s="172"/>
      <c r="HGX409" s="172"/>
      <c r="HGY409" s="172"/>
      <c r="HGZ409" s="172"/>
      <c r="HHA409" s="172"/>
      <c r="HHB409" s="172"/>
      <c r="HHC409" s="172"/>
      <c r="HHD409" s="172"/>
      <c r="HHE409" s="172"/>
      <c r="HHF409" s="172"/>
      <c r="HHG409" s="172"/>
      <c r="HHH409" s="172"/>
      <c r="HHI409" s="172"/>
      <c r="HHJ409" s="172"/>
      <c r="HHK409" s="172"/>
      <c r="HHL409" s="172"/>
      <c r="HHM409" s="172"/>
      <c r="HHN409" s="172"/>
      <c r="HHO409" s="172"/>
      <c r="HHP409" s="172"/>
      <c r="HHQ409" s="172"/>
      <c r="HHR409" s="172"/>
      <c r="HHS409" s="172"/>
      <c r="HHT409" s="172"/>
      <c r="HHU409" s="172"/>
      <c r="HHV409" s="172"/>
      <c r="HHW409" s="172"/>
      <c r="HHX409" s="172"/>
      <c r="HHY409" s="172"/>
      <c r="HHZ409" s="172"/>
      <c r="HIA409" s="172"/>
      <c r="HIB409" s="172"/>
      <c r="HIC409" s="172"/>
      <c r="HID409" s="172"/>
      <c r="HIE409" s="172"/>
      <c r="HIF409" s="172"/>
      <c r="HIG409" s="172"/>
      <c r="HIH409" s="172"/>
      <c r="HII409" s="172"/>
      <c r="HIJ409" s="172"/>
      <c r="HIK409" s="172"/>
      <c r="HIL409" s="172"/>
      <c r="HIM409" s="172"/>
      <c r="HIN409" s="172"/>
      <c r="HIO409" s="172"/>
      <c r="HIP409" s="172"/>
      <c r="HIQ409" s="172"/>
      <c r="HIR409" s="172"/>
      <c r="HIS409" s="172"/>
      <c r="HIT409" s="172"/>
      <c r="HIU409" s="172"/>
      <c r="HIV409" s="172"/>
      <c r="HIW409" s="172"/>
      <c r="HIX409" s="172"/>
      <c r="HIY409" s="172"/>
      <c r="HIZ409" s="172"/>
      <c r="HJA409" s="172"/>
      <c r="HJB409" s="172"/>
      <c r="HJC409" s="172"/>
      <c r="HJD409" s="172"/>
      <c r="HJE409" s="172"/>
      <c r="HJF409" s="172"/>
      <c r="HJG409" s="172"/>
      <c r="HJH409" s="172"/>
      <c r="HJI409" s="172"/>
      <c r="HJJ409" s="172"/>
      <c r="HJK409" s="172"/>
      <c r="HJL409" s="172"/>
      <c r="HJM409" s="172"/>
      <c r="HJN409" s="172"/>
      <c r="HJO409" s="172"/>
      <c r="HJP409" s="172"/>
      <c r="HJQ409" s="172"/>
      <c r="HJR409" s="172"/>
      <c r="HJS409" s="172"/>
      <c r="HJT409" s="172"/>
      <c r="HJU409" s="172"/>
      <c r="HJV409" s="172"/>
      <c r="HJW409" s="172"/>
      <c r="HJX409" s="172"/>
      <c r="HJY409" s="172"/>
      <c r="HJZ409" s="172"/>
      <c r="HKA409" s="172"/>
      <c r="HKB409" s="172"/>
      <c r="HKC409" s="172"/>
      <c r="HKD409" s="172"/>
      <c r="HKE409" s="172"/>
      <c r="HKF409" s="172"/>
      <c r="HKG409" s="172"/>
      <c r="HKH409" s="172"/>
      <c r="HKI409" s="172"/>
      <c r="HKJ409" s="172"/>
      <c r="HKK409" s="172"/>
      <c r="HKL409" s="172"/>
      <c r="HKM409" s="172"/>
      <c r="HKN409" s="172"/>
      <c r="HKO409" s="172"/>
      <c r="HKP409" s="172"/>
      <c r="HKQ409" s="172"/>
      <c r="HKR409" s="172"/>
      <c r="HKS409" s="172"/>
      <c r="HKT409" s="172"/>
      <c r="HKU409" s="172"/>
      <c r="HKV409" s="172"/>
      <c r="HKW409" s="172"/>
      <c r="HKX409" s="172"/>
      <c r="HKY409" s="172"/>
      <c r="HKZ409" s="172"/>
      <c r="HLA409" s="172"/>
      <c r="HLB409" s="172"/>
      <c r="HLC409" s="172"/>
      <c r="HLD409" s="172"/>
      <c r="HLE409" s="172"/>
      <c r="HLF409" s="172"/>
      <c r="HLG409" s="172"/>
      <c r="HLH409" s="172"/>
      <c r="HLI409" s="172"/>
      <c r="HLJ409" s="172"/>
      <c r="HLK409" s="172"/>
      <c r="HLL409" s="172"/>
      <c r="HLM409" s="172"/>
      <c r="HLN409" s="172"/>
      <c r="HLO409" s="172"/>
      <c r="HLP409" s="172"/>
      <c r="HLQ409" s="172"/>
      <c r="HLR409" s="172"/>
      <c r="HLS409" s="172"/>
      <c r="HLT409" s="172"/>
      <c r="HLU409" s="172"/>
      <c r="HLV409" s="172"/>
      <c r="HLW409" s="172"/>
      <c r="HLX409" s="172"/>
      <c r="HLY409" s="172"/>
      <c r="HLZ409" s="172"/>
      <c r="HMA409" s="172"/>
      <c r="HMB409" s="172"/>
      <c r="HMC409" s="172"/>
      <c r="HMD409" s="172"/>
      <c r="HME409" s="172"/>
      <c r="HMF409" s="172"/>
      <c r="HMG409" s="172"/>
      <c r="HMH409" s="172"/>
      <c r="HMI409" s="172"/>
      <c r="HMJ409" s="172"/>
      <c r="HMK409" s="172"/>
      <c r="HML409" s="172"/>
      <c r="HMM409" s="172"/>
      <c r="HMN409" s="172"/>
      <c r="HMO409" s="172"/>
      <c r="HMP409" s="172"/>
      <c r="HMQ409" s="172"/>
      <c r="HMR409" s="172"/>
      <c r="HMS409" s="172"/>
      <c r="HMT409" s="172"/>
      <c r="HMU409" s="172"/>
      <c r="HMV409" s="172"/>
      <c r="HMW409" s="172"/>
      <c r="HMX409" s="172"/>
      <c r="HMY409" s="172"/>
      <c r="HMZ409" s="172"/>
      <c r="HNA409" s="172"/>
      <c r="HNB409" s="172"/>
      <c r="HNC409" s="172"/>
      <c r="HND409" s="172"/>
      <c r="HNE409" s="172"/>
      <c r="HNF409" s="172"/>
      <c r="HNG409" s="172"/>
      <c r="HNH409" s="172"/>
      <c r="HNI409" s="172"/>
      <c r="HNJ409" s="172"/>
      <c r="HNK409" s="172"/>
      <c r="HNL409" s="172"/>
      <c r="HNM409" s="172"/>
      <c r="HNN409" s="172"/>
      <c r="HNO409" s="172"/>
      <c r="HNP409" s="172"/>
      <c r="HNQ409" s="172"/>
      <c r="HNR409" s="172"/>
      <c r="HNS409" s="172"/>
      <c r="HNT409" s="172"/>
      <c r="HNU409" s="172"/>
      <c r="HNV409" s="172"/>
      <c r="HNW409" s="172"/>
      <c r="HNX409" s="172"/>
      <c r="HNY409" s="172"/>
      <c r="HNZ409" s="172"/>
      <c r="HOA409" s="172"/>
      <c r="HOB409" s="172"/>
      <c r="HOC409" s="172"/>
      <c r="HOD409" s="172"/>
      <c r="HOE409" s="172"/>
      <c r="HOF409" s="172"/>
      <c r="HOG409" s="172"/>
      <c r="HOH409" s="172"/>
      <c r="HOI409" s="172"/>
      <c r="HOJ409" s="172"/>
      <c r="HOK409" s="172"/>
      <c r="HOL409" s="172"/>
      <c r="HOM409" s="172"/>
      <c r="HON409" s="172"/>
      <c r="HOO409" s="172"/>
      <c r="HOP409" s="172"/>
      <c r="HOQ409" s="172"/>
      <c r="HOR409" s="172"/>
      <c r="HOS409" s="172"/>
      <c r="HOT409" s="172"/>
      <c r="HOU409" s="172"/>
      <c r="HOV409" s="172"/>
      <c r="HOW409" s="172"/>
      <c r="HOX409" s="172"/>
      <c r="HOY409" s="172"/>
      <c r="HOZ409" s="172"/>
      <c r="HPA409" s="172"/>
      <c r="HPB409" s="172"/>
      <c r="HPC409" s="172"/>
      <c r="HPD409" s="172"/>
      <c r="HPE409" s="172"/>
      <c r="HPF409" s="172"/>
      <c r="HPG409" s="172"/>
      <c r="HPH409" s="172"/>
      <c r="HPI409" s="172"/>
      <c r="HPJ409" s="172"/>
      <c r="HPK409" s="172"/>
      <c r="HPL409" s="172"/>
      <c r="HPM409" s="172"/>
      <c r="HPN409" s="172"/>
      <c r="HPO409" s="172"/>
      <c r="HPP409" s="172"/>
      <c r="HPQ409" s="172"/>
      <c r="HPR409" s="172"/>
      <c r="HPS409" s="172"/>
      <c r="HPT409" s="172"/>
      <c r="HPU409" s="172"/>
      <c r="HPV409" s="172"/>
      <c r="HPW409" s="172"/>
      <c r="HPX409" s="172"/>
      <c r="HPY409" s="172"/>
      <c r="HPZ409" s="172"/>
      <c r="HQA409" s="172"/>
      <c r="HQB409" s="172"/>
      <c r="HQC409" s="172"/>
      <c r="HQD409" s="172"/>
      <c r="HQE409" s="172"/>
      <c r="HQF409" s="172"/>
      <c r="HQG409" s="172"/>
      <c r="HQH409" s="172"/>
      <c r="HQI409" s="172"/>
      <c r="HQJ409" s="172"/>
      <c r="HQK409" s="172"/>
      <c r="HQL409" s="172"/>
      <c r="HQM409" s="172"/>
      <c r="HQN409" s="172"/>
      <c r="HQO409" s="172"/>
      <c r="HQP409" s="172"/>
      <c r="HQQ409" s="172"/>
      <c r="HQR409" s="172"/>
      <c r="HQS409" s="172"/>
      <c r="HQT409" s="172"/>
      <c r="HQU409" s="172"/>
      <c r="HQV409" s="172"/>
      <c r="HQW409" s="172"/>
      <c r="HQX409" s="172"/>
      <c r="HQY409" s="172"/>
      <c r="HQZ409" s="172"/>
      <c r="HRA409" s="172"/>
      <c r="HRB409" s="172"/>
      <c r="HRC409" s="172"/>
      <c r="HRD409" s="172"/>
      <c r="HRE409" s="172"/>
      <c r="HRF409" s="172"/>
      <c r="HRG409" s="172"/>
      <c r="HRH409" s="172"/>
      <c r="HRI409" s="172"/>
      <c r="HRJ409" s="172"/>
      <c r="HRK409" s="172"/>
      <c r="HRL409" s="172"/>
      <c r="HRM409" s="172"/>
      <c r="HRN409" s="172"/>
      <c r="HRO409" s="172"/>
      <c r="HRP409" s="172"/>
      <c r="HRQ409" s="172"/>
      <c r="HRR409" s="172"/>
      <c r="HRS409" s="172"/>
      <c r="HRT409" s="172"/>
      <c r="HRU409" s="172"/>
      <c r="HRV409" s="172"/>
      <c r="HRW409" s="172"/>
      <c r="HRX409" s="172"/>
      <c r="HRY409" s="172"/>
      <c r="HRZ409" s="172"/>
      <c r="HSA409" s="172"/>
      <c r="HSB409" s="172"/>
      <c r="HSC409" s="172"/>
      <c r="HSD409" s="172"/>
      <c r="HSE409" s="172"/>
      <c r="HSF409" s="172"/>
      <c r="HSG409" s="172"/>
      <c r="HSH409" s="172"/>
      <c r="HSI409" s="172"/>
      <c r="HSJ409" s="172"/>
      <c r="HSK409" s="172"/>
      <c r="HSL409" s="172"/>
      <c r="HSM409" s="172"/>
      <c r="HSN409" s="172"/>
      <c r="HSO409" s="172"/>
      <c r="HSP409" s="172"/>
      <c r="HSQ409" s="172"/>
      <c r="HSR409" s="172"/>
      <c r="HSS409" s="172"/>
      <c r="HST409" s="172"/>
      <c r="HSU409" s="172"/>
      <c r="HSV409" s="172"/>
      <c r="HSW409" s="172"/>
      <c r="HSX409" s="172"/>
      <c r="HSY409" s="172"/>
      <c r="HSZ409" s="172"/>
      <c r="HTA409" s="172"/>
      <c r="HTB409" s="172"/>
      <c r="HTC409" s="172"/>
      <c r="HTD409" s="172"/>
      <c r="HTE409" s="172"/>
      <c r="HTF409" s="172"/>
      <c r="HTG409" s="172"/>
      <c r="HTH409" s="172"/>
      <c r="HTI409" s="172"/>
      <c r="HTJ409" s="172"/>
      <c r="HTK409" s="172"/>
      <c r="HTL409" s="172"/>
      <c r="HTM409" s="172"/>
      <c r="HTN409" s="172"/>
      <c r="HTO409" s="172"/>
      <c r="HTP409" s="172"/>
      <c r="HTQ409" s="172"/>
      <c r="HTR409" s="172"/>
      <c r="HTS409" s="172"/>
      <c r="HTT409" s="172"/>
      <c r="HTU409" s="172"/>
      <c r="HTV409" s="172"/>
      <c r="HTW409" s="172"/>
      <c r="HTX409" s="172"/>
      <c r="HTY409" s="172"/>
      <c r="HTZ409" s="172"/>
      <c r="HUA409" s="172"/>
      <c r="HUB409" s="172"/>
      <c r="HUC409" s="172"/>
      <c r="HUD409" s="172"/>
      <c r="HUE409" s="172"/>
      <c r="HUF409" s="172"/>
      <c r="HUG409" s="172"/>
      <c r="HUH409" s="172"/>
      <c r="HUI409" s="172"/>
      <c r="HUJ409" s="172"/>
      <c r="HUK409" s="172"/>
      <c r="HUL409" s="172"/>
      <c r="HUM409" s="172"/>
      <c r="HUN409" s="172"/>
      <c r="HUO409" s="172"/>
      <c r="HUP409" s="172"/>
      <c r="HUQ409" s="172"/>
      <c r="HUR409" s="172"/>
      <c r="HUS409" s="172"/>
      <c r="HUT409" s="172"/>
      <c r="HUU409" s="172"/>
      <c r="HUV409" s="172"/>
      <c r="HUW409" s="172"/>
      <c r="HUX409" s="172"/>
      <c r="HUY409" s="172"/>
      <c r="HUZ409" s="172"/>
      <c r="HVA409" s="172"/>
      <c r="HVB409" s="172"/>
      <c r="HVC409" s="172"/>
      <c r="HVD409" s="172"/>
      <c r="HVE409" s="172"/>
      <c r="HVF409" s="172"/>
      <c r="HVG409" s="172"/>
      <c r="HVH409" s="172"/>
      <c r="HVI409" s="172"/>
      <c r="HVJ409" s="172"/>
      <c r="HVK409" s="172"/>
      <c r="HVL409" s="172"/>
      <c r="HVM409" s="172"/>
      <c r="HVN409" s="172"/>
      <c r="HVO409" s="172"/>
      <c r="HVP409" s="172"/>
      <c r="HVQ409" s="172"/>
      <c r="HVR409" s="172"/>
      <c r="HVS409" s="172"/>
      <c r="HVT409" s="172"/>
      <c r="HVU409" s="172"/>
      <c r="HVV409" s="172"/>
      <c r="HVW409" s="172"/>
      <c r="HVX409" s="172"/>
      <c r="HVY409" s="172"/>
      <c r="HVZ409" s="172"/>
      <c r="HWA409" s="172"/>
      <c r="HWB409" s="172"/>
      <c r="HWC409" s="172"/>
      <c r="HWD409" s="172"/>
      <c r="HWE409" s="172"/>
      <c r="HWF409" s="172"/>
      <c r="HWG409" s="172"/>
      <c r="HWH409" s="172"/>
      <c r="HWI409" s="172"/>
      <c r="HWJ409" s="172"/>
      <c r="HWK409" s="172"/>
      <c r="HWL409" s="172"/>
      <c r="HWM409" s="172"/>
      <c r="HWN409" s="172"/>
      <c r="HWO409" s="172"/>
      <c r="HWP409" s="172"/>
      <c r="HWQ409" s="172"/>
      <c r="HWR409" s="172"/>
      <c r="HWS409" s="172"/>
      <c r="HWT409" s="172"/>
      <c r="HWU409" s="172"/>
      <c r="HWV409" s="172"/>
      <c r="HWW409" s="172"/>
      <c r="HWX409" s="172"/>
      <c r="HWY409" s="172"/>
      <c r="HWZ409" s="172"/>
      <c r="HXA409" s="172"/>
      <c r="HXB409" s="172"/>
      <c r="HXC409" s="172"/>
      <c r="HXD409" s="172"/>
      <c r="HXE409" s="172"/>
      <c r="HXF409" s="172"/>
      <c r="HXG409" s="172"/>
      <c r="HXH409" s="172"/>
      <c r="HXI409" s="172"/>
      <c r="HXJ409" s="172"/>
      <c r="HXK409" s="172"/>
      <c r="HXL409" s="172"/>
      <c r="HXM409" s="172"/>
      <c r="HXN409" s="172"/>
      <c r="HXO409" s="172"/>
      <c r="HXP409" s="172"/>
      <c r="HXQ409" s="172"/>
      <c r="HXR409" s="172"/>
      <c r="HXS409" s="172"/>
      <c r="HXT409" s="172"/>
      <c r="HXU409" s="172"/>
      <c r="HXV409" s="172"/>
      <c r="HXW409" s="172"/>
      <c r="HXX409" s="172"/>
      <c r="HXY409" s="172"/>
      <c r="HXZ409" s="172"/>
      <c r="HYA409" s="172"/>
      <c r="HYB409" s="172"/>
      <c r="HYC409" s="172"/>
      <c r="HYD409" s="172"/>
      <c r="HYE409" s="172"/>
      <c r="HYF409" s="172"/>
      <c r="HYG409" s="172"/>
      <c r="HYH409" s="172"/>
      <c r="HYI409" s="172"/>
      <c r="HYJ409" s="172"/>
      <c r="HYK409" s="172"/>
      <c r="HYL409" s="172"/>
      <c r="HYM409" s="172"/>
      <c r="HYN409" s="172"/>
      <c r="HYO409" s="172"/>
      <c r="HYP409" s="172"/>
      <c r="HYQ409" s="172"/>
      <c r="HYR409" s="172"/>
      <c r="HYS409" s="172"/>
      <c r="HYT409" s="172"/>
      <c r="HYU409" s="172"/>
      <c r="HYV409" s="172"/>
      <c r="HYW409" s="172"/>
      <c r="HYX409" s="172"/>
      <c r="HYY409" s="172"/>
      <c r="HYZ409" s="172"/>
      <c r="HZA409" s="172"/>
      <c r="HZB409" s="172"/>
      <c r="HZC409" s="172"/>
      <c r="HZD409" s="172"/>
      <c r="HZE409" s="172"/>
      <c r="HZF409" s="172"/>
      <c r="HZG409" s="172"/>
      <c r="HZH409" s="172"/>
      <c r="HZI409" s="172"/>
      <c r="HZJ409" s="172"/>
      <c r="HZK409" s="172"/>
      <c r="HZL409" s="172"/>
      <c r="HZM409" s="172"/>
      <c r="HZN409" s="172"/>
      <c r="HZO409" s="172"/>
      <c r="HZP409" s="172"/>
      <c r="HZQ409" s="172"/>
      <c r="HZR409" s="172"/>
      <c r="HZS409" s="172"/>
      <c r="HZT409" s="172"/>
      <c r="HZU409" s="172"/>
      <c r="HZV409" s="172"/>
      <c r="HZW409" s="172"/>
      <c r="HZX409" s="172"/>
      <c r="HZY409" s="172"/>
      <c r="HZZ409" s="172"/>
      <c r="IAA409" s="172"/>
      <c r="IAB409" s="172"/>
      <c r="IAC409" s="172"/>
      <c r="IAD409" s="172"/>
      <c r="IAE409" s="172"/>
      <c r="IAF409" s="172"/>
      <c r="IAG409" s="172"/>
      <c r="IAH409" s="172"/>
      <c r="IAI409" s="172"/>
      <c r="IAJ409" s="172"/>
      <c r="IAK409" s="172"/>
      <c r="IAL409" s="172"/>
      <c r="IAM409" s="172"/>
      <c r="IAN409" s="172"/>
      <c r="IAO409" s="172"/>
      <c r="IAP409" s="172"/>
      <c r="IAQ409" s="172"/>
      <c r="IAR409" s="172"/>
      <c r="IAS409" s="172"/>
      <c r="IAT409" s="172"/>
      <c r="IAU409" s="172"/>
      <c r="IAV409" s="172"/>
      <c r="IAW409" s="172"/>
      <c r="IAX409" s="172"/>
      <c r="IAY409" s="172"/>
      <c r="IAZ409" s="172"/>
      <c r="IBA409" s="172"/>
      <c r="IBB409" s="172"/>
      <c r="IBC409" s="172"/>
      <c r="IBD409" s="172"/>
      <c r="IBE409" s="172"/>
      <c r="IBF409" s="172"/>
      <c r="IBG409" s="172"/>
      <c r="IBH409" s="172"/>
      <c r="IBI409" s="172"/>
      <c r="IBJ409" s="172"/>
      <c r="IBK409" s="172"/>
      <c r="IBL409" s="172"/>
      <c r="IBM409" s="172"/>
      <c r="IBN409" s="172"/>
      <c r="IBO409" s="172"/>
      <c r="IBP409" s="172"/>
      <c r="IBQ409" s="172"/>
      <c r="IBR409" s="172"/>
      <c r="IBS409" s="172"/>
      <c r="IBT409" s="172"/>
      <c r="IBU409" s="172"/>
      <c r="IBV409" s="172"/>
      <c r="IBW409" s="172"/>
      <c r="IBX409" s="172"/>
      <c r="IBY409" s="172"/>
      <c r="IBZ409" s="172"/>
      <c r="ICA409" s="172"/>
      <c r="ICB409" s="172"/>
      <c r="ICC409" s="172"/>
      <c r="ICD409" s="172"/>
      <c r="ICE409" s="172"/>
      <c r="ICF409" s="172"/>
      <c r="ICG409" s="172"/>
      <c r="ICH409" s="172"/>
      <c r="ICI409" s="172"/>
      <c r="ICJ409" s="172"/>
      <c r="ICK409" s="172"/>
      <c r="ICL409" s="172"/>
      <c r="ICM409" s="172"/>
      <c r="ICN409" s="172"/>
      <c r="ICO409" s="172"/>
      <c r="ICP409" s="172"/>
      <c r="ICQ409" s="172"/>
      <c r="ICR409" s="172"/>
      <c r="ICS409" s="172"/>
      <c r="ICT409" s="172"/>
      <c r="ICU409" s="172"/>
      <c r="ICV409" s="172"/>
      <c r="ICW409" s="172"/>
      <c r="ICX409" s="172"/>
      <c r="ICY409" s="172"/>
      <c r="ICZ409" s="172"/>
      <c r="IDA409" s="172"/>
      <c r="IDB409" s="172"/>
      <c r="IDC409" s="172"/>
      <c r="IDD409" s="172"/>
      <c r="IDE409" s="172"/>
      <c r="IDF409" s="172"/>
      <c r="IDG409" s="172"/>
      <c r="IDH409" s="172"/>
      <c r="IDI409" s="172"/>
      <c r="IDJ409" s="172"/>
      <c r="IDK409" s="172"/>
      <c r="IDL409" s="172"/>
      <c r="IDM409" s="172"/>
      <c r="IDN409" s="172"/>
      <c r="IDO409" s="172"/>
      <c r="IDP409" s="172"/>
      <c r="IDQ409" s="172"/>
      <c r="IDR409" s="172"/>
      <c r="IDS409" s="172"/>
      <c r="IDT409" s="172"/>
      <c r="IDU409" s="172"/>
      <c r="IDV409" s="172"/>
      <c r="IDW409" s="172"/>
      <c r="IDX409" s="172"/>
      <c r="IDY409" s="172"/>
      <c r="IDZ409" s="172"/>
      <c r="IEA409" s="172"/>
      <c r="IEB409" s="172"/>
      <c r="IEC409" s="172"/>
      <c r="IED409" s="172"/>
      <c r="IEE409" s="172"/>
      <c r="IEF409" s="172"/>
      <c r="IEG409" s="172"/>
      <c r="IEH409" s="172"/>
      <c r="IEI409" s="172"/>
      <c r="IEJ409" s="172"/>
      <c r="IEK409" s="172"/>
      <c r="IEL409" s="172"/>
      <c r="IEM409" s="172"/>
      <c r="IEN409" s="172"/>
      <c r="IEO409" s="172"/>
      <c r="IEP409" s="172"/>
      <c r="IEQ409" s="172"/>
      <c r="IER409" s="172"/>
      <c r="IES409" s="172"/>
      <c r="IET409" s="172"/>
      <c r="IEU409" s="172"/>
      <c r="IEV409" s="172"/>
      <c r="IEW409" s="172"/>
      <c r="IEX409" s="172"/>
      <c r="IEY409" s="172"/>
      <c r="IEZ409" s="172"/>
      <c r="IFA409" s="172"/>
      <c r="IFB409" s="172"/>
      <c r="IFC409" s="172"/>
      <c r="IFD409" s="172"/>
      <c r="IFE409" s="172"/>
      <c r="IFF409" s="172"/>
      <c r="IFG409" s="172"/>
      <c r="IFH409" s="172"/>
      <c r="IFI409" s="172"/>
      <c r="IFJ409" s="172"/>
      <c r="IFK409" s="172"/>
      <c r="IFL409" s="172"/>
      <c r="IFM409" s="172"/>
      <c r="IFN409" s="172"/>
      <c r="IFO409" s="172"/>
      <c r="IFP409" s="172"/>
      <c r="IFQ409" s="172"/>
      <c r="IFR409" s="172"/>
      <c r="IFS409" s="172"/>
      <c r="IFT409" s="172"/>
      <c r="IFU409" s="172"/>
      <c r="IFV409" s="172"/>
      <c r="IFW409" s="172"/>
      <c r="IFX409" s="172"/>
      <c r="IFY409" s="172"/>
      <c r="IFZ409" s="172"/>
      <c r="IGA409" s="172"/>
      <c r="IGB409" s="172"/>
      <c r="IGC409" s="172"/>
      <c r="IGD409" s="172"/>
      <c r="IGE409" s="172"/>
      <c r="IGF409" s="172"/>
      <c r="IGG409" s="172"/>
      <c r="IGH409" s="172"/>
      <c r="IGI409" s="172"/>
      <c r="IGJ409" s="172"/>
      <c r="IGK409" s="172"/>
      <c r="IGL409" s="172"/>
      <c r="IGM409" s="172"/>
      <c r="IGN409" s="172"/>
      <c r="IGO409" s="172"/>
      <c r="IGP409" s="172"/>
      <c r="IGQ409" s="172"/>
      <c r="IGR409" s="172"/>
      <c r="IGS409" s="172"/>
      <c r="IGT409" s="172"/>
      <c r="IGU409" s="172"/>
      <c r="IGV409" s="172"/>
      <c r="IGW409" s="172"/>
      <c r="IGX409" s="172"/>
      <c r="IGY409" s="172"/>
      <c r="IGZ409" s="172"/>
      <c r="IHA409" s="172"/>
      <c r="IHB409" s="172"/>
      <c r="IHC409" s="172"/>
      <c r="IHD409" s="172"/>
      <c r="IHE409" s="172"/>
      <c r="IHF409" s="172"/>
      <c r="IHG409" s="172"/>
      <c r="IHH409" s="172"/>
      <c r="IHI409" s="172"/>
      <c r="IHJ409" s="172"/>
      <c r="IHK409" s="172"/>
      <c r="IHL409" s="172"/>
      <c r="IHM409" s="172"/>
      <c r="IHN409" s="172"/>
      <c r="IHO409" s="172"/>
      <c r="IHP409" s="172"/>
      <c r="IHQ409" s="172"/>
      <c r="IHR409" s="172"/>
      <c r="IHS409" s="172"/>
      <c r="IHT409" s="172"/>
      <c r="IHU409" s="172"/>
      <c r="IHV409" s="172"/>
      <c r="IHW409" s="172"/>
      <c r="IHX409" s="172"/>
      <c r="IHY409" s="172"/>
      <c r="IHZ409" s="172"/>
      <c r="IIA409" s="172"/>
      <c r="IIB409" s="172"/>
      <c r="IIC409" s="172"/>
      <c r="IID409" s="172"/>
      <c r="IIE409" s="172"/>
      <c r="IIF409" s="172"/>
      <c r="IIG409" s="172"/>
      <c r="IIH409" s="172"/>
      <c r="III409" s="172"/>
      <c r="IIJ409" s="172"/>
      <c r="IIK409" s="172"/>
      <c r="IIL409" s="172"/>
      <c r="IIM409" s="172"/>
      <c r="IIN409" s="172"/>
      <c r="IIO409" s="172"/>
      <c r="IIP409" s="172"/>
      <c r="IIQ409" s="172"/>
      <c r="IIR409" s="172"/>
      <c r="IIS409" s="172"/>
      <c r="IIT409" s="172"/>
      <c r="IIU409" s="172"/>
      <c r="IIV409" s="172"/>
      <c r="IIW409" s="172"/>
      <c r="IIX409" s="172"/>
      <c r="IIY409" s="172"/>
      <c r="IIZ409" s="172"/>
      <c r="IJA409" s="172"/>
      <c r="IJB409" s="172"/>
      <c r="IJC409" s="172"/>
      <c r="IJD409" s="172"/>
      <c r="IJE409" s="172"/>
      <c r="IJF409" s="172"/>
      <c r="IJG409" s="172"/>
      <c r="IJH409" s="172"/>
      <c r="IJI409" s="172"/>
      <c r="IJJ409" s="172"/>
      <c r="IJK409" s="172"/>
      <c r="IJL409" s="172"/>
      <c r="IJM409" s="172"/>
      <c r="IJN409" s="172"/>
      <c r="IJO409" s="172"/>
      <c r="IJP409" s="172"/>
      <c r="IJQ409" s="172"/>
      <c r="IJR409" s="172"/>
      <c r="IJS409" s="172"/>
      <c r="IJT409" s="172"/>
      <c r="IJU409" s="172"/>
      <c r="IJV409" s="172"/>
      <c r="IJW409" s="172"/>
      <c r="IJX409" s="172"/>
      <c r="IJY409" s="172"/>
      <c r="IJZ409" s="172"/>
      <c r="IKA409" s="172"/>
      <c r="IKB409" s="172"/>
      <c r="IKC409" s="172"/>
      <c r="IKD409" s="172"/>
      <c r="IKE409" s="172"/>
      <c r="IKF409" s="172"/>
      <c r="IKG409" s="172"/>
      <c r="IKH409" s="172"/>
      <c r="IKI409" s="172"/>
      <c r="IKJ409" s="172"/>
      <c r="IKK409" s="172"/>
      <c r="IKL409" s="172"/>
      <c r="IKM409" s="172"/>
      <c r="IKN409" s="172"/>
      <c r="IKO409" s="172"/>
      <c r="IKP409" s="172"/>
      <c r="IKQ409" s="172"/>
      <c r="IKR409" s="172"/>
      <c r="IKS409" s="172"/>
      <c r="IKT409" s="172"/>
      <c r="IKU409" s="172"/>
      <c r="IKV409" s="172"/>
      <c r="IKW409" s="172"/>
      <c r="IKX409" s="172"/>
      <c r="IKY409" s="172"/>
      <c r="IKZ409" s="172"/>
      <c r="ILA409" s="172"/>
      <c r="ILB409" s="172"/>
      <c r="ILC409" s="172"/>
      <c r="ILD409" s="172"/>
      <c r="ILE409" s="172"/>
      <c r="ILF409" s="172"/>
      <c r="ILG409" s="172"/>
      <c r="ILH409" s="172"/>
      <c r="ILI409" s="172"/>
      <c r="ILJ409" s="172"/>
      <c r="ILK409" s="172"/>
      <c r="ILL409" s="172"/>
      <c r="ILM409" s="172"/>
      <c r="ILN409" s="172"/>
      <c r="ILO409" s="172"/>
      <c r="ILP409" s="172"/>
      <c r="ILQ409" s="172"/>
      <c r="ILR409" s="172"/>
      <c r="ILS409" s="172"/>
      <c r="ILT409" s="172"/>
      <c r="ILU409" s="172"/>
      <c r="ILV409" s="172"/>
      <c r="ILW409" s="172"/>
      <c r="ILX409" s="172"/>
      <c r="ILY409" s="172"/>
      <c r="ILZ409" s="172"/>
      <c r="IMA409" s="172"/>
      <c r="IMB409" s="172"/>
      <c r="IMC409" s="172"/>
      <c r="IMD409" s="172"/>
      <c r="IME409" s="172"/>
      <c r="IMF409" s="172"/>
      <c r="IMG409" s="172"/>
      <c r="IMH409" s="172"/>
      <c r="IMI409" s="172"/>
      <c r="IMJ409" s="172"/>
      <c r="IMK409" s="172"/>
      <c r="IML409" s="172"/>
      <c r="IMM409" s="172"/>
      <c r="IMN409" s="172"/>
      <c r="IMO409" s="172"/>
      <c r="IMP409" s="172"/>
      <c r="IMQ409" s="172"/>
      <c r="IMR409" s="172"/>
      <c r="IMS409" s="172"/>
      <c r="IMT409" s="172"/>
      <c r="IMU409" s="172"/>
      <c r="IMV409" s="172"/>
      <c r="IMW409" s="172"/>
      <c r="IMX409" s="172"/>
      <c r="IMY409" s="172"/>
      <c r="IMZ409" s="172"/>
      <c r="INA409" s="172"/>
      <c r="INB409" s="172"/>
      <c r="INC409" s="172"/>
      <c r="IND409" s="172"/>
      <c r="INE409" s="172"/>
      <c r="INF409" s="172"/>
      <c r="ING409" s="172"/>
      <c r="INH409" s="172"/>
      <c r="INI409" s="172"/>
      <c r="INJ409" s="172"/>
      <c r="INK409" s="172"/>
      <c r="INL409" s="172"/>
      <c r="INM409" s="172"/>
      <c r="INN409" s="172"/>
      <c r="INO409" s="172"/>
      <c r="INP409" s="172"/>
      <c r="INQ409" s="172"/>
      <c r="INR409" s="172"/>
      <c r="INS409" s="172"/>
      <c r="INT409" s="172"/>
      <c r="INU409" s="172"/>
      <c r="INV409" s="172"/>
      <c r="INW409" s="172"/>
      <c r="INX409" s="172"/>
      <c r="INY409" s="172"/>
      <c r="INZ409" s="172"/>
      <c r="IOA409" s="172"/>
      <c r="IOB409" s="172"/>
      <c r="IOC409" s="172"/>
      <c r="IOD409" s="172"/>
      <c r="IOE409" s="172"/>
      <c r="IOF409" s="172"/>
      <c r="IOG409" s="172"/>
      <c r="IOH409" s="172"/>
      <c r="IOI409" s="172"/>
      <c r="IOJ409" s="172"/>
      <c r="IOK409" s="172"/>
      <c r="IOL409" s="172"/>
      <c r="IOM409" s="172"/>
      <c r="ION409" s="172"/>
      <c r="IOO409" s="172"/>
      <c r="IOP409" s="172"/>
      <c r="IOQ409" s="172"/>
      <c r="IOR409" s="172"/>
      <c r="IOS409" s="172"/>
      <c r="IOT409" s="172"/>
      <c r="IOU409" s="172"/>
      <c r="IOV409" s="172"/>
      <c r="IOW409" s="172"/>
      <c r="IOX409" s="172"/>
      <c r="IOY409" s="172"/>
      <c r="IOZ409" s="172"/>
      <c r="IPA409" s="172"/>
      <c r="IPB409" s="172"/>
      <c r="IPC409" s="172"/>
      <c r="IPD409" s="172"/>
      <c r="IPE409" s="172"/>
      <c r="IPF409" s="172"/>
      <c r="IPG409" s="172"/>
      <c r="IPH409" s="172"/>
      <c r="IPI409" s="172"/>
      <c r="IPJ409" s="172"/>
      <c r="IPK409" s="172"/>
      <c r="IPL409" s="172"/>
      <c r="IPM409" s="172"/>
      <c r="IPN409" s="172"/>
      <c r="IPO409" s="172"/>
      <c r="IPP409" s="172"/>
      <c r="IPQ409" s="172"/>
      <c r="IPR409" s="172"/>
      <c r="IPS409" s="172"/>
      <c r="IPT409" s="172"/>
      <c r="IPU409" s="172"/>
      <c r="IPV409" s="172"/>
      <c r="IPW409" s="172"/>
      <c r="IPX409" s="172"/>
      <c r="IPY409" s="172"/>
      <c r="IPZ409" s="172"/>
      <c r="IQA409" s="172"/>
      <c r="IQB409" s="172"/>
      <c r="IQC409" s="172"/>
      <c r="IQD409" s="172"/>
      <c r="IQE409" s="172"/>
      <c r="IQF409" s="172"/>
      <c r="IQG409" s="172"/>
      <c r="IQH409" s="172"/>
      <c r="IQI409" s="172"/>
      <c r="IQJ409" s="172"/>
      <c r="IQK409" s="172"/>
      <c r="IQL409" s="172"/>
      <c r="IQM409" s="172"/>
      <c r="IQN409" s="172"/>
      <c r="IQO409" s="172"/>
      <c r="IQP409" s="172"/>
      <c r="IQQ409" s="172"/>
      <c r="IQR409" s="172"/>
      <c r="IQS409" s="172"/>
      <c r="IQT409" s="172"/>
      <c r="IQU409" s="172"/>
      <c r="IQV409" s="172"/>
      <c r="IQW409" s="172"/>
      <c r="IQX409" s="172"/>
      <c r="IQY409" s="172"/>
      <c r="IQZ409" s="172"/>
      <c r="IRA409" s="172"/>
      <c r="IRB409" s="172"/>
      <c r="IRC409" s="172"/>
      <c r="IRD409" s="172"/>
      <c r="IRE409" s="172"/>
      <c r="IRF409" s="172"/>
      <c r="IRG409" s="172"/>
      <c r="IRH409" s="172"/>
      <c r="IRI409" s="172"/>
      <c r="IRJ409" s="172"/>
      <c r="IRK409" s="172"/>
      <c r="IRL409" s="172"/>
      <c r="IRM409" s="172"/>
      <c r="IRN409" s="172"/>
      <c r="IRO409" s="172"/>
      <c r="IRP409" s="172"/>
      <c r="IRQ409" s="172"/>
      <c r="IRR409" s="172"/>
      <c r="IRS409" s="172"/>
      <c r="IRT409" s="172"/>
      <c r="IRU409" s="172"/>
      <c r="IRV409" s="172"/>
      <c r="IRW409" s="172"/>
      <c r="IRX409" s="172"/>
      <c r="IRY409" s="172"/>
      <c r="IRZ409" s="172"/>
      <c r="ISA409" s="172"/>
      <c r="ISB409" s="172"/>
      <c r="ISC409" s="172"/>
      <c r="ISD409" s="172"/>
      <c r="ISE409" s="172"/>
      <c r="ISF409" s="172"/>
      <c r="ISG409" s="172"/>
      <c r="ISH409" s="172"/>
      <c r="ISI409" s="172"/>
      <c r="ISJ409" s="172"/>
      <c r="ISK409" s="172"/>
      <c r="ISL409" s="172"/>
      <c r="ISM409" s="172"/>
      <c r="ISN409" s="172"/>
      <c r="ISO409" s="172"/>
      <c r="ISP409" s="172"/>
      <c r="ISQ409" s="172"/>
      <c r="ISR409" s="172"/>
      <c r="ISS409" s="172"/>
      <c r="IST409" s="172"/>
      <c r="ISU409" s="172"/>
      <c r="ISV409" s="172"/>
      <c r="ISW409" s="172"/>
      <c r="ISX409" s="172"/>
      <c r="ISY409" s="172"/>
      <c r="ISZ409" s="172"/>
      <c r="ITA409" s="172"/>
      <c r="ITB409" s="172"/>
      <c r="ITC409" s="172"/>
      <c r="ITD409" s="172"/>
      <c r="ITE409" s="172"/>
      <c r="ITF409" s="172"/>
      <c r="ITG409" s="172"/>
      <c r="ITH409" s="172"/>
      <c r="ITI409" s="172"/>
      <c r="ITJ409" s="172"/>
      <c r="ITK409" s="172"/>
      <c r="ITL409" s="172"/>
      <c r="ITM409" s="172"/>
      <c r="ITN409" s="172"/>
      <c r="ITO409" s="172"/>
      <c r="ITP409" s="172"/>
      <c r="ITQ409" s="172"/>
      <c r="ITR409" s="172"/>
      <c r="ITS409" s="172"/>
      <c r="ITT409" s="172"/>
      <c r="ITU409" s="172"/>
      <c r="ITV409" s="172"/>
      <c r="ITW409" s="172"/>
      <c r="ITX409" s="172"/>
      <c r="ITY409" s="172"/>
      <c r="ITZ409" s="172"/>
      <c r="IUA409" s="172"/>
      <c r="IUB409" s="172"/>
      <c r="IUC409" s="172"/>
      <c r="IUD409" s="172"/>
      <c r="IUE409" s="172"/>
      <c r="IUF409" s="172"/>
      <c r="IUG409" s="172"/>
      <c r="IUH409" s="172"/>
      <c r="IUI409" s="172"/>
      <c r="IUJ409" s="172"/>
      <c r="IUK409" s="172"/>
      <c r="IUL409" s="172"/>
      <c r="IUM409" s="172"/>
      <c r="IUN409" s="172"/>
      <c r="IUO409" s="172"/>
      <c r="IUP409" s="172"/>
      <c r="IUQ409" s="172"/>
      <c r="IUR409" s="172"/>
      <c r="IUS409" s="172"/>
      <c r="IUT409" s="172"/>
      <c r="IUU409" s="172"/>
      <c r="IUV409" s="172"/>
      <c r="IUW409" s="172"/>
      <c r="IUX409" s="172"/>
      <c r="IUY409" s="172"/>
      <c r="IUZ409" s="172"/>
      <c r="IVA409" s="172"/>
      <c r="IVB409" s="172"/>
      <c r="IVC409" s="172"/>
      <c r="IVD409" s="172"/>
      <c r="IVE409" s="172"/>
      <c r="IVF409" s="172"/>
      <c r="IVG409" s="172"/>
      <c r="IVH409" s="172"/>
      <c r="IVI409" s="172"/>
      <c r="IVJ409" s="172"/>
      <c r="IVK409" s="172"/>
      <c r="IVL409" s="172"/>
      <c r="IVM409" s="172"/>
      <c r="IVN409" s="172"/>
      <c r="IVO409" s="172"/>
      <c r="IVP409" s="172"/>
      <c r="IVQ409" s="172"/>
      <c r="IVR409" s="172"/>
      <c r="IVS409" s="172"/>
      <c r="IVT409" s="172"/>
      <c r="IVU409" s="172"/>
      <c r="IVV409" s="172"/>
      <c r="IVW409" s="172"/>
      <c r="IVX409" s="172"/>
      <c r="IVY409" s="172"/>
      <c r="IVZ409" s="172"/>
      <c r="IWA409" s="172"/>
      <c r="IWB409" s="172"/>
      <c r="IWC409" s="172"/>
      <c r="IWD409" s="172"/>
      <c r="IWE409" s="172"/>
      <c r="IWF409" s="172"/>
      <c r="IWG409" s="172"/>
      <c r="IWH409" s="172"/>
      <c r="IWI409" s="172"/>
      <c r="IWJ409" s="172"/>
      <c r="IWK409" s="172"/>
      <c r="IWL409" s="172"/>
      <c r="IWM409" s="172"/>
      <c r="IWN409" s="172"/>
      <c r="IWO409" s="172"/>
      <c r="IWP409" s="172"/>
      <c r="IWQ409" s="172"/>
      <c r="IWR409" s="172"/>
      <c r="IWS409" s="172"/>
      <c r="IWT409" s="172"/>
      <c r="IWU409" s="172"/>
      <c r="IWV409" s="172"/>
      <c r="IWW409" s="172"/>
      <c r="IWX409" s="172"/>
      <c r="IWY409" s="172"/>
      <c r="IWZ409" s="172"/>
      <c r="IXA409" s="172"/>
      <c r="IXB409" s="172"/>
      <c r="IXC409" s="172"/>
      <c r="IXD409" s="172"/>
      <c r="IXE409" s="172"/>
      <c r="IXF409" s="172"/>
      <c r="IXG409" s="172"/>
      <c r="IXH409" s="172"/>
      <c r="IXI409" s="172"/>
      <c r="IXJ409" s="172"/>
      <c r="IXK409" s="172"/>
      <c r="IXL409" s="172"/>
      <c r="IXM409" s="172"/>
      <c r="IXN409" s="172"/>
      <c r="IXO409" s="172"/>
      <c r="IXP409" s="172"/>
      <c r="IXQ409" s="172"/>
      <c r="IXR409" s="172"/>
      <c r="IXS409" s="172"/>
      <c r="IXT409" s="172"/>
      <c r="IXU409" s="172"/>
      <c r="IXV409" s="172"/>
      <c r="IXW409" s="172"/>
      <c r="IXX409" s="172"/>
      <c r="IXY409" s="172"/>
      <c r="IXZ409" s="172"/>
      <c r="IYA409" s="172"/>
      <c r="IYB409" s="172"/>
      <c r="IYC409" s="172"/>
      <c r="IYD409" s="172"/>
      <c r="IYE409" s="172"/>
      <c r="IYF409" s="172"/>
      <c r="IYG409" s="172"/>
      <c r="IYH409" s="172"/>
      <c r="IYI409" s="172"/>
      <c r="IYJ409" s="172"/>
      <c r="IYK409" s="172"/>
      <c r="IYL409" s="172"/>
      <c r="IYM409" s="172"/>
      <c r="IYN409" s="172"/>
      <c r="IYO409" s="172"/>
      <c r="IYP409" s="172"/>
      <c r="IYQ409" s="172"/>
      <c r="IYR409" s="172"/>
      <c r="IYS409" s="172"/>
      <c r="IYT409" s="172"/>
      <c r="IYU409" s="172"/>
      <c r="IYV409" s="172"/>
      <c r="IYW409" s="172"/>
      <c r="IYX409" s="172"/>
      <c r="IYY409" s="172"/>
      <c r="IYZ409" s="172"/>
      <c r="IZA409" s="172"/>
      <c r="IZB409" s="172"/>
      <c r="IZC409" s="172"/>
      <c r="IZD409" s="172"/>
      <c r="IZE409" s="172"/>
      <c r="IZF409" s="172"/>
      <c r="IZG409" s="172"/>
      <c r="IZH409" s="172"/>
      <c r="IZI409" s="172"/>
      <c r="IZJ409" s="172"/>
      <c r="IZK409" s="172"/>
      <c r="IZL409" s="172"/>
      <c r="IZM409" s="172"/>
      <c r="IZN409" s="172"/>
      <c r="IZO409" s="172"/>
      <c r="IZP409" s="172"/>
      <c r="IZQ409" s="172"/>
      <c r="IZR409" s="172"/>
      <c r="IZS409" s="172"/>
      <c r="IZT409" s="172"/>
      <c r="IZU409" s="172"/>
      <c r="IZV409" s="172"/>
      <c r="IZW409" s="172"/>
      <c r="IZX409" s="172"/>
      <c r="IZY409" s="172"/>
      <c r="IZZ409" s="172"/>
      <c r="JAA409" s="172"/>
      <c r="JAB409" s="172"/>
      <c r="JAC409" s="172"/>
      <c r="JAD409" s="172"/>
      <c r="JAE409" s="172"/>
      <c r="JAF409" s="172"/>
      <c r="JAG409" s="172"/>
      <c r="JAH409" s="172"/>
      <c r="JAI409" s="172"/>
      <c r="JAJ409" s="172"/>
      <c r="JAK409" s="172"/>
      <c r="JAL409" s="172"/>
      <c r="JAM409" s="172"/>
      <c r="JAN409" s="172"/>
      <c r="JAO409" s="172"/>
      <c r="JAP409" s="172"/>
      <c r="JAQ409" s="172"/>
      <c r="JAR409" s="172"/>
      <c r="JAS409" s="172"/>
      <c r="JAT409" s="172"/>
      <c r="JAU409" s="172"/>
      <c r="JAV409" s="172"/>
      <c r="JAW409" s="172"/>
      <c r="JAX409" s="172"/>
      <c r="JAY409" s="172"/>
      <c r="JAZ409" s="172"/>
      <c r="JBA409" s="172"/>
      <c r="JBB409" s="172"/>
      <c r="JBC409" s="172"/>
      <c r="JBD409" s="172"/>
      <c r="JBE409" s="172"/>
      <c r="JBF409" s="172"/>
      <c r="JBG409" s="172"/>
      <c r="JBH409" s="172"/>
      <c r="JBI409" s="172"/>
      <c r="JBJ409" s="172"/>
      <c r="JBK409" s="172"/>
      <c r="JBL409" s="172"/>
      <c r="JBM409" s="172"/>
      <c r="JBN409" s="172"/>
      <c r="JBO409" s="172"/>
      <c r="JBP409" s="172"/>
      <c r="JBQ409" s="172"/>
      <c r="JBR409" s="172"/>
      <c r="JBS409" s="172"/>
      <c r="JBT409" s="172"/>
      <c r="JBU409" s="172"/>
      <c r="JBV409" s="172"/>
      <c r="JBW409" s="172"/>
      <c r="JBX409" s="172"/>
      <c r="JBY409" s="172"/>
      <c r="JBZ409" s="172"/>
      <c r="JCA409" s="172"/>
      <c r="JCB409" s="172"/>
      <c r="JCC409" s="172"/>
      <c r="JCD409" s="172"/>
      <c r="JCE409" s="172"/>
      <c r="JCF409" s="172"/>
      <c r="JCG409" s="172"/>
      <c r="JCH409" s="172"/>
      <c r="JCI409" s="172"/>
      <c r="JCJ409" s="172"/>
      <c r="JCK409" s="172"/>
      <c r="JCL409" s="172"/>
      <c r="JCM409" s="172"/>
      <c r="JCN409" s="172"/>
      <c r="JCO409" s="172"/>
      <c r="JCP409" s="172"/>
      <c r="JCQ409" s="172"/>
      <c r="JCR409" s="172"/>
      <c r="JCS409" s="172"/>
      <c r="JCT409" s="172"/>
      <c r="JCU409" s="172"/>
      <c r="JCV409" s="172"/>
      <c r="JCW409" s="172"/>
      <c r="JCX409" s="172"/>
      <c r="JCY409" s="172"/>
      <c r="JCZ409" s="172"/>
      <c r="JDA409" s="172"/>
      <c r="JDB409" s="172"/>
      <c r="JDC409" s="172"/>
      <c r="JDD409" s="172"/>
      <c r="JDE409" s="172"/>
      <c r="JDF409" s="172"/>
      <c r="JDG409" s="172"/>
      <c r="JDH409" s="172"/>
      <c r="JDI409" s="172"/>
      <c r="JDJ409" s="172"/>
      <c r="JDK409" s="172"/>
      <c r="JDL409" s="172"/>
      <c r="JDM409" s="172"/>
      <c r="JDN409" s="172"/>
      <c r="JDO409" s="172"/>
      <c r="JDP409" s="172"/>
      <c r="JDQ409" s="172"/>
      <c r="JDR409" s="172"/>
      <c r="JDS409" s="172"/>
      <c r="JDT409" s="172"/>
      <c r="JDU409" s="172"/>
      <c r="JDV409" s="172"/>
      <c r="JDW409" s="172"/>
      <c r="JDX409" s="172"/>
      <c r="JDY409" s="172"/>
      <c r="JDZ409" s="172"/>
      <c r="JEA409" s="172"/>
      <c r="JEB409" s="172"/>
      <c r="JEC409" s="172"/>
      <c r="JED409" s="172"/>
      <c r="JEE409" s="172"/>
      <c r="JEF409" s="172"/>
      <c r="JEG409" s="172"/>
      <c r="JEH409" s="172"/>
      <c r="JEI409" s="172"/>
      <c r="JEJ409" s="172"/>
      <c r="JEK409" s="172"/>
      <c r="JEL409" s="172"/>
      <c r="JEM409" s="172"/>
      <c r="JEN409" s="172"/>
      <c r="JEO409" s="172"/>
      <c r="JEP409" s="172"/>
      <c r="JEQ409" s="172"/>
      <c r="JER409" s="172"/>
      <c r="JES409" s="172"/>
      <c r="JET409" s="172"/>
      <c r="JEU409" s="172"/>
      <c r="JEV409" s="172"/>
      <c r="JEW409" s="172"/>
      <c r="JEX409" s="172"/>
      <c r="JEY409" s="172"/>
      <c r="JEZ409" s="172"/>
      <c r="JFA409" s="172"/>
      <c r="JFB409" s="172"/>
      <c r="JFC409" s="172"/>
      <c r="JFD409" s="172"/>
      <c r="JFE409" s="172"/>
      <c r="JFF409" s="172"/>
      <c r="JFG409" s="172"/>
      <c r="JFH409" s="172"/>
      <c r="JFI409" s="172"/>
      <c r="JFJ409" s="172"/>
      <c r="JFK409" s="172"/>
      <c r="JFL409" s="172"/>
      <c r="JFM409" s="172"/>
      <c r="JFN409" s="172"/>
      <c r="JFO409" s="172"/>
      <c r="JFP409" s="172"/>
      <c r="JFQ409" s="172"/>
      <c r="JFR409" s="172"/>
      <c r="JFS409" s="172"/>
      <c r="JFT409" s="172"/>
      <c r="JFU409" s="172"/>
      <c r="JFV409" s="172"/>
      <c r="JFW409" s="172"/>
      <c r="JFX409" s="172"/>
      <c r="JFY409" s="172"/>
      <c r="JFZ409" s="172"/>
      <c r="JGA409" s="172"/>
      <c r="JGB409" s="172"/>
      <c r="JGC409" s="172"/>
      <c r="JGD409" s="172"/>
      <c r="JGE409" s="172"/>
      <c r="JGF409" s="172"/>
      <c r="JGG409" s="172"/>
      <c r="JGH409" s="172"/>
      <c r="JGI409" s="172"/>
      <c r="JGJ409" s="172"/>
      <c r="JGK409" s="172"/>
      <c r="JGL409" s="172"/>
      <c r="JGM409" s="172"/>
      <c r="JGN409" s="172"/>
      <c r="JGO409" s="172"/>
      <c r="JGP409" s="172"/>
      <c r="JGQ409" s="172"/>
      <c r="JGR409" s="172"/>
      <c r="JGS409" s="172"/>
      <c r="JGT409" s="172"/>
      <c r="JGU409" s="172"/>
      <c r="JGV409" s="172"/>
      <c r="JGW409" s="172"/>
      <c r="JGX409" s="172"/>
      <c r="JGY409" s="172"/>
      <c r="JGZ409" s="172"/>
      <c r="JHA409" s="172"/>
      <c r="JHB409" s="172"/>
      <c r="JHC409" s="172"/>
      <c r="JHD409" s="172"/>
      <c r="JHE409" s="172"/>
      <c r="JHF409" s="172"/>
      <c r="JHG409" s="172"/>
      <c r="JHH409" s="172"/>
      <c r="JHI409" s="172"/>
      <c r="JHJ409" s="172"/>
      <c r="JHK409" s="172"/>
      <c r="JHL409" s="172"/>
      <c r="JHM409" s="172"/>
      <c r="JHN409" s="172"/>
      <c r="JHO409" s="172"/>
      <c r="JHP409" s="172"/>
      <c r="JHQ409" s="172"/>
      <c r="JHR409" s="172"/>
      <c r="JHS409" s="172"/>
      <c r="JHT409" s="172"/>
      <c r="JHU409" s="172"/>
      <c r="JHV409" s="172"/>
      <c r="JHW409" s="172"/>
      <c r="JHX409" s="172"/>
      <c r="JHY409" s="172"/>
      <c r="JHZ409" s="172"/>
      <c r="JIA409" s="172"/>
      <c r="JIB409" s="172"/>
      <c r="JIC409" s="172"/>
      <c r="JID409" s="172"/>
      <c r="JIE409" s="172"/>
      <c r="JIF409" s="172"/>
      <c r="JIG409" s="172"/>
      <c r="JIH409" s="172"/>
      <c r="JII409" s="172"/>
      <c r="JIJ409" s="172"/>
      <c r="JIK409" s="172"/>
      <c r="JIL409" s="172"/>
      <c r="JIM409" s="172"/>
      <c r="JIN409" s="172"/>
      <c r="JIO409" s="172"/>
      <c r="JIP409" s="172"/>
      <c r="JIQ409" s="172"/>
      <c r="JIR409" s="172"/>
      <c r="JIS409" s="172"/>
      <c r="JIT409" s="172"/>
      <c r="JIU409" s="172"/>
      <c r="JIV409" s="172"/>
      <c r="JIW409" s="172"/>
      <c r="JIX409" s="172"/>
      <c r="JIY409" s="172"/>
      <c r="JIZ409" s="172"/>
      <c r="JJA409" s="172"/>
      <c r="JJB409" s="172"/>
      <c r="JJC409" s="172"/>
      <c r="JJD409" s="172"/>
      <c r="JJE409" s="172"/>
      <c r="JJF409" s="172"/>
      <c r="JJG409" s="172"/>
      <c r="JJH409" s="172"/>
      <c r="JJI409" s="172"/>
      <c r="JJJ409" s="172"/>
      <c r="JJK409" s="172"/>
      <c r="JJL409" s="172"/>
      <c r="JJM409" s="172"/>
      <c r="JJN409" s="172"/>
      <c r="JJO409" s="172"/>
      <c r="JJP409" s="172"/>
      <c r="JJQ409" s="172"/>
      <c r="JJR409" s="172"/>
      <c r="JJS409" s="172"/>
      <c r="JJT409" s="172"/>
      <c r="JJU409" s="172"/>
      <c r="JJV409" s="172"/>
      <c r="JJW409" s="172"/>
      <c r="JJX409" s="172"/>
      <c r="JJY409" s="172"/>
      <c r="JJZ409" s="172"/>
      <c r="JKA409" s="172"/>
      <c r="JKB409" s="172"/>
      <c r="JKC409" s="172"/>
      <c r="JKD409" s="172"/>
      <c r="JKE409" s="172"/>
      <c r="JKF409" s="172"/>
      <c r="JKG409" s="172"/>
      <c r="JKH409" s="172"/>
      <c r="JKI409" s="172"/>
      <c r="JKJ409" s="172"/>
      <c r="JKK409" s="172"/>
      <c r="JKL409" s="172"/>
      <c r="JKM409" s="172"/>
      <c r="JKN409" s="172"/>
      <c r="JKO409" s="172"/>
      <c r="JKP409" s="172"/>
      <c r="JKQ409" s="172"/>
      <c r="JKR409" s="172"/>
      <c r="JKS409" s="172"/>
      <c r="JKT409" s="172"/>
      <c r="JKU409" s="172"/>
      <c r="JKV409" s="172"/>
      <c r="JKW409" s="172"/>
      <c r="JKX409" s="172"/>
      <c r="JKY409" s="172"/>
      <c r="JKZ409" s="172"/>
      <c r="JLA409" s="172"/>
      <c r="JLB409" s="172"/>
      <c r="JLC409" s="172"/>
      <c r="JLD409" s="172"/>
      <c r="JLE409" s="172"/>
      <c r="JLF409" s="172"/>
      <c r="JLG409" s="172"/>
      <c r="JLH409" s="172"/>
      <c r="JLI409" s="172"/>
      <c r="JLJ409" s="172"/>
      <c r="JLK409" s="172"/>
      <c r="JLL409" s="172"/>
      <c r="JLM409" s="172"/>
      <c r="JLN409" s="172"/>
      <c r="JLO409" s="172"/>
      <c r="JLP409" s="172"/>
      <c r="JLQ409" s="172"/>
      <c r="JLR409" s="172"/>
      <c r="JLS409" s="172"/>
      <c r="JLT409" s="172"/>
      <c r="JLU409" s="172"/>
      <c r="JLV409" s="172"/>
      <c r="JLW409" s="172"/>
      <c r="JLX409" s="172"/>
      <c r="JLY409" s="172"/>
      <c r="JLZ409" s="172"/>
      <c r="JMA409" s="172"/>
      <c r="JMB409" s="172"/>
      <c r="JMC409" s="172"/>
      <c r="JMD409" s="172"/>
      <c r="JME409" s="172"/>
      <c r="JMF409" s="172"/>
      <c r="JMG409" s="172"/>
      <c r="JMH409" s="172"/>
      <c r="JMI409" s="172"/>
      <c r="JMJ409" s="172"/>
      <c r="JMK409" s="172"/>
      <c r="JML409" s="172"/>
      <c r="JMM409" s="172"/>
      <c r="JMN409" s="172"/>
      <c r="JMO409" s="172"/>
      <c r="JMP409" s="172"/>
      <c r="JMQ409" s="172"/>
      <c r="JMR409" s="172"/>
      <c r="JMS409" s="172"/>
      <c r="JMT409" s="172"/>
      <c r="JMU409" s="172"/>
      <c r="JMV409" s="172"/>
      <c r="JMW409" s="172"/>
      <c r="JMX409" s="172"/>
      <c r="JMY409" s="172"/>
      <c r="JMZ409" s="172"/>
      <c r="JNA409" s="172"/>
      <c r="JNB409" s="172"/>
      <c r="JNC409" s="172"/>
      <c r="JND409" s="172"/>
      <c r="JNE409" s="172"/>
      <c r="JNF409" s="172"/>
      <c r="JNG409" s="172"/>
      <c r="JNH409" s="172"/>
      <c r="JNI409" s="172"/>
      <c r="JNJ409" s="172"/>
      <c r="JNK409" s="172"/>
      <c r="JNL409" s="172"/>
      <c r="JNM409" s="172"/>
      <c r="JNN409" s="172"/>
      <c r="JNO409" s="172"/>
      <c r="JNP409" s="172"/>
      <c r="JNQ409" s="172"/>
      <c r="JNR409" s="172"/>
      <c r="JNS409" s="172"/>
      <c r="JNT409" s="172"/>
      <c r="JNU409" s="172"/>
      <c r="JNV409" s="172"/>
      <c r="JNW409" s="172"/>
      <c r="JNX409" s="172"/>
      <c r="JNY409" s="172"/>
      <c r="JNZ409" s="172"/>
      <c r="JOA409" s="172"/>
      <c r="JOB409" s="172"/>
      <c r="JOC409" s="172"/>
      <c r="JOD409" s="172"/>
      <c r="JOE409" s="172"/>
      <c r="JOF409" s="172"/>
      <c r="JOG409" s="172"/>
      <c r="JOH409" s="172"/>
      <c r="JOI409" s="172"/>
      <c r="JOJ409" s="172"/>
      <c r="JOK409" s="172"/>
      <c r="JOL409" s="172"/>
      <c r="JOM409" s="172"/>
      <c r="JON409" s="172"/>
      <c r="JOO409" s="172"/>
      <c r="JOP409" s="172"/>
      <c r="JOQ409" s="172"/>
      <c r="JOR409" s="172"/>
      <c r="JOS409" s="172"/>
      <c r="JOT409" s="172"/>
      <c r="JOU409" s="172"/>
      <c r="JOV409" s="172"/>
      <c r="JOW409" s="172"/>
      <c r="JOX409" s="172"/>
      <c r="JOY409" s="172"/>
      <c r="JOZ409" s="172"/>
      <c r="JPA409" s="172"/>
      <c r="JPB409" s="172"/>
      <c r="JPC409" s="172"/>
      <c r="JPD409" s="172"/>
      <c r="JPE409" s="172"/>
      <c r="JPF409" s="172"/>
      <c r="JPG409" s="172"/>
      <c r="JPH409" s="172"/>
      <c r="JPI409" s="172"/>
      <c r="JPJ409" s="172"/>
      <c r="JPK409" s="172"/>
      <c r="JPL409" s="172"/>
      <c r="JPM409" s="172"/>
      <c r="JPN409" s="172"/>
      <c r="JPO409" s="172"/>
      <c r="JPP409" s="172"/>
      <c r="JPQ409" s="172"/>
      <c r="JPR409" s="172"/>
      <c r="JPS409" s="172"/>
      <c r="JPT409" s="172"/>
      <c r="JPU409" s="172"/>
      <c r="JPV409" s="172"/>
      <c r="JPW409" s="172"/>
      <c r="JPX409" s="172"/>
      <c r="JPY409" s="172"/>
      <c r="JPZ409" s="172"/>
      <c r="JQA409" s="172"/>
      <c r="JQB409" s="172"/>
      <c r="JQC409" s="172"/>
      <c r="JQD409" s="172"/>
      <c r="JQE409" s="172"/>
      <c r="JQF409" s="172"/>
      <c r="JQG409" s="172"/>
      <c r="JQH409" s="172"/>
      <c r="JQI409" s="172"/>
      <c r="JQJ409" s="172"/>
      <c r="JQK409" s="172"/>
      <c r="JQL409" s="172"/>
      <c r="JQM409" s="172"/>
      <c r="JQN409" s="172"/>
      <c r="JQO409" s="172"/>
      <c r="JQP409" s="172"/>
      <c r="JQQ409" s="172"/>
      <c r="JQR409" s="172"/>
      <c r="JQS409" s="172"/>
      <c r="JQT409" s="172"/>
      <c r="JQU409" s="172"/>
      <c r="JQV409" s="172"/>
      <c r="JQW409" s="172"/>
      <c r="JQX409" s="172"/>
      <c r="JQY409" s="172"/>
      <c r="JQZ409" s="172"/>
      <c r="JRA409" s="172"/>
      <c r="JRB409" s="172"/>
      <c r="JRC409" s="172"/>
      <c r="JRD409" s="172"/>
      <c r="JRE409" s="172"/>
      <c r="JRF409" s="172"/>
      <c r="JRG409" s="172"/>
      <c r="JRH409" s="172"/>
      <c r="JRI409" s="172"/>
      <c r="JRJ409" s="172"/>
      <c r="JRK409" s="172"/>
      <c r="JRL409" s="172"/>
      <c r="JRM409" s="172"/>
      <c r="JRN409" s="172"/>
      <c r="JRO409" s="172"/>
      <c r="JRP409" s="172"/>
      <c r="JRQ409" s="172"/>
      <c r="JRR409" s="172"/>
      <c r="JRS409" s="172"/>
      <c r="JRT409" s="172"/>
      <c r="JRU409" s="172"/>
      <c r="JRV409" s="172"/>
      <c r="JRW409" s="172"/>
      <c r="JRX409" s="172"/>
      <c r="JRY409" s="172"/>
      <c r="JRZ409" s="172"/>
      <c r="JSA409" s="172"/>
      <c r="JSB409" s="172"/>
      <c r="JSC409" s="172"/>
      <c r="JSD409" s="172"/>
      <c r="JSE409" s="172"/>
      <c r="JSF409" s="172"/>
      <c r="JSG409" s="172"/>
      <c r="JSH409" s="172"/>
      <c r="JSI409" s="172"/>
      <c r="JSJ409" s="172"/>
      <c r="JSK409" s="172"/>
      <c r="JSL409" s="172"/>
      <c r="JSM409" s="172"/>
      <c r="JSN409" s="172"/>
      <c r="JSO409" s="172"/>
      <c r="JSP409" s="172"/>
      <c r="JSQ409" s="172"/>
      <c r="JSR409" s="172"/>
      <c r="JSS409" s="172"/>
      <c r="JST409" s="172"/>
      <c r="JSU409" s="172"/>
      <c r="JSV409" s="172"/>
      <c r="JSW409" s="172"/>
      <c r="JSX409" s="172"/>
      <c r="JSY409" s="172"/>
      <c r="JSZ409" s="172"/>
      <c r="JTA409" s="172"/>
      <c r="JTB409" s="172"/>
      <c r="JTC409" s="172"/>
      <c r="JTD409" s="172"/>
      <c r="JTE409" s="172"/>
      <c r="JTF409" s="172"/>
      <c r="JTG409" s="172"/>
      <c r="JTH409" s="172"/>
      <c r="JTI409" s="172"/>
      <c r="JTJ409" s="172"/>
      <c r="JTK409" s="172"/>
      <c r="JTL409" s="172"/>
      <c r="JTM409" s="172"/>
      <c r="JTN409" s="172"/>
      <c r="JTO409" s="172"/>
      <c r="JTP409" s="172"/>
      <c r="JTQ409" s="172"/>
      <c r="JTR409" s="172"/>
      <c r="JTS409" s="172"/>
      <c r="JTT409" s="172"/>
      <c r="JTU409" s="172"/>
      <c r="JTV409" s="172"/>
      <c r="JTW409" s="172"/>
      <c r="JTX409" s="172"/>
      <c r="JTY409" s="172"/>
      <c r="JTZ409" s="172"/>
      <c r="JUA409" s="172"/>
      <c r="JUB409" s="172"/>
      <c r="JUC409" s="172"/>
      <c r="JUD409" s="172"/>
      <c r="JUE409" s="172"/>
      <c r="JUF409" s="172"/>
      <c r="JUG409" s="172"/>
      <c r="JUH409" s="172"/>
      <c r="JUI409" s="172"/>
      <c r="JUJ409" s="172"/>
      <c r="JUK409" s="172"/>
      <c r="JUL409" s="172"/>
      <c r="JUM409" s="172"/>
      <c r="JUN409" s="172"/>
      <c r="JUO409" s="172"/>
      <c r="JUP409" s="172"/>
      <c r="JUQ409" s="172"/>
      <c r="JUR409" s="172"/>
      <c r="JUS409" s="172"/>
      <c r="JUT409" s="172"/>
      <c r="JUU409" s="172"/>
      <c r="JUV409" s="172"/>
      <c r="JUW409" s="172"/>
      <c r="JUX409" s="172"/>
      <c r="JUY409" s="172"/>
      <c r="JUZ409" s="172"/>
      <c r="JVA409" s="172"/>
      <c r="JVB409" s="172"/>
      <c r="JVC409" s="172"/>
      <c r="JVD409" s="172"/>
      <c r="JVE409" s="172"/>
      <c r="JVF409" s="172"/>
      <c r="JVG409" s="172"/>
      <c r="JVH409" s="172"/>
      <c r="JVI409" s="172"/>
      <c r="JVJ409" s="172"/>
      <c r="JVK409" s="172"/>
      <c r="JVL409" s="172"/>
      <c r="JVM409" s="172"/>
      <c r="JVN409" s="172"/>
      <c r="JVO409" s="172"/>
      <c r="JVP409" s="172"/>
      <c r="JVQ409" s="172"/>
      <c r="JVR409" s="172"/>
      <c r="JVS409" s="172"/>
      <c r="JVT409" s="172"/>
      <c r="JVU409" s="172"/>
      <c r="JVV409" s="172"/>
      <c r="JVW409" s="172"/>
      <c r="JVX409" s="172"/>
      <c r="JVY409" s="172"/>
      <c r="JVZ409" s="172"/>
      <c r="JWA409" s="172"/>
      <c r="JWB409" s="172"/>
      <c r="JWC409" s="172"/>
      <c r="JWD409" s="172"/>
      <c r="JWE409" s="172"/>
      <c r="JWF409" s="172"/>
      <c r="JWG409" s="172"/>
      <c r="JWH409" s="172"/>
      <c r="JWI409" s="172"/>
      <c r="JWJ409" s="172"/>
      <c r="JWK409" s="172"/>
      <c r="JWL409" s="172"/>
      <c r="JWM409" s="172"/>
      <c r="JWN409" s="172"/>
      <c r="JWO409" s="172"/>
      <c r="JWP409" s="172"/>
      <c r="JWQ409" s="172"/>
      <c r="JWR409" s="172"/>
      <c r="JWS409" s="172"/>
      <c r="JWT409" s="172"/>
      <c r="JWU409" s="172"/>
      <c r="JWV409" s="172"/>
      <c r="JWW409" s="172"/>
      <c r="JWX409" s="172"/>
      <c r="JWY409" s="172"/>
      <c r="JWZ409" s="172"/>
      <c r="JXA409" s="172"/>
      <c r="JXB409" s="172"/>
      <c r="JXC409" s="172"/>
      <c r="JXD409" s="172"/>
      <c r="JXE409" s="172"/>
      <c r="JXF409" s="172"/>
      <c r="JXG409" s="172"/>
      <c r="JXH409" s="172"/>
      <c r="JXI409" s="172"/>
      <c r="JXJ409" s="172"/>
      <c r="JXK409" s="172"/>
      <c r="JXL409" s="172"/>
      <c r="JXM409" s="172"/>
      <c r="JXN409" s="172"/>
      <c r="JXO409" s="172"/>
      <c r="JXP409" s="172"/>
      <c r="JXQ409" s="172"/>
      <c r="JXR409" s="172"/>
      <c r="JXS409" s="172"/>
      <c r="JXT409" s="172"/>
      <c r="JXU409" s="172"/>
      <c r="JXV409" s="172"/>
      <c r="JXW409" s="172"/>
      <c r="JXX409" s="172"/>
      <c r="JXY409" s="172"/>
      <c r="JXZ409" s="172"/>
      <c r="JYA409" s="172"/>
      <c r="JYB409" s="172"/>
      <c r="JYC409" s="172"/>
      <c r="JYD409" s="172"/>
      <c r="JYE409" s="172"/>
      <c r="JYF409" s="172"/>
      <c r="JYG409" s="172"/>
      <c r="JYH409" s="172"/>
      <c r="JYI409" s="172"/>
      <c r="JYJ409" s="172"/>
      <c r="JYK409" s="172"/>
      <c r="JYL409" s="172"/>
      <c r="JYM409" s="172"/>
      <c r="JYN409" s="172"/>
      <c r="JYO409" s="172"/>
      <c r="JYP409" s="172"/>
      <c r="JYQ409" s="172"/>
      <c r="JYR409" s="172"/>
      <c r="JYS409" s="172"/>
      <c r="JYT409" s="172"/>
      <c r="JYU409" s="172"/>
      <c r="JYV409" s="172"/>
      <c r="JYW409" s="172"/>
      <c r="JYX409" s="172"/>
      <c r="JYY409" s="172"/>
      <c r="JYZ409" s="172"/>
      <c r="JZA409" s="172"/>
      <c r="JZB409" s="172"/>
      <c r="JZC409" s="172"/>
      <c r="JZD409" s="172"/>
      <c r="JZE409" s="172"/>
      <c r="JZF409" s="172"/>
      <c r="JZG409" s="172"/>
      <c r="JZH409" s="172"/>
      <c r="JZI409" s="172"/>
      <c r="JZJ409" s="172"/>
      <c r="JZK409" s="172"/>
      <c r="JZL409" s="172"/>
      <c r="JZM409" s="172"/>
      <c r="JZN409" s="172"/>
      <c r="JZO409" s="172"/>
      <c r="JZP409" s="172"/>
      <c r="JZQ409" s="172"/>
      <c r="JZR409" s="172"/>
      <c r="JZS409" s="172"/>
      <c r="JZT409" s="172"/>
      <c r="JZU409" s="172"/>
      <c r="JZV409" s="172"/>
      <c r="JZW409" s="172"/>
      <c r="JZX409" s="172"/>
      <c r="JZY409" s="172"/>
      <c r="JZZ409" s="172"/>
      <c r="KAA409" s="172"/>
      <c r="KAB409" s="172"/>
      <c r="KAC409" s="172"/>
      <c r="KAD409" s="172"/>
      <c r="KAE409" s="172"/>
      <c r="KAF409" s="172"/>
      <c r="KAG409" s="172"/>
      <c r="KAH409" s="172"/>
      <c r="KAI409" s="172"/>
      <c r="KAJ409" s="172"/>
      <c r="KAK409" s="172"/>
      <c r="KAL409" s="172"/>
      <c r="KAM409" s="172"/>
      <c r="KAN409" s="172"/>
      <c r="KAO409" s="172"/>
      <c r="KAP409" s="172"/>
      <c r="KAQ409" s="172"/>
      <c r="KAR409" s="172"/>
      <c r="KAS409" s="172"/>
      <c r="KAT409" s="172"/>
      <c r="KAU409" s="172"/>
      <c r="KAV409" s="172"/>
      <c r="KAW409" s="172"/>
      <c r="KAX409" s="172"/>
      <c r="KAY409" s="172"/>
      <c r="KAZ409" s="172"/>
      <c r="KBA409" s="172"/>
      <c r="KBB409" s="172"/>
      <c r="KBC409" s="172"/>
      <c r="KBD409" s="172"/>
      <c r="KBE409" s="172"/>
      <c r="KBF409" s="172"/>
      <c r="KBG409" s="172"/>
      <c r="KBH409" s="172"/>
      <c r="KBI409" s="172"/>
      <c r="KBJ409" s="172"/>
      <c r="KBK409" s="172"/>
      <c r="KBL409" s="172"/>
      <c r="KBM409" s="172"/>
      <c r="KBN409" s="172"/>
      <c r="KBO409" s="172"/>
      <c r="KBP409" s="172"/>
      <c r="KBQ409" s="172"/>
      <c r="KBR409" s="172"/>
      <c r="KBS409" s="172"/>
      <c r="KBT409" s="172"/>
      <c r="KBU409" s="172"/>
      <c r="KBV409" s="172"/>
      <c r="KBW409" s="172"/>
      <c r="KBX409" s="172"/>
      <c r="KBY409" s="172"/>
      <c r="KBZ409" s="172"/>
      <c r="KCA409" s="172"/>
      <c r="KCB409" s="172"/>
      <c r="KCC409" s="172"/>
      <c r="KCD409" s="172"/>
      <c r="KCE409" s="172"/>
      <c r="KCF409" s="172"/>
      <c r="KCG409" s="172"/>
      <c r="KCH409" s="172"/>
      <c r="KCI409" s="172"/>
      <c r="KCJ409" s="172"/>
      <c r="KCK409" s="172"/>
      <c r="KCL409" s="172"/>
      <c r="KCM409" s="172"/>
      <c r="KCN409" s="172"/>
      <c r="KCO409" s="172"/>
      <c r="KCP409" s="172"/>
      <c r="KCQ409" s="172"/>
      <c r="KCR409" s="172"/>
      <c r="KCS409" s="172"/>
      <c r="KCT409" s="172"/>
      <c r="KCU409" s="172"/>
      <c r="KCV409" s="172"/>
      <c r="KCW409" s="172"/>
      <c r="KCX409" s="172"/>
      <c r="KCY409" s="172"/>
      <c r="KCZ409" s="172"/>
      <c r="KDA409" s="172"/>
      <c r="KDB409" s="172"/>
      <c r="KDC409" s="172"/>
      <c r="KDD409" s="172"/>
      <c r="KDE409" s="172"/>
      <c r="KDF409" s="172"/>
      <c r="KDG409" s="172"/>
      <c r="KDH409" s="172"/>
      <c r="KDI409" s="172"/>
      <c r="KDJ409" s="172"/>
      <c r="KDK409" s="172"/>
      <c r="KDL409" s="172"/>
      <c r="KDM409" s="172"/>
      <c r="KDN409" s="172"/>
      <c r="KDO409" s="172"/>
      <c r="KDP409" s="172"/>
      <c r="KDQ409" s="172"/>
      <c r="KDR409" s="172"/>
      <c r="KDS409" s="172"/>
      <c r="KDT409" s="172"/>
      <c r="KDU409" s="172"/>
      <c r="KDV409" s="172"/>
      <c r="KDW409" s="172"/>
      <c r="KDX409" s="172"/>
      <c r="KDY409" s="172"/>
      <c r="KDZ409" s="172"/>
      <c r="KEA409" s="172"/>
      <c r="KEB409" s="172"/>
      <c r="KEC409" s="172"/>
      <c r="KED409" s="172"/>
      <c r="KEE409" s="172"/>
      <c r="KEF409" s="172"/>
      <c r="KEG409" s="172"/>
      <c r="KEH409" s="172"/>
      <c r="KEI409" s="172"/>
      <c r="KEJ409" s="172"/>
      <c r="KEK409" s="172"/>
      <c r="KEL409" s="172"/>
      <c r="KEM409" s="172"/>
      <c r="KEN409" s="172"/>
      <c r="KEO409" s="172"/>
      <c r="KEP409" s="172"/>
      <c r="KEQ409" s="172"/>
      <c r="KER409" s="172"/>
      <c r="KES409" s="172"/>
      <c r="KET409" s="172"/>
      <c r="KEU409" s="172"/>
      <c r="KEV409" s="172"/>
      <c r="KEW409" s="172"/>
      <c r="KEX409" s="172"/>
      <c r="KEY409" s="172"/>
      <c r="KEZ409" s="172"/>
      <c r="KFA409" s="172"/>
      <c r="KFB409" s="172"/>
      <c r="KFC409" s="172"/>
      <c r="KFD409" s="172"/>
      <c r="KFE409" s="172"/>
      <c r="KFF409" s="172"/>
      <c r="KFG409" s="172"/>
      <c r="KFH409" s="172"/>
      <c r="KFI409" s="172"/>
      <c r="KFJ409" s="172"/>
      <c r="KFK409" s="172"/>
      <c r="KFL409" s="172"/>
      <c r="KFM409" s="172"/>
      <c r="KFN409" s="172"/>
      <c r="KFO409" s="172"/>
      <c r="KFP409" s="172"/>
      <c r="KFQ409" s="172"/>
      <c r="KFR409" s="172"/>
      <c r="KFS409" s="172"/>
      <c r="KFT409" s="172"/>
      <c r="KFU409" s="172"/>
      <c r="KFV409" s="172"/>
      <c r="KFW409" s="172"/>
      <c r="KFX409" s="172"/>
      <c r="KFY409" s="172"/>
      <c r="KFZ409" s="172"/>
      <c r="KGA409" s="172"/>
      <c r="KGB409" s="172"/>
      <c r="KGC409" s="172"/>
      <c r="KGD409" s="172"/>
      <c r="KGE409" s="172"/>
      <c r="KGF409" s="172"/>
      <c r="KGG409" s="172"/>
      <c r="KGH409" s="172"/>
      <c r="KGI409" s="172"/>
      <c r="KGJ409" s="172"/>
      <c r="KGK409" s="172"/>
      <c r="KGL409" s="172"/>
      <c r="KGM409" s="172"/>
      <c r="KGN409" s="172"/>
      <c r="KGO409" s="172"/>
      <c r="KGP409" s="172"/>
      <c r="KGQ409" s="172"/>
      <c r="KGR409" s="172"/>
      <c r="KGS409" s="172"/>
      <c r="KGT409" s="172"/>
      <c r="KGU409" s="172"/>
      <c r="KGV409" s="172"/>
      <c r="KGW409" s="172"/>
      <c r="KGX409" s="172"/>
      <c r="KGY409" s="172"/>
      <c r="KGZ409" s="172"/>
      <c r="KHA409" s="172"/>
      <c r="KHB409" s="172"/>
      <c r="KHC409" s="172"/>
      <c r="KHD409" s="172"/>
      <c r="KHE409" s="172"/>
      <c r="KHF409" s="172"/>
      <c r="KHG409" s="172"/>
      <c r="KHH409" s="172"/>
      <c r="KHI409" s="172"/>
      <c r="KHJ409" s="172"/>
      <c r="KHK409" s="172"/>
      <c r="KHL409" s="172"/>
      <c r="KHM409" s="172"/>
      <c r="KHN409" s="172"/>
      <c r="KHO409" s="172"/>
      <c r="KHP409" s="172"/>
      <c r="KHQ409" s="172"/>
      <c r="KHR409" s="172"/>
      <c r="KHS409" s="172"/>
      <c r="KHT409" s="172"/>
      <c r="KHU409" s="172"/>
      <c r="KHV409" s="172"/>
      <c r="KHW409" s="172"/>
      <c r="KHX409" s="172"/>
      <c r="KHY409" s="172"/>
      <c r="KHZ409" s="172"/>
      <c r="KIA409" s="172"/>
      <c r="KIB409" s="172"/>
      <c r="KIC409" s="172"/>
      <c r="KID409" s="172"/>
      <c r="KIE409" s="172"/>
      <c r="KIF409" s="172"/>
      <c r="KIG409" s="172"/>
      <c r="KIH409" s="172"/>
      <c r="KII409" s="172"/>
      <c r="KIJ409" s="172"/>
      <c r="KIK409" s="172"/>
      <c r="KIL409" s="172"/>
      <c r="KIM409" s="172"/>
      <c r="KIN409" s="172"/>
      <c r="KIO409" s="172"/>
      <c r="KIP409" s="172"/>
      <c r="KIQ409" s="172"/>
      <c r="KIR409" s="172"/>
      <c r="KIS409" s="172"/>
      <c r="KIT409" s="172"/>
      <c r="KIU409" s="172"/>
      <c r="KIV409" s="172"/>
      <c r="KIW409" s="172"/>
      <c r="KIX409" s="172"/>
      <c r="KIY409" s="172"/>
      <c r="KIZ409" s="172"/>
      <c r="KJA409" s="172"/>
      <c r="KJB409" s="172"/>
      <c r="KJC409" s="172"/>
      <c r="KJD409" s="172"/>
      <c r="KJE409" s="172"/>
      <c r="KJF409" s="172"/>
      <c r="KJG409" s="172"/>
      <c r="KJH409" s="172"/>
      <c r="KJI409" s="172"/>
      <c r="KJJ409" s="172"/>
      <c r="KJK409" s="172"/>
      <c r="KJL409" s="172"/>
      <c r="KJM409" s="172"/>
      <c r="KJN409" s="172"/>
      <c r="KJO409" s="172"/>
      <c r="KJP409" s="172"/>
      <c r="KJQ409" s="172"/>
      <c r="KJR409" s="172"/>
      <c r="KJS409" s="172"/>
      <c r="KJT409" s="172"/>
      <c r="KJU409" s="172"/>
      <c r="KJV409" s="172"/>
      <c r="KJW409" s="172"/>
      <c r="KJX409" s="172"/>
      <c r="KJY409" s="172"/>
      <c r="KJZ409" s="172"/>
      <c r="KKA409" s="172"/>
      <c r="KKB409" s="172"/>
      <c r="KKC409" s="172"/>
      <c r="KKD409" s="172"/>
      <c r="KKE409" s="172"/>
      <c r="KKF409" s="172"/>
      <c r="KKG409" s="172"/>
      <c r="KKH409" s="172"/>
      <c r="KKI409" s="172"/>
      <c r="KKJ409" s="172"/>
      <c r="KKK409" s="172"/>
      <c r="KKL409" s="172"/>
      <c r="KKM409" s="172"/>
      <c r="KKN409" s="172"/>
      <c r="KKO409" s="172"/>
      <c r="KKP409" s="172"/>
      <c r="KKQ409" s="172"/>
      <c r="KKR409" s="172"/>
      <c r="KKS409" s="172"/>
      <c r="KKT409" s="172"/>
      <c r="KKU409" s="172"/>
      <c r="KKV409" s="172"/>
      <c r="KKW409" s="172"/>
      <c r="KKX409" s="172"/>
      <c r="KKY409" s="172"/>
      <c r="KKZ409" s="172"/>
      <c r="KLA409" s="172"/>
      <c r="KLB409" s="172"/>
      <c r="KLC409" s="172"/>
      <c r="KLD409" s="172"/>
      <c r="KLE409" s="172"/>
      <c r="KLF409" s="172"/>
      <c r="KLG409" s="172"/>
      <c r="KLH409" s="172"/>
      <c r="KLI409" s="172"/>
      <c r="KLJ409" s="172"/>
      <c r="KLK409" s="172"/>
      <c r="KLL409" s="172"/>
      <c r="KLM409" s="172"/>
      <c r="KLN409" s="172"/>
      <c r="KLO409" s="172"/>
      <c r="KLP409" s="172"/>
      <c r="KLQ409" s="172"/>
      <c r="KLR409" s="172"/>
      <c r="KLS409" s="172"/>
      <c r="KLT409" s="172"/>
      <c r="KLU409" s="172"/>
      <c r="KLV409" s="172"/>
      <c r="KLW409" s="172"/>
      <c r="KLX409" s="172"/>
      <c r="KLY409" s="172"/>
      <c r="KLZ409" s="172"/>
      <c r="KMA409" s="172"/>
      <c r="KMB409" s="172"/>
      <c r="KMC409" s="172"/>
      <c r="KMD409" s="172"/>
      <c r="KME409" s="172"/>
      <c r="KMF409" s="172"/>
      <c r="KMG409" s="172"/>
      <c r="KMH409" s="172"/>
      <c r="KMI409" s="172"/>
      <c r="KMJ409" s="172"/>
      <c r="KMK409" s="172"/>
      <c r="KML409" s="172"/>
      <c r="KMM409" s="172"/>
      <c r="KMN409" s="172"/>
      <c r="KMO409" s="172"/>
      <c r="KMP409" s="172"/>
      <c r="KMQ409" s="172"/>
      <c r="KMR409" s="172"/>
      <c r="KMS409" s="172"/>
      <c r="KMT409" s="172"/>
      <c r="KMU409" s="172"/>
      <c r="KMV409" s="172"/>
      <c r="KMW409" s="172"/>
      <c r="KMX409" s="172"/>
      <c r="KMY409" s="172"/>
      <c r="KMZ409" s="172"/>
      <c r="KNA409" s="172"/>
      <c r="KNB409" s="172"/>
      <c r="KNC409" s="172"/>
      <c r="KND409" s="172"/>
      <c r="KNE409" s="172"/>
      <c r="KNF409" s="172"/>
      <c r="KNG409" s="172"/>
      <c r="KNH409" s="172"/>
      <c r="KNI409" s="172"/>
      <c r="KNJ409" s="172"/>
      <c r="KNK409" s="172"/>
      <c r="KNL409" s="172"/>
      <c r="KNM409" s="172"/>
      <c r="KNN409" s="172"/>
      <c r="KNO409" s="172"/>
      <c r="KNP409" s="172"/>
      <c r="KNQ409" s="172"/>
      <c r="KNR409" s="172"/>
      <c r="KNS409" s="172"/>
      <c r="KNT409" s="172"/>
      <c r="KNU409" s="172"/>
      <c r="KNV409" s="172"/>
      <c r="KNW409" s="172"/>
      <c r="KNX409" s="172"/>
      <c r="KNY409" s="172"/>
      <c r="KNZ409" s="172"/>
      <c r="KOA409" s="172"/>
      <c r="KOB409" s="172"/>
      <c r="KOC409" s="172"/>
      <c r="KOD409" s="172"/>
      <c r="KOE409" s="172"/>
      <c r="KOF409" s="172"/>
      <c r="KOG409" s="172"/>
      <c r="KOH409" s="172"/>
      <c r="KOI409" s="172"/>
      <c r="KOJ409" s="172"/>
      <c r="KOK409" s="172"/>
      <c r="KOL409" s="172"/>
      <c r="KOM409" s="172"/>
      <c r="KON409" s="172"/>
      <c r="KOO409" s="172"/>
      <c r="KOP409" s="172"/>
      <c r="KOQ409" s="172"/>
      <c r="KOR409" s="172"/>
      <c r="KOS409" s="172"/>
      <c r="KOT409" s="172"/>
      <c r="KOU409" s="172"/>
      <c r="KOV409" s="172"/>
      <c r="KOW409" s="172"/>
      <c r="KOX409" s="172"/>
      <c r="KOY409" s="172"/>
      <c r="KOZ409" s="172"/>
      <c r="KPA409" s="172"/>
      <c r="KPB409" s="172"/>
      <c r="KPC409" s="172"/>
      <c r="KPD409" s="172"/>
      <c r="KPE409" s="172"/>
      <c r="KPF409" s="172"/>
      <c r="KPG409" s="172"/>
      <c r="KPH409" s="172"/>
      <c r="KPI409" s="172"/>
      <c r="KPJ409" s="172"/>
      <c r="KPK409" s="172"/>
      <c r="KPL409" s="172"/>
      <c r="KPM409" s="172"/>
      <c r="KPN409" s="172"/>
      <c r="KPO409" s="172"/>
      <c r="KPP409" s="172"/>
      <c r="KPQ409" s="172"/>
      <c r="KPR409" s="172"/>
      <c r="KPS409" s="172"/>
      <c r="KPT409" s="172"/>
      <c r="KPU409" s="172"/>
      <c r="KPV409" s="172"/>
      <c r="KPW409" s="172"/>
      <c r="KPX409" s="172"/>
      <c r="KPY409" s="172"/>
      <c r="KPZ409" s="172"/>
      <c r="KQA409" s="172"/>
      <c r="KQB409" s="172"/>
      <c r="KQC409" s="172"/>
      <c r="KQD409" s="172"/>
      <c r="KQE409" s="172"/>
      <c r="KQF409" s="172"/>
      <c r="KQG409" s="172"/>
      <c r="KQH409" s="172"/>
      <c r="KQI409" s="172"/>
      <c r="KQJ409" s="172"/>
      <c r="KQK409" s="172"/>
      <c r="KQL409" s="172"/>
      <c r="KQM409" s="172"/>
      <c r="KQN409" s="172"/>
      <c r="KQO409" s="172"/>
      <c r="KQP409" s="172"/>
      <c r="KQQ409" s="172"/>
      <c r="KQR409" s="172"/>
      <c r="KQS409" s="172"/>
      <c r="KQT409" s="172"/>
      <c r="KQU409" s="172"/>
      <c r="KQV409" s="172"/>
      <c r="KQW409" s="172"/>
      <c r="KQX409" s="172"/>
      <c r="KQY409" s="172"/>
      <c r="KQZ409" s="172"/>
      <c r="KRA409" s="172"/>
      <c r="KRB409" s="172"/>
      <c r="KRC409" s="172"/>
      <c r="KRD409" s="172"/>
      <c r="KRE409" s="172"/>
      <c r="KRF409" s="172"/>
      <c r="KRG409" s="172"/>
      <c r="KRH409" s="172"/>
      <c r="KRI409" s="172"/>
      <c r="KRJ409" s="172"/>
      <c r="KRK409" s="172"/>
      <c r="KRL409" s="172"/>
      <c r="KRM409" s="172"/>
      <c r="KRN409" s="172"/>
      <c r="KRO409" s="172"/>
      <c r="KRP409" s="172"/>
      <c r="KRQ409" s="172"/>
      <c r="KRR409" s="172"/>
      <c r="KRS409" s="172"/>
      <c r="KRT409" s="172"/>
      <c r="KRU409" s="172"/>
      <c r="KRV409" s="172"/>
      <c r="KRW409" s="172"/>
      <c r="KRX409" s="172"/>
      <c r="KRY409" s="172"/>
      <c r="KRZ409" s="172"/>
      <c r="KSA409" s="172"/>
      <c r="KSB409" s="172"/>
      <c r="KSC409" s="172"/>
      <c r="KSD409" s="172"/>
      <c r="KSE409" s="172"/>
      <c r="KSF409" s="172"/>
      <c r="KSG409" s="172"/>
      <c r="KSH409" s="172"/>
      <c r="KSI409" s="172"/>
      <c r="KSJ409" s="172"/>
      <c r="KSK409" s="172"/>
      <c r="KSL409" s="172"/>
      <c r="KSM409" s="172"/>
      <c r="KSN409" s="172"/>
      <c r="KSO409" s="172"/>
      <c r="KSP409" s="172"/>
      <c r="KSQ409" s="172"/>
      <c r="KSR409" s="172"/>
      <c r="KSS409" s="172"/>
      <c r="KST409" s="172"/>
      <c r="KSU409" s="172"/>
      <c r="KSV409" s="172"/>
      <c r="KSW409" s="172"/>
      <c r="KSX409" s="172"/>
      <c r="KSY409" s="172"/>
      <c r="KSZ409" s="172"/>
      <c r="KTA409" s="172"/>
      <c r="KTB409" s="172"/>
      <c r="KTC409" s="172"/>
      <c r="KTD409" s="172"/>
      <c r="KTE409" s="172"/>
      <c r="KTF409" s="172"/>
      <c r="KTG409" s="172"/>
      <c r="KTH409" s="172"/>
      <c r="KTI409" s="172"/>
      <c r="KTJ409" s="172"/>
      <c r="KTK409" s="172"/>
      <c r="KTL409" s="172"/>
      <c r="KTM409" s="172"/>
      <c r="KTN409" s="172"/>
      <c r="KTO409" s="172"/>
      <c r="KTP409" s="172"/>
      <c r="KTQ409" s="172"/>
      <c r="KTR409" s="172"/>
      <c r="KTS409" s="172"/>
      <c r="KTT409" s="172"/>
      <c r="KTU409" s="172"/>
      <c r="KTV409" s="172"/>
      <c r="KTW409" s="172"/>
      <c r="KTX409" s="172"/>
      <c r="KTY409" s="172"/>
      <c r="KTZ409" s="172"/>
      <c r="KUA409" s="172"/>
      <c r="KUB409" s="172"/>
      <c r="KUC409" s="172"/>
      <c r="KUD409" s="172"/>
      <c r="KUE409" s="172"/>
      <c r="KUF409" s="172"/>
      <c r="KUG409" s="172"/>
      <c r="KUH409" s="172"/>
      <c r="KUI409" s="172"/>
      <c r="KUJ409" s="172"/>
      <c r="KUK409" s="172"/>
      <c r="KUL409" s="172"/>
      <c r="KUM409" s="172"/>
      <c r="KUN409" s="172"/>
      <c r="KUO409" s="172"/>
      <c r="KUP409" s="172"/>
      <c r="KUQ409" s="172"/>
      <c r="KUR409" s="172"/>
      <c r="KUS409" s="172"/>
      <c r="KUT409" s="172"/>
      <c r="KUU409" s="172"/>
      <c r="KUV409" s="172"/>
      <c r="KUW409" s="172"/>
      <c r="KUX409" s="172"/>
      <c r="KUY409" s="172"/>
      <c r="KUZ409" s="172"/>
      <c r="KVA409" s="172"/>
      <c r="KVB409" s="172"/>
      <c r="KVC409" s="172"/>
      <c r="KVD409" s="172"/>
      <c r="KVE409" s="172"/>
      <c r="KVF409" s="172"/>
      <c r="KVG409" s="172"/>
      <c r="KVH409" s="172"/>
      <c r="KVI409" s="172"/>
      <c r="KVJ409" s="172"/>
      <c r="KVK409" s="172"/>
      <c r="KVL409" s="172"/>
      <c r="KVM409" s="172"/>
      <c r="KVN409" s="172"/>
      <c r="KVO409" s="172"/>
      <c r="KVP409" s="172"/>
      <c r="KVQ409" s="172"/>
      <c r="KVR409" s="172"/>
      <c r="KVS409" s="172"/>
      <c r="KVT409" s="172"/>
      <c r="KVU409" s="172"/>
      <c r="KVV409" s="172"/>
      <c r="KVW409" s="172"/>
      <c r="KVX409" s="172"/>
      <c r="KVY409" s="172"/>
      <c r="KVZ409" s="172"/>
      <c r="KWA409" s="172"/>
      <c r="KWB409" s="172"/>
      <c r="KWC409" s="172"/>
      <c r="KWD409" s="172"/>
      <c r="KWE409" s="172"/>
      <c r="KWF409" s="172"/>
      <c r="KWG409" s="172"/>
      <c r="KWH409" s="172"/>
      <c r="KWI409" s="172"/>
      <c r="KWJ409" s="172"/>
      <c r="KWK409" s="172"/>
      <c r="KWL409" s="172"/>
      <c r="KWM409" s="172"/>
      <c r="KWN409" s="172"/>
      <c r="KWO409" s="172"/>
      <c r="KWP409" s="172"/>
      <c r="KWQ409" s="172"/>
      <c r="KWR409" s="172"/>
      <c r="KWS409" s="172"/>
      <c r="KWT409" s="172"/>
      <c r="KWU409" s="172"/>
      <c r="KWV409" s="172"/>
      <c r="KWW409" s="172"/>
      <c r="KWX409" s="172"/>
      <c r="KWY409" s="172"/>
      <c r="KWZ409" s="172"/>
      <c r="KXA409" s="172"/>
      <c r="KXB409" s="172"/>
      <c r="KXC409" s="172"/>
      <c r="KXD409" s="172"/>
      <c r="KXE409" s="172"/>
      <c r="KXF409" s="172"/>
      <c r="KXG409" s="172"/>
      <c r="KXH409" s="172"/>
      <c r="KXI409" s="172"/>
      <c r="KXJ409" s="172"/>
      <c r="KXK409" s="172"/>
      <c r="KXL409" s="172"/>
      <c r="KXM409" s="172"/>
      <c r="KXN409" s="172"/>
      <c r="KXO409" s="172"/>
      <c r="KXP409" s="172"/>
      <c r="KXQ409" s="172"/>
      <c r="KXR409" s="172"/>
      <c r="KXS409" s="172"/>
      <c r="KXT409" s="172"/>
      <c r="KXU409" s="172"/>
      <c r="KXV409" s="172"/>
      <c r="KXW409" s="172"/>
      <c r="KXX409" s="172"/>
      <c r="KXY409" s="172"/>
      <c r="KXZ409" s="172"/>
      <c r="KYA409" s="172"/>
      <c r="KYB409" s="172"/>
      <c r="KYC409" s="172"/>
      <c r="KYD409" s="172"/>
      <c r="KYE409" s="172"/>
      <c r="KYF409" s="172"/>
      <c r="KYG409" s="172"/>
      <c r="KYH409" s="172"/>
      <c r="KYI409" s="172"/>
      <c r="KYJ409" s="172"/>
      <c r="KYK409" s="172"/>
      <c r="KYL409" s="172"/>
      <c r="KYM409" s="172"/>
      <c r="KYN409" s="172"/>
      <c r="KYO409" s="172"/>
      <c r="KYP409" s="172"/>
      <c r="KYQ409" s="172"/>
      <c r="KYR409" s="172"/>
      <c r="KYS409" s="172"/>
      <c r="KYT409" s="172"/>
      <c r="KYU409" s="172"/>
      <c r="KYV409" s="172"/>
      <c r="KYW409" s="172"/>
      <c r="KYX409" s="172"/>
      <c r="KYY409" s="172"/>
      <c r="KYZ409" s="172"/>
      <c r="KZA409" s="172"/>
      <c r="KZB409" s="172"/>
      <c r="KZC409" s="172"/>
      <c r="KZD409" s="172"/>
      <c r="KZE409" s="172"/>
      <c r="KZF409" s="172"/>
      <c r="KZG409" s="172"/>
      <c r="KZH409" s="172"/>
      <c r="KZI409" s="172"/>
      <c r="KZJ409" s="172"/>
      <c r="KZK409" s="172"/>
      <c r="KZL409" s="172"/>
      <c r="KZM409" s="172"/>
      <c r="KZN409" s="172"/>
      <c r="KZO409" s="172"/>
      <c r="KZP409" s="172"/>
      <c r="KZQ409" s="172"/>
      <c r="KZR409" s="172"/>
      <c r="KZS409" s="172"/>
      <c r="KZT409" s="172"/>
      <c r="KZU409" s="172"/>
      <c r="KZV409" s="172"/>
      <c r="KZW409" s="172"/>
      <c r="KZX409" s="172"/>
      <c r="KZY409" s="172"/>
      <c r="KZZ409" s="172"/>
      <c r="LAA409" s="172"/>
      <c r="LAB409" s="172"/>
      <c r="LAC409" s="172"/>
      <c r="LAD409" s="172"/>
      <c r="LAE409" s="172"/>
      <c r="LAF409" s="172"/>
      <c r="LAG409" s="172"/>
      <c r="LAH409" s="172"/>
      <c r="LAI409" s="172"/>
      <c r="LAJ409" s="172"/>
      <c r="LAK409" s="172"/>
      <c r="LAL409" s="172"/>
      <c r="LAM409" s="172"/>
      <c r="LAN409" s="172"/>
      <c r="LAO409" s="172"/>
      <c r="LAP409" s="172"/>
      <c r="LAQ409" s="172"/>
      <c r="LAR409" s="172"/>
      <c r="LAS409" s="172"/>
      <c r="LAT409" s="172"/>
      <c r="LAU409" s="172"/>
      <c r="LAV409" s="172"/>
      <c r="LAW409" s="172"/>
      <c r="LAX409" s="172"/>
      <c r="LAY409" s="172"/>
      <c r="LAZ409" s="172"/>
      <c r="LBA409" s="172"/>
      <c r="LBB409" s="172"/>
      <c r="LBC409" s="172"/>
      <c r="LBD409" s="172"/>
      <c r="LBE409" s="172"/>
      <c r="LBF409" s="172"/>
      <c r="LBG409" s="172"/>
      <c r="LBH409" s="172"/>
      <c r="LBI409" s="172"/>
      <c r="LBJ409" s="172"/>
      <c r="LBK409" s="172"/>
      <c r="LBL409" s="172"/>
      <c r="LBM409" s="172"/>
      <c r="LBN409" s="172"/>
      <c r="LBO409" s="172"/>
      <c r="LBP409" s="172"/>
      <c r="LBQ409" s="172"/>
      <c r="LBR409" s="172"/>
      <c r="LBS409" s="172"/>
      <c r="LBT409" s="172"/>
      <c r="LBU409" s="172"/>
      <c r="LBV409" s="172"/>
      <c r="LBW409" s="172"/>
      <c r="LBX409" s="172"/>
      <c r="LBY409" s="172"/>
      <c r="LBZ409" s="172"/>
      <c r="LCA409" s="172"/>
      <c r="LCB409" s="172"/>
      <c r="LCC409" s="172"/>
      <c r="LCD409" s="172"/>
      <c r="LCE409" s="172"/>
      <c r="LCF409" s="172"/>
      <c r="LCG409" s="172"/>
      <c r="LCH409" s="172"/>
      <c r="LCI409" s="172"/>
      <c r="LCJ409" s="172"/>
      <c r="LCK409" s="172"/>
      <c r="LCL409" s="172"/>
      <c r="LCM409" s="172"/>
      <c r="LCN409" s="172"/>
      <c r="LCO409" s="172"/>
      <c r="LCP409" s="172"/>
      <c r="LCQ409" s="172"/>
      <c r="LCR409" s="172"/>
      <c r="LCS409" s="172"/>
      <c r="LCT409" s="172"/>
      <c r="LCU409" s="172"/>
      <c r="LCV409" s="172"/>
      <c r="LCW409" s="172"/>
      <c r="LCX409" s="172"/>
      <c r="LCY409" s="172"/>
      <c r="LCZ409" s="172"/>
      <c r="LDA409" s="172"/>
      <c r="LDB409" s="172"/>
      <c r="LDC409" s="172"/>
      <c r="LDD409" s="172"/>
      <c r="LDE409" s="172"/>
      <c r="LDF409" s="172"/>
      <c r="LDG409" s="172"/>
      <c r="LDH409" s="172"/>
      <c r="LDI409" s="172"/>
      <c r="LDJ409" s="172"/>
      <c r="LDK409" s="172"/>
      <c r="LDL409" s="172"/>
      <c r="LDM409" s="172"/>
      <c r="LDN409" s="172"/>
      <c r="LDO409" s="172"/>
      <c r="LDP409" s="172"/>
      <c r="LDQ409" s="172"/>
      <c r="LDR409" s="172"/>
      <c r="LDS409" s="172"/>
      <c r="LDT409" s="172"/>
      <c r="LDU409" s="172"/>
      <c r="LDV409" s="172"/>
      <c r="LDW409" s="172"/>
      <c r="LDX409" s="172"/>
      <c r="LDY409" s="172"/>
      <c r="LDZ409" s="172"/>
      <c r="LEA409" s="172"/>
      <c r="LEB409" s="172"/>
      <c r="LEC409" s="172"/>
      <c r="LED409" s="172"/>
      <c r="LEE409" s="172"/>
      <c r="LEF409" s="172"/>
      <c r="LEG409" s="172"/>
      <c r="LEH409" s="172"/>
      <c r="LEI409" s="172"/>
      <c r="LEJ409" s="172"/>
      <c r="LEK409" s="172"/>
      <c r="LEL409" s="172"/>
      <c r="LEM409" s="172"/>
      <c r="LEN409" s="172"/>
      <c r="LEO409" s="172"/>
      <c r="LEP409" s="172"/>
      <c r="LEQ409" s="172"/>
      <c r="LER409" s="172"/>
      <c r="LES409" s="172"/>
      <c r="LET409" s="172"/>
      <c r="LEU409" s="172"/>
      <c r="LEV409" s="172"/>
      <c r="LEW409" s="172"/>
      <c r="LEX409" s="172"/>
      <c r="LEY409" s="172"/>
      <c r="LEZ409" s="172"/>
      <c r="LFA409" s="172"/>
      <c r="LFB409" s="172"/>
      <c r="LFC409" s="172"/>
      <c r="LFD409" s="172"/>
      <c r="LFE409" s="172"/>
      <c r="LFF409" s="172"/>
      <c r="LFG409" s="172"/>
      <c r="LFH409" s="172"/>
      <c r="LFI409" s="172"/>
      <c r="LFJ409" s="172"/>
      <c r="LFK409" s="172"/>
      <c r="LFL409" s="172"/>
      <c r="LFM409" s="172"/>
      <c r="LFN409" s="172"/>
      <c r="LFO409" s="172"/>
      <c r="LFP409" s="172"/>
      <c r="LFQ409" s="172"/>
      <c r="LFR409" s="172"/>
      <c r="LFS409" s="172"/>
      <c r="LFT409" s="172"/>
      <c r="LFU409" s="172"/>
      <c r="LFV409" s="172"/>
      <c r="LFW409" s="172"/>
      <c r="LFX409" s="172"/>
      <c r="LFY409" s="172"/>
      <c r="LFZ409" s="172"/>
      <c r="LGA409" s="172"/>
      <c r="LGB409" s="172"/>
      <c r="LGC409" s="172"/>
      <c r="LGD409" s="172"/>
      <c r="LGE409" s="172"/>
      <c r="LGF409" s="172"/>
      <c r="LGG409" s="172"/>
      <c r="LGH409" s="172"/>
      <c r="LGI409" s="172"/>
      <c r="LGJ409" s="172"/>
      <c r="LGK409" s="172"/>
      <c r="LGL409" s="172"/>
      <c r="LGM409" s="172"/>
      <c r="LGN409" s="172"/>
      <c r="LGO409" s="172"/>
      <c r="LGP409" s="172"/>
      <c r="LGQ409" s="172"/>
      <c r="LGR409" s="172"/>
      <c r="LGS409" s="172"/>
      <c r="LGT409" s="172"/>
      <c r="LGU409" s="172"/>
      <c r="LGV409" s="172"/>
      <c r="LGW409" s="172"/>
      <c r="LGX409" s="172"/>
      <c r="LGY409" s="172"/>
      <c r="LGZ409" s="172"/>
      <c r="LHA409" s="172"/>
      <c r="LHB409" s="172"/>
      <c r="LHC409" s="172"/>
      <c r="LHD409" s="172"/>
      <c r="LHE409" s="172"/>
      <c r="LHF409" s="172"/>
      <c r="LHG409" s="172"/>
      <c r="LHH409" s="172"/>
      <c r="LHI409" s="172"/>
      <c r="LHJ409" s="172"/>
      <c r="LHK409" s="172"/>
      <c r="LHL409" s="172"/>
      <c r="LHM409" s="172"/>
      <c r="LHN409" s="172"/>
      <c r="LHO409" s="172"/>
      <c r="LHP409" s="172"/>
      <c r="LHQ409" s="172"/>
      <c r="LHR409" s="172"/>
      <c r="LHS409" s="172"/>
      <c r="LHT409" s="172"/>
      <c r="LHU409" s="172"/>
      <c r="LHV409" s="172"/>
      <c r="LHW409" s="172"/>
      <c r="LHX409" s="172"/>
      <c r="LHY409" s="172"/>
      <c r="LHZ409" s="172"/>
      <c r="LIA409" s="172"/>
      <c r="LIB409" s="172"/>
      <c r="LIC409" s="172"/>
      <c r="LID409" s="172"/>
      <c r="LIE409" s="172"/>
      <c r="LIF409" s="172"/>
      <c r="LIG409" s="172"/>
      <c r="LIH409" s="172"/>
      <c r="LII409" s="172"/>
      <c r="LIJ409" s="172"/>
      <c r="LIK409" s="172"/>
      <c r="LIL409" s="172"/>
      <c r="LIM409" s="172"/>
      <c r="LIN409" s="172"/>
      <c r="LIO409" s="172"/>
      <c r="LIP409" s="172"/>
      <c r="LIQ409" s="172"/>
      <c r="LIR409" s="172"/>
      <c r="LIS409" s="172"/>
      <c r="LIT409" s="172"/>
      <c r="LIU409" s="172"/>
      <c r="LIV409" s="172"/>
      <c r="LIW409" s="172"/>
      <c r="LIX409" s="172"/>
      <c r="LIY409" s="172"/>
      <c r="LIZ409" s="172"/>
      <c r="LJA409" s="172"/>
      <c r="LJB409" s="172"/>
      <c r="LJC409" s="172"/>
      <c r="LJD409" s="172"/>
      <c r="LJE409" s="172"/>
      <c r="LJF409" s="172"/>
      <c r="LJG409" s="172"/>
      <c r="LJH409" s="172"/>
      <c r="LJI409" s="172"/>
      <c r="LJJ409" s="172"/>
      <c r="LJK409" s="172"/>
      <c r="LJL409" s="172"/>
      <c r="LJM409" s="172"/>
      <c r="LJN409" s="172"/>
      <c r="LJO409" s="172"/>
      <c r="LJP409" s="172"/>
      <c r="LJQ409" s="172"/>
      <c r="LJR409" s="172"/>
      <c r="LJS409" s="172"/>
      <c r="LJT409" s="172"/>
      <c r="LJU409" s="172"/>
      <c r="LJV409" s="172"/>
      <c r="LJW409" s="172"/>
      <c r="LJX409" s="172"/>
      <c r="LJY409" s="172"/>
      <c r="LJZ409" s="172"/>
      <c r="LKA409" s="172"/>
      <c r="LKB409" s="172"/>
      <c r="LKC409" s="172"/>
      <c r="LKD409" s="172"/>
      <c r="LKE409" s="172"/>
      <c r="LKF409" s="172"/>
      <c r="LKG409" s="172"/>
      <c r="LKH409" s="172"/>
      <c r="LKI409" s="172"/>
      <c r="LKJ409" s="172"/>
      <c r="LKK409" s="172"/>
      <c r="LKL409" s="172"/>
      <c r="LKM409" s="172"/>
      <c r="LKN409" s="172"/>
      <c r="LKO409" s="172"/>
      <c r="LKP409" s="172"/>
      <c r="LKQ409" s="172"/>
      <c r="LKR409" s="172"/>
      <c r="LKS409" s="172"/>
      <c r="LKT409" s="172"/>
      <c r="LKU409" s="172"/>
      <c r="LKV409" s="172"/>
      <c r="LKW409" s="172"/>
      <c r="LKX409" s="172"/>
      <c r="LKY409" s="172"/>
      <c r="LKZ409" s="172"/>
      <c r="LLA409" s="172"/>
      <c r="LLB409" s="172"/>
      <c r="LLC409" s="172"/>
      <c r="LLD409" s="172"/>
      <c r="LLE409" s="172"/>
      <c r="LLF409" s="172"/>
      <c r="LLG409" s="172"/>
      <c r="LLH409" s="172"/>
      <c r="LLI409" s="172"/>
      <c r="LLJ409" s="172"/>
      <c r="LLK409" s="172"/>
      <c r="LLL409" s="172"/>
      <c r="LLM409" s="172"/>
      <c r="LLN409" s="172"/>
      <c r="LLO409" s="172"/>
      <c r="LLP409" s="172"/>
      <c r="LLQ409" s="172"/>
      <c r="LLR409" s="172"/>
      <c r="LLS409" s="172"/>
      <c r="LLT409" s="172"/>
      <c r="LLU409" s="172"/>
      <c r="LLV409" s="172"/>
      <c r="LLW409" s="172"/>
      <c r="LLX409" s="172"/>
      <c r="LLY409" s="172"/>
      <c r="LLZ409" s="172"/>
      <c r="LMA409" s="172"/>
      <c r="LMB409" s="172"/>
      <c r="LMC409" s="172"/>
      <c r="LMD409" s="172"/>
      <c r="LME409" s="172"/>
      <c r="LMF409" s="172"/>
      <c r="LMG409" s="172"/>
      <c r="LMH409" s="172"/>
      <c r="LMI409" s="172"/>
      <c r="LMJ409" s="172"/>
      <c r="LMK409" s="172"/>
      <c r="LML409" s="172"/>
      <c r="LMM409" s="172"/>
      <c r="LMN409" s="172"/>
      <c r="LMO409" s="172"/>
      <c r="LMP409" s="172"/>
      <c r="LMQ409" s="172"/>
      <c r="LMR409" s="172"/>
      <c r="LMS409" s="172"/>
      <c r="LMT409" s="172"/>
      <c r="LMU409" s="172"/>
      <c r="LMV409" s="172"/>
      <c r="LMW409" s="172"/>
      <c r="LMX409" s="172"/>
      <c r="LMY409" s="172"/>
      <c r="LMZ409" s="172"/>
      <c r="LNA409" s="172"/>
      <c r="LNB409" s="172"/>
      <c r="LNC409" s="172"/>
      <c r="LND409" s="172"/>
      <c r="LNE409" s="172"/>
      <c r="LNF409" s="172"/>
      <c r="LNG409" s="172"/>
      <c r="LNH409" s="172"/>
      <c r="LNI409" s="172"/>
      <c r="LNJ409" s="172"/>
      <c r="LNK409" s="172"/>
      <c r="LNL409" s="172"/>
      <c r="LNM409" s="172"/>
      <c r="LNN409" s="172"/>
      <c r="LNO409" s="172"/>
      <c r="LNP409" s="172"/>
      <c r="LNQ409" s="172"/>
      <c r="LNR409" s="172"/>
      <c r="LNS409" s="172"/>
      <c r="LNT409" s="172"/>
      <c r="LNU409" s="172"/>
      <c r="LNV409" s="172"/>
      <c r="LNW409" s="172"/>
      <c r="LNX409" s="172"/>
      <c r="LNY409" s="172"/>
      <c r="LNZ409" s="172"/>
      <c r="LOA409" s="172"/>
      <c r="LOB409" s="172"/>
      <c r="LOC409" s="172"/>
      <c r="LOD409" s="172"/>
      <c r="LOE409" s="172"/>
      <c r="LOF409" s="172"/>
      <c r="LOG409" s="172"/>
      <c r="LOH409" s="172"/>
      <c r="LOI409" s="172"/>
      <c r="LOJ409" s="172"/>
      <c r="LOK409" s="172"/>
      <c r="LOL409" s="172"/>
      <c r="LOM409" s="172"/>
      <c r="LON409" s="172"/>
      <c r="LOO409" s="172"/>
      <c r="LOP409" s="172"/>
      <c r="LOQ409" s="172"/>
      <c r="LOR409" s="172"/>
      <c r="LOS409" s="172"/>
      <c r="LOT409" s="172"/>
      <c r="LOU409" s="172"/>
      <c r="LOV409" s="172"/>
      <c r="LOW409" s="172"/>
      <c r="LOX409" s="172"/>
      <c r="LOY409" s="172"/>
      <c r="LOZ409" s="172"/>
      <c r="LPA409" s="172"/>
      <c r="LPB409" s="172"/>
      <c r="LPC409" s="172"/>
      <c r="LPD409" s="172"/>
      <c r="LPE409" s="172"/>
      <c r="LPF409" s="172"/>
      <c r="LPG409" s="172"/>
      <c r="LPH409" s="172"/>
      <c r="LPI409" s="172"/>
      <c r="LPJ409" s="172"/>
      <c r="LPK409" s="172"/>
      <c r="LPL409" s="172"/>
      <c r="LPM409" s="172"/>
      <c r="LPN409" s="172"/>
      <c r="LPO409" s="172"/>
      <c r="LPP409" s="172"/>
      <c r="LPQ409" s="172"/>
      <c r="LPR409" s="172"/>
      <c r="LPS409" s="172"/>
      <c r="LPT409" s="172"/>
      <c r="LPU409" s="172"/>
      <c r="LPV409" s="172"/>
      <c r="LPW409" s="172"/>
      <c r="LPX409" s="172"/>
      <c r="LPY409" s="172"/>
      <c r="LPZ409" s="172"/>
      <c r="LQA409" s="172"/>
      <c r="LQB409" s="172"/>
      <c r="LQC409" s="172"/>
      <c r="LQD409" s="172"/>
      <c r="LQE409" s="172"/>
      <c r="LQF409" s="172"/>
      <c r="LQG409" s="172"/>
      <c r="LQH409" s="172"/>
      <c r="LQI409" s="172"/>
      <c r="LQJ409" s="172"/>
      <c r="LQK409" s="172"/>
      <c r="LQL409" s="172"/>
      <c r="LQM409" s="172"/>
      <c r="LQN409" s="172"/>
      <c r="LQO409" s="172"/>
      <c r="LQP409" s="172"/>
      <c r="LQQ409" s="172"/>
      <c r="LQR409" s="172"/>
      <c r="LQS409" s="172"/>
      <c r="LQT409" s="172"/>
      <c r="LQU409" s="172"/>
      <c r="LQV409" s="172"/>
      <c r="LQW409" s="172"/>
      <c r="LQX409" s="172"/>
      <c r="LQY409" s="172"/>
      <c r="LQZ409" s="172"/>
      <c r="LRA409" s="172"/>
      <c r="LRB409" s="172"/>
      <c r="LRC409" s="172"/>
      <c r="LRD409" s="172"/>
      <c r="LRE409" s="172"/>
      <c r="LRF409" s="172"/>
      <c r="LRG409" s="172"/>
      <c r="LRH409" s="172"/>
      <c r="LRI409" s="172"/>
      <c r="LRJ409" s="172"/>
      <c r="LRK409" s="172"/>
      <c r="LRL409" s="172"/>
      <c r="LRM409" s="172"/>
      <c r="LRN409" s="172"/>
      <c r="LRO409" s="172"/>
      <c r="LRP409" s="172"/>
      <c r="LRQ409" s="172"/>
      <c r="LRR409" s="172"/>
      <c r="LRS409" s="172"/>
      <c r="LRT409" s="172"/>
      <c r="LRU409" s="172"/>
      <c r="LRV409" s="172"/>
      <c r="LRW409" s="172"/>
      <c r="LRX409" s="172"/>
      <c r="LRY409" s="172"/>
      <c r="LRZ409" s="172"/>
      <c r="LSA409" s="172"/>
      <c r="LSB409" s="172"/>
      <c r="LSC409" s="172"/>
      <c r="LSD409" s="172"/>
      <c r="LSE409" s="172"/>
      <c r="LSF409" s="172"/>
      <c r="LSG409" s="172"/>
      <c r="LSH409" s="172"/>
      <c r="LSI409" s="172"/>
      <c r="LSJ409" s="172"/>
      <c r="LSK409" s="172"/>
      <c r="LSL409" s="172"/>
      <c r="LSM409" s="172"/>
      <c r="LSN409" s="172"/>
      <c r="LSO409" s="172"/>
      <c r="LSP409" s="172"/>
      <c r="LSQ409" s="172"/>
      <c r="LSR409" s="172"/>
      <c r="LSS409" s="172"/>
      <c r="LST409" s="172"/>
      <c r="LSU409" s="172"/>
      <c r="LSV409" s="172"/>
      <c r="LSW409" s="172"/>
      <c r="LSX409" s="172"/>
      <c r="LSY409" s="172"/>
      <c r="LSZ409" s="172"/>
      <c r="LTA409" s="172"/>
      <c r="LTB409" s="172"/>
      <c r="LTC409" s="172"/>
      <c r="LTD409" s="172"/>
      <c r="LTE409" s="172"/>
      <c r="LTF409" s="172"/>
      <c r="LTG409" s="172"/>
      <c r="LTH409" s="172"/>
      <c r="LTI409" s="172"/>
      <c r="LTJ409" s="172"/>
      <c r="LTK409" s="172"/>
      <c r="LTL409" s="172"/>
      <c r="LTM409" s="172"/>
      <c r="LTN409" s="172"/>
      <c r="LTO409" s="172"/>
      <c r="LTP409" s="172"/>
      <c r="LTQ409" s="172"/>
      <c r="LTR409" s="172"/>
      <c r="LTS409" s="172"/>
      <c r="LTT409" s="172"/>
      <c r="LTU409" s="172"/>
      <c r="LTV409" s="172"/>
      <c r="LTW409" s="172"/>
      <c r="LTX409" s="172"/>
      <c r="LTY409" s="172"/>
      <c r="LTZ409" s="172"/>
      <c r="LUA409" s="172"/>
      <c r="LUB409" s="172"/>
      <c r="LUC409" s="172"/>
      <c r="LUD409" s="172"/>
      <c r="LUE409" s="172"/>
      <c r="LUF409" s="172"/>
      <c r="LUG409" s="172"/>
      <c r="LUH409" s="172"/>
      <c r="LUI409" s="172"/>
      <c r="LUJ409" s="172"/>
      <c r="LUK409" s="172"/>
      <c r="LUL409" s="172"/>
      <c r="LUM409" s="172"/>
      <c r="LUN409" s="172"/>
      <c r="LUO409" s="172"/>
      <c r="LUP409" s="172"/>
      <c r="LUQ409" s="172"/>
      <c r="LUR409" s="172"/>
      <c r="LUS409" s="172"/>
      <c r="LUT409" s="172"/>
      <c r="LUU409" s="172"/>
      <c r="LUV409" s="172"/>
      <c r="LUW409" s="172"/>
      <c r="LUX409" s="172"/>
      <c r="LUY409" s="172"/>
      <c r="LUZ409" s="172"/>
      <c r="LVA409" s="172"/>
      <c r="LVB409" s="172"/>
      <c r="LVC409" s="172"/>
      <c r="LVD409" s="172"/>
      <c r="LVE409" s="172"/>
      <c r="LVF409" s="172"/>
      <c r="LVG409" s="172"/>
      <c r="LVH409" s="172"/>
      <c r="LVI409" s="172"/>
      <c r="LVJ409" s="172"/>
      <c r="LVK409" s="172"/>
      <c r="LVL409" s="172"/>
      <c r="LVM409" s="172"/>
      <c r="LVN409" s="172"/>
      <c r="LVO409" s="172"/>
      <c r="LVP409" s="172"/>
      <c r="LVQ409" s="172"/>
      <c r="LVR409" s="172"/>
      <c r="LVS409" s="172"/>
      <c r="LVT409" s="172"/>
      <c r="LVU409" s="172"/>
      <c r="LVV409" s="172"/>
      <c r="LVW409" s="172"/>
      <c r="LVX409" s="172"/>
      <c r="LVY409" s="172"/>
      <c r="LVZ409" s="172"/>
      <c r="LWA409" s="172"/>
      <c r="LWB409" s="172"/>
      <c r="LWC409" s="172"/>
      <c r="LWD409" s="172"/>
      <c r="LWE409" s="172"/>
      <c r="LWF409" s="172"/>
      <c r="LWG409" s="172"/>
      <c r="LWH409" s="172"/>
      <c r="LWI409" s="172"/>
      <c r="LWJ409" s="172"/>
      <c r="LWK409" s="172"/>
      <c r="LWL409" s="172"/>
      <c r="LWM409" s="172"/>
      <c r="LWN409" s="172"/>
      <c r="LWO409" s="172"/>
      <c r="LWP409" s="172"/>
      <c r="LWQ409" s="172"/>
      <c r="LWR409" s="172"/>
      <c r="LWS409" s="172"/>
      <c r="LWT409" s="172"/>
      <c r="LWU409" s="172"/>
      <c r="LWV409" s="172"/>
      <c r="LWW409" s="172"/>
      <c r="LWX409" s="172"/>
      <c r="LWY409" s="172"/>
      <c r="LWZ409" s="172"/>
      <c r="LXA409" s="172"/>
      <c r="LXB409" s="172"/>
      <c r="LXC409" s="172"/>
      <c r="LXD409" s="172"/>
      <c r="LXE409" s="172"/>
      <c r="LXF409" s="172"/>
      <c r="LXG409" s="172"/>
      <c r="LXH409" s="172"/>
      <c r="LXI409" s="172"/>
      <c r="LXJ409" s="172"/>
      <c r="LXK409" s="172"/>
      <c r="LXL409" s="172"/>
      <c r="LXM409" s="172"/>
      <c r="LXN409" s="172"/>
      <c r="LXO409" s="172"/>
      <c r="LXP409" s="172"/>
      <c r="LXQ409" s="172"/>
      <c r="LXR409" s="172"/>
      <c r="LXS409" s="172"/>
      <c r="LXT409" s="172"/>
      <c r="LXU409" s="172"/>
      <c r="LXV409" s="172"/>
      <c r="LXW409" s="172"/>
      <c r="LXX409" s="172"/>
      <c r="LXY409" s="172"/>
      <c r="LXZ409" s="172"/>
      <c r="LYA409" s="172"/>
      <c r="LYB409" s="172"/>
      <c r="LYC409" s="172"/>
      <c r="LYD409" s="172"/>
      <c r="LYE409" s="172"/>
      <c r="LYF409" s="172"/>
      <c r="LYG409" s="172"/>
      <c r="LYH409" s="172"/>
      <c r="LYI409" s="172"/>
      <c r="LYJ409" s="172"/>
      <c r="LYK409" s="172"/>
      <c r="LYL409" s="172"/>
      <c r="LYM409" s="172"/>
      <c r="LYN409" s="172"/>
      <c r="LYO409" s="172"/>
      <c r="LYP409" s="172"/>
      <c r="LYQ409" s="172"/>
      <c r="LYR409" s="172"/>
      <c r="LYS409" s="172"/>
      <c r="LYT409" s="172"/>
      <c r="LYU409" s="172"/>
      <c r="LYV409" s="172"/>
      <c r="LYW409" s="172"/>
      <c r="LYX409" s="172"/>
      <c r="LYY409" s="172"/>
      <c r="LYZ409" s="172"/>
      <c r="LZA409" s="172"/>
      <c r="LZB409" s="172"/>
      <c r="LZC409" s="172"/>
      <c r="LZD409" s="172"/>
      <c r="LZE409" s="172"/>
      <c r="LZF409" s="172"/>
      <c r="LZG409" s="172"/>
      <c r="LZH409" s="172"/>
      <c r="LZI409" s="172"/>
      <c r="LZJ409" s="172"/>
      <c r="LZK409" s="172"/>
      <c r="LZL409" s="172"/>
      <c r="LZM409" s="172"/>
      <c r="LZN409" s="172"/>
      <c r="LZO409" s="172"/>
      <c r="LZP409" s="172"/>
      <c r="LZQ409" s="172"/>
      <c r="LZR409" s="172"/>
      <c r="LZS409" s="172"/>
      <c r="LZT409" s="172"/>
      <c r="LZU409" s="172"/>
      <c r="LZV409" s="172"/>
      <c r="LZW409" s="172"/>
      <c r="LZX409" s="172"/>
      <c r="LZY409" s="172"/>
      <c r="LZZ409" s="172"/>
      <c r="MAA409" s="172"/>
      <c r="MAB409" s="172"/>
      <c r="MAC409" s="172"/>
      <c r="MAD409" s="172"/>
      <c r="MAE409" s="172"/>
      <c r="MAF409" s="172"/>
      <c r="MAG409" s="172"/>
      <c r="MAH409" s="172"/>
      <c r="MAI409" s="172"/>
      <c r="MAJ409" s="172"/>
      <c r="MAK409" s="172"/>
      <c r="MAL409" s="172"/>
      <c r="MAM409" s="172"/>
      <c r="MAN409" s="172"/>
      <c r="MAO409" s="172"/>
      <c r="MAP409" s="172"/>
      <c r="MAQ409" s="172"/>
      <c r="MAR409" s="172"/>
      <c r="MAS409" s="172"/>
      <c r="MAT409" s="172"/>
      <c r="MAU409" s="172"/>
      <c r="MAV409" s="172"/>
      <c r="MAW409" s="172"/>
      <c r="MAX409" s="172"/>
      <c r="MAY409" s="172"/>
      <c r="MAZ409" s="172"/>
      <c r="MBA409" s="172"/>
      <c r="MBB409" s="172"/>
      <c r="MBC409" s="172"/>
      <c r="MBD409" s="172"/>
      <c r="MBE409" s="172"/>
      <c r="MBF409" s="172"/>
      <c r="MBG409" s="172"/>
      <c r="MBH409" s="172"/>
      <c r="MBI409" s="172"/>
      <c r="MBJ409" s="172"/>
      <c r="MBK409" s="172"/>
      <c r="MBL409" s="172"/>
      <c r="MBM409" s="172"/>
      <c r="MBN409" s="172"/>
      <c r="MBO409" s="172"/>
      <c r="MBP409" s="172"/>
      <c r="MBQ409" s="172"/>
      <c r="MBR409" s="172"/>
      <c r="MBS409" s="172"/>
      <c r="MBT409" s="172"/>
      <c r="MBU409" s="172"/>
      <c r="MBV409" s="172"/>
      <c r="MBW409" s="172"/>
      <c r="MBX409" s="172"/>
      <c r="MBY409" s="172"/>
      <c r="MBZ409" s="172"/>
      <c r="MCA409" s="172"/>
      <c r="MCB409" s="172"/>
      <c r="MCC409" s="172"/>
      <c r="MCD409" s="172"/>
      <c r="MCE409" s="172"/>
      <c r="MCF409" s="172"/>
      <c r="MCG409" s="172"/>
      <c r="MCH409" s="172"/>
      <c r="MCI409" s="172"/>
      <c r="MCJ409" s="172"/>
      <c r="MCK409" s="172"/>
      <c r="MCL409" s="172"/>
      <c r="MCM409" s="172"/>
      <c r="MCN409" s="172"/>
      <c r="MCO409" s="172"/>
      <c r="MCP409" s="172"/>
      <c r="MCQ409" s="172"/>
      <c r="MCR409" s="172"/>
      <c r="MCS409" s="172"/>
      <c r="MCT409" s="172"/>
      <c r="MCU409" s="172"/>
      <c r="MCV409" s="172"/>
      <c r="MCW409" s="172"/>
      <c r="MCX409" s="172"/>
      <c r="MCY409" s="172"/>
      <c r="MCZ409" s="172"/>
      <c r="MDA409" s="172"/>
      <c r="MDB409" s="172"/>
      <c r="MDC409" s="172"/>
      <c r="MDD409" s="172"/>
      <c r="MDE409" s="172"/>
      <c r="MDF409" s="172"/>
      <c r="MDG409" s="172"/>
      <c r="MDH409" s="172"/>
      <c r="MDI409" s="172"/>
      <c r="MDJ409" s="172"/>
      <c r="MDK409" s="172"/>
      <c r="MDL409" s="172"/>
      <c r="MDM409" s="172"/>
      <c r="MDN409" s="172"/>
      <c r="MDO409" s="172"/>
      <c r="MDP409" s="172"/>
      <c r="MDQ409" s="172"/>
      <c r="MDR409" s="172"/>
      <c r="MDS409" s="172"/>
      <c r="MDT409" s="172"/>
      <c r="MDU409" s="172"/>
      <c r="MDV409" s="172"/>
      <c r="MDW409" s="172"/>
      <c r="MDX409" s="172"/>
      <c r="MDY409" s="172"/>
      <c r="MDZ409" s="172"/>
      <c r="MEA409" s="172"/>
      <c r="MEB409" s="172"/>
      <c r="MEC409" s="172"/>
      <c r="MED409" s="172"/>
      <c r="MEE409" s="172"/>
      <c r="MEF409" s="172"/>
      <c r="MEG409" s="172"/>
      <c r="MEH409" s="172"/>
      <c r="MEI409" s="172"/>
      <c r="MEJ409" s="172"/>
      <c r="MEK409" s="172"/>
      <c r="MEL409" s="172"/>
      <c r="MEM409" s="172"/>
      <c r="MEN409" s="172"/>
      <c r="MEO409" s="172"/>
      <c r="MEP409" s="172"/>
      <c r="MEQ409" s="172"/>
      <c r="MER409" s="172"/>
      <c r="MES409" s="172"/>
      <c r="MET409" s="172"/>
      <c r="MEU409" s="172"/>
      <c r="MEV409" s="172"/>
      <c r="MEW409" s="172"/>
      <c r="MEX409" s="172"/>
      <c r="MEY409" s="172"/>
      <c r="MEZ409" s="172"/>
      <c r="MFA409" s="172"/>
      <c r="MFB409" s="172"/>
      <c r="MFC409" s="172"/>
      <c r="MFD409" s="172"/>
      <c r="MFE409" s="172"/>
      <c r="MFF409" s="172"/>
      <c r="MFG409" s="172"/>
      <c r="MFH409" s="172"/>
      <c r="MFI409" s="172"/>
      <c r="MFJ409" s="172"/>
      <c r="MFK409" s="172"/>
      <c r="MFL409" s="172"/>
      <c r="MFM409" s="172"/>
      <c r="MFN409" s="172"/>
      <c r="MFO409" s="172"/>
      <c r="MFP409" s="172"/>
      <c r="MFQ409" s="172"/>
      <c r="MFR409" s="172"/>
      <c r="MFS409" s="172"/>
      <c r="MFT409" s="172"/>
      <c r="MFU409" s="172"/>
      <c r="MFV409" s="172"/>
      <c r="MFW409" s="172"/>
      <c r="MFX409" s="172"/>
      <c r="MFY409" s="172"/>
      <c r="MFZ409" s="172"/>
      <c r="MGA409" s="172"/>
      <c r="MGB409" s="172"/>
      <c r="MGC409" s="172"/>
      <c r="MGD409" s="172"/>
      <c r="MGE409" s="172"/>
      <c r="MGF409" s="172"/>
      <c r="MGG409" s="172"/>
      <c r="MGH409" s="172"/>
      <c r="MGI409" s="172"/>
      <c r="MGJ409" s="172"/>
      <c r="MGK409" s="172"/>
      <c r="MGL409" s="172"/>
      <c r="MGM409" s="172"/>
      <c r="MGN409" s="172"/>
      <c r="MGO409" s="172"/>
      <c r="MGP409" s="172"/>
      <c r="MGQ409" s="172"/>
      <c r="MGR409" s="172"/>
      <c r="MGS409" s="172"/>
      <c r="MGT409" s="172"/>
      <c r="MGU409" s="172"/>
      <c r="MGV409" s="172"/>
      <c r="MGW409" s="172"/>
      <c r="MGX409" s="172"/>
      <c r="MGY409" s="172"/>
      <c r="MGZ409" s="172"/>
      <c r="MHA409" s="172"/>
      <c r="MHB409" s="172"/>
      <c r="MHC409" s="172"/>
      <c r="MHD409" s="172"/>
      <c r="MHE409" s="172"/>
      <c r="MHF409" s="172"/>
      <c r="MHG409" s="172"/>
      <c r="MHH409" s="172"/>
      <c r="MHI409" s="172"/>
      <c r="MHJ409" s="172"/>
      <c r="MHK409" s="172"/>
      <c r="MHL409" s="172"/>
      <c r="MHM409" s="172"/>
      <c r="MHN409" s="172"/>
      <c r="MHO409" s="172"/>
      <c r="MHP409" s="172"/>
      <c r="MHQ409" s="172"/>
      <c r="MHR409" s="172"/>
      <c r="MHS409" s="172"/>
      <c r="MHT409" s="172"/>
      <c r="MHU409" s="172"/>
      <c r="MHV409" s="172"/>
      <c r="MHW409" s="172"/>
      <c r="MHX409" s="172"/>
      <c r="MHY409" s="172"/>
      <c r="MHZ409" s="172"/>
      <c r="MIA409" s="172"/>
      <c r="MIB409" s="172"/>
      <c r="MIC409" s="172"/>
      <c r="MID409" s="172"/>
      <c r="MIE409" s="172"/>
      <c r="MIF409" s="172"/>
      <c r="MIG409" s="172"/>
      <c r="MIH409" s="172"/>
      <c r="MII409" s="172"/>
      <c r="MIJ409" s="172"/>
      <c r="MIK409" s="172"/>
      <c r="MIL409" s="172"/>
      <c r="MIM409" s="172"/>
      <c r="MIN409" s="172"/>
      <c r="MIO409" s="172"/>
      <c r="MIP409" s="172"/>
      <c r="MIQ409" s="172"/>
      <c r="MIR409" s="172"/>
      <c r="MIS409" s="172"/>
      <c r="MIT409" s="172"/>
      <c r="MIU409" s="172"/>
      <c r="MIV409" s="172"/>
      <c r="MIW409" s="172"/>
      <c r="MIX409" s="172"/>
      <c r="MIY409" s="172"/>
      <c r="MIZ409" s="172"/>
      <c r="MJA409" s="172"/>
      <c r="MJB409" s="172"/>
      <c r="MJC409" s="172"/>
      <c r="MJD409" s="172"/>
      <c r="MJE409" s="172"/>
      <c r="MJF409" s="172"/>
      <c r="MJG409" s="172"/>
      <c r="MJH409" s="172"/>
      <c r="MJI409" s="172"/>
      <c r="MJJ409" s="172"/>
      <c r="MJK409" s="172"/>
      <c r="MJL409" s="172"/>
      <c r="MJM409" s="172"/>
      <c r="MJN409" s="172"/>
      <c r="MJO409" s="172"/>
      <c r="MJP409" s="172"/>
      <c r="MJQ409" s="172"/>
      <c r="MJR409" s="172"/>
      <c r="MJS409" s="172"/>
      <c r="MJT409" s="172"/>
      <c r="MJU409" s="172"/>
      <c r="MJV409" s="172"/>
      <c r="MJW409" s="172"/>
      <c r="MJX409" s="172"/>
      <c r="MJY409" s="172"/>
      <c r="MJZ409" s="172"/>
      <c r="MKA409" s="172"/>
      <c r="MKB409" s="172"/>
      <c r="MKC409" s="172"/>
      <c r="MKD409" s="172"/>
      <c r="MKE409" s="172"/>
      <c r="MKF409" s="172"/>
      <c r="MKG409" s="172"/>
      <c r="MKH409" s="172"/>
      <c r="MKI409" s="172"/>
      <c r="MKJ409" s="172"/>
      <c r="MKK409" s="172"/>
      <c r="MKL409" s="172"/>
      <c r="MKM409" s="172"/>
      <c r="MKN409" s="172"/>
      <c r="MKO409" s="172"/>
      <c r="MKP409" s="172"/>
      <c r="MKQ409" s="172"/>
      <c r="MKR409" s="172"/>
      <c r="MKS409" s="172"/>
      <c r="MKT409" s="172"/>
      <c r="MKU409" s="172"/>
      <c r="MKV409" s="172"/>
      <c r="MKW409" s="172"/>
      <c r="MKX409" s="172"/>
      <c r="MKY409" s="172"/>
      <c r="MKZ409" s="172"/>
      <c r="MLA409" s="172"/>
      <c r="MLB409" s="172"/>
      <c r="MLC409" s="172"/>
      <c r="MLD409" s="172"/>
      <c r="MLE409" s="172"/>
      <c r="MLF409" s="172"/>
      <c r="MLG409" s="172"/>
      <c r="MLH409" s="172"/>
      <c r="MLI409" s="172"/>
      <c r="MLJ409" s="172"/>
      <c r="MLK409" s="172"/>
      <c r="MLL409" s="172"/>
      <c r="MLM409" s="172"/>
      <c r="MLN409" s="172"/>
      <c r="MLO409" s="172"/>
      <c r="MLP409" s="172"/>
      <c r="MLQ409" s="172"/>
      <c r="MLR409" s="172"/>
      <c r="MLS409" s="172"/>
      <c r="MLT409" s="172"/>
      <c r="MLU409" s="172"/>
      <c r="MLV409" s="172"/>
      <c r="MLW409" s="172"/>
      <c r="MLX409" s="172"/>
      <c r="MLY409" s="172"/>
      <c r="MLZ409" s="172"/>
      <c r="MMA409" s="172"/>
      <c r="MMB409" s="172"/>
      <c r="MMC409" s="172"/>
      <c r="MMD409" s="172"/>
      <c r="MME409" s="172"/>
      <c r="MMF409" s="172"/>
      <c r="MMG409" s="172"/>
      <c r="MMH409" s="172"/>
      <c r="MMI409" s="172"/>
      <c r="MMJ409" s="172"/>
      <c r="MMK409" s="172"/>
      <c r="MML409" s="172"/>
      <c r="MMM409" s="172"/>
      <c r="MMN409" s="172"/>
      <c r="MMO409" s="172"/>
      <c r="MMP409" s="172"/>
      <c r="MMQ409" s="172"/>
      <c r="MMR409" s="172"/>
      <c r="MMS409" s="172"/>
      <c r="MMT409" s="172"/>
      <c r="MMU409" s="172"/>
      <c r="MMV409" s="172"/>
      <c r="MMW409" s="172"/>
      <c r="MMX409" s="172"/>
      <c r="MMY409" s="172"/>
      <c r="MMZ409" s="172"/>
      <c r="MNA409" s="172"/>
      <c r="MNB409" s="172"/>
      <c r="MNC409" s="172"/>
      <c r="MND409" s="172"/>
      <c r="MNE409" s="172"/>
      <c r="MNF409" s="172"/>
      <c r="MNG409" s="172"/>
      <c r="MNH409" s="172"/>
      <c r="MNI409" s="172"/>
      <c r="MNJ409" s="172"/>
      <c r="MNK409" s="172"/>
      <c r="MNL409" s="172"/>
      <c r="MNM409" s="172"/>
      <c r="MNN409" s="172"/>
      <c r="MNO409" s="172"/>
      <c r="MNP409" s="172"/>
      <c r="MNQ409" s="172"/>
      <c r="MNR409" s="172"/>
      <c r="MNS409" s="172"/>
      <c r="MNT409" s="172"/>
      <c r="MNU409" s="172"/>
      <c r="MNV409" s="172"/>
      <c r="MNW409" s="172"/>
      <c r="MNX409" s="172"/>
      <c r="MNY409" s="172"/>
      <c r="MNZ409" s="172"/>
      <c r="MOA409" s="172"/>
      <c r="MOB409" s="172"/>
      <c r="MOC409" s="172"/>
      <c r="MOD409" s="172"/>
      <c r="MOE409" s="172"/>
      <c r="MOF409" s="172"/>
      <c r="MOG409" s="172"/>
      <c r="MOH409" s="172"/>
      <c r="MOI409" s="172"/>
      <c r="MOJ409" s="172"/>
      <c r="MOK409" s="172"/>
      <c r="MOL409" s="172"/>
      <c r="MOM409" s="172"/>
      <c r="MON409" s="172"/>
      <c r="MOO409" s="172"/>
      <c r="MOP409" s="172"/>
      <c r="MOQ409" s="172"/>
      <c r="MOR409" s="172"/>
      <c r="MOS409" s="172"/>
      <c r="MOT409" s="172"/>
      <c r="MOU409" s="172"/>
      <c r="MOV409" s="172"/>
      <c r="MOW409" s="172"/>
      <c r="MOX409" s="172"/>
      <c r="MOY409" s="172"/>
      <c r="MOZ409" s="172"/>
      <c r="MPA409" s="172"/>
      <c r="MPB409" s="172"/>
      <c r="MPC409" s="172"/>
      <c r="MPD409" s="172"/>
      <c r="MPE409" s="172"/>
      <c r="MPF409" s="172"/>
      <c r="MPG409" s="172"/>
      <c r="MPH409" s="172"/>
      <c r="MPI409" s="172"/>
      <c r="MPJ409" s="172"/>
      <c r="MPK409" s="172"/>
      <c r="MPL409" s="172"/>
      <c r="MPM409" s="172"/>
      <c r="MPN409" s="172"/>
      <c r="MPO409" s="172"/>
      <c r="MPP409" s="172"/>
      <c r="MPQ409" s="172"/>
      <c r="MPR409" s="172"/>
      <c r="MPS409" s="172"/>
      <c r="MPT409" s="172"/>
      <c r="MPU409" s="172"/>
      <c r="MPV409" s="172"/>
      <c r="MPW409" s="172"/>
      <c r="MPX409" s="172"/>
      <c r="MPY409" s="172"/>
      <c r="MPZ409" s="172"/>
      <c r="MQA409" s="172"/>
      <c r="MQB409" s="172"/>
      <c r="MQC409" s="172"/>
      <c r="MQD409" s="172"/>
      <c r="MQE409" s="172"/>
      <c r="MQF409" s="172"/>
      <c r="MQG409" s="172"/>
      <c r="MQH409" s="172"/>
      <c r="MQI409" s="172"/>
      <c r="MQJ409" s="172"/>
      <c r="MQK409" s="172"/>
      <c r="MQL409" s="172"/>
      <c r="MQM409" s="172"/>
      <c r="MQN409" s="172"/>
      <c r="MQO409" s="172"/>
      <c r="MQP409" s="172"/>
      <c r="MQQ409" s="172"/>
      <c r="MQR409" s="172"/>
      <c r="MQS409" s="172"/>
      <c r="MQT409" s="172"/>
      <c r="MQU409" s="172"/>
      <c r="MQV409" s="172"/>
      <c r="MQW409" s="172"/>
      <c r="MQX409" s="172"/>
      <c r="MQY409" s="172"/>
      <c r="MQZ409" s="172"/>
      <c r="MRA409" s="172"/>
      <c r="MRB409" s="172"/>
      <c r="MRC409" s="172"/>
      <c r="MRD409" s="172"/>
      <c r="MRE409" s="172"/>
      <c r="MRF409" s="172"/>
      <c r="MRG409" s="172"/>
      <c r="MRH409" s="172"/>
      <c r="MRI409" s="172"/>
      <c r="MRJ409" s="172"/>
      <c r="MRK409" s="172"/>
      <c r="MRL409" s="172"/>
      <c r="MRM409" s="172"/>
      <c r="MRN409" s="172"/>
      <c r="MRO409" s="172"/>
      <c r="MRP409" s="172"/>
      <c r="MRQ409" s="172"/>
      <c r="MRR409" s="172"/>
      <c r="MRS409" s="172"/>
      <c r="MRT409" s="172"/>
      <c r="MRU409" s="172"/>
      <c r="MRV409" s="172"/>
      <c r="MRW409" s="172"/>
      <c r="MRX409" s="172"/>
      <c r="MRY409" s="172"/>
      <c r="MRZ409" s="172"/>
      <c r="MSA409" s="172"/>
      <c r="MSB409" s="172"/>
      <c r="MSC409" s="172"/>
      <c r="MSD409" s="172"/>
      <c r="MSE409" s="172"/>
      <c r="MSF409" s="172"/>
      <c r="MSG409" s="172"/>
      <c r="MSH409" s="172"/>
      <c r="MSI409" s="172"/>
      <c r="MSJ409" s="172"/>
      <c r="MSK409" s="172"/>
      <c r="MSL409" s="172"/>
      <c r="MSM409" s="172"/>
      <c r="MSN409" s="172"/>
      <c r="MSO409" s="172"/>
      <c r="MSP409" s="172"/>
      <c r="MSQ409" s="172"/>
      <c r="MSR409" s="172"/>
      <c r="MSS409" s="172"/>
      <c r="MST409" s="172"/>
      <c r="MSU409" s="172"/>
      <c r="MSV409" s="172"/>
      <c r="MSW409" s="172"/>
      <c r="MSX409" s="172"/>
      <c r="MSY409" s="172"/>
      <c r="MSZ409" s="172"/>
      <c r="MTA409" s="172"/>
      <c r="MTB409" s="172"/>
      <c r="MTC409" s="172"/>
      <c r="MTD409" s="172"/>
      <c r="MTE409" s="172"/>
      <c r="MTF409" s="172"/>
      <c r="MTG409" s="172"/>
      <c r="MTH409" s="172"/>
      <c r="MTI409" s="172"/>
      <c r="MTJ409" s="172"/>
      <c r="MTK409" s="172"/>
      <c r="MTL409" s="172"/>
      <c r="MTM409" s="172"/>
      <c r="MTN409" s="172"/>
      <c r="MTO409" s="172"/>
      <c r="MTP409" s="172"/>
      <c r="MTQ409" s="172"/>
      <c r="MTR409" s="172"/>
      <c r="MTS409" s="172"/>
      <c r="MTT409" s="172"/>
      <c r="MTU409" s="172"/>
      <c r="MTV409" s="172"/>
      <c r="MTW409" s="172"/>
      <c r="MTX409" s="172"/>
      <c r="MTY409" s="172"/>
      <c r="MTZ409" s="172"/>
      <c r="MUA409" s="172"/>
      <c r="MUB409" s="172"/>
      <c r="MUC409" s="172"/>
      <c r="MUD409" s="172"/>
      <c r="MUE409" s="172"/>
      <c r="MUF409" s="172"/>
      <c r="MUG409" s="172"/>
      <c r="MUH409" s="172"/>
      <c r="MUI409" s="172"/>
      <c r="MUJ409" s="172"/>
      <c r="MUK409" s="172"/>
      <c r="MUL409" s="172"/>
      <c r="MUM409" s="172"/>
      <c r="MUN409" s="172"/>
      <c r="MUO409" s="172"/>
      <c r="MUP409" s="172"/>
      <c r="MUQ409" s="172"/>
      <c r="MUR409" s="172"/>
      <c r="MUS409" s="172"/>
      <c r="MUT409" s="172"/>
      <c r="MUU409" s="172"/>
      <c r="MUV409" s="172"/>
      <c r="MUW409" s="172"/>
      <c r="MUX409" s="172"/>
      <c r="MUY409" s="172"/>
      <c r="MUZ409" s="172"/>
      <c r="MVA409" s="172"/>
      <c r="MVB409" s="172"/>
      <c r="MVC409" s="172"/>
      <c r="MVD409" s="172"/>
      <c r="MVE409" s="172"/>
      <c r="MVF409" s="172"/>
      <c r="MVG409" s="172"/>
      <c r="MVH409" s="172"/>
      <c r="MVI409" s="172"/>
      <c r="MVJ409" s="172"/>
      <c r="MVK409" s="172"/>
      <c r="MVL409" s="172"/>
      <c r="MVM409" s="172"/>
      <c r="MVN409" s="172"/>
      <c r="MVO409" s="172"/>
      <c r="MVP409" s="172"/>
      <c r="MVQ409" s="172"/>
      <c r="MVR409" s="172"/>
      <c r="MVS409" s="172"/>
      <c r="MVT409" s="172"/>
      <c r="MVU409" s="172"/>
      <c r="MVV409" s="172"/>
      <c r="MVW409" s="172"/>
      <c r="MVX409" s="172"/>
      <c r="MVY409" s="172"/>
      <c r="MVZ409" s="172"/>
      <c r="MWA409" s="172"/>
      <c r="MWB409" s="172"/>
      <c r="MWC409" s="172"/>
      <c r="MWD409" s="172"/>
      <c r="MWE409" s="172"/>
      <c r="MWF409" s="172"/>
      <c r="MWG409" s="172"/>
      <c r="MWH409" s="172"/>
      <c r="MWI409" s="172"/>
      <c r="MWJ409" s="172"/>
      <c r="MWK409" s="172"/>
      <c r="MWL409" s="172"/>
      <c r="MWM409" s="172"/>
      <c r="MWN409" s="172"/>
      <c r="MWO409" s="172"/>
      <c r="MWP409" s="172"/>
      <c r="MWQ409" s="172"/>
      <c r="MWR409" s="172"/>
      <c r="MWS409" s="172"/>
      <c r="MWT409" s="172"/>
      <c r="MWU409" s="172"/>
      <c r="MWV409" s="172"/>
      <c r="MWW409" s="172"/>
      <c r="MWX409" s="172"/>
      <c r="MWY409" s="172"/>
      <c r="MWZ409" s="172"/>
      <c r="MXA409" s="172"/>
      <c r="MXB409" s="172"/>
      <c r="MXC409" s="172"/>
      <c r="MXD409" s="172"/>
      <c r="MXE409" s="172"/>
      <c r="MXF409" s="172"/>
      <c r="MXG409" s="172"/>
      <c r="MXH409" s="172"/>
      <c r="MXI409" s="172"/>
      <c r="MXJ409" s="172"/>
      <c r="MXK409" s="172"/>
      <c r="MXL409" s="172"/>
      <c r="MXM409" s="172"/>
      <c r="MXN409" s="172"/>
      <c r="MXO409" s="172"/>
      <c r="MXP409" s="172"/>
      <c r="MXQ409" s="172"/>
      <c r="MXR409" s="172"/>
      <c r="MXS409" s="172"/>
      <c r="MXT409" s="172"/>
      <c r="MXU409" s="172"/>
      <c r="MXV409" s="172"/>
      <c r="MXW409" s="172"/>
      <c r="MXX409" s="172"/>
      <c r="MXY409" s="172"/>
      <c r="MXZ409" s="172"/>
      <c r="MYA409" s="172"/>
      <c r="MYB409" s="172"/>
      <c r="MYC409" s="172"/>
      <c r="MYD409" s="172"/>
      <c r="MYE409" s="172"/>
      <c r="MYF409" s="172"/>
      <c r="MYG409" s="172"/>
      <c r="MYH409" s="172"/>
      <c r="MYI409" s="172"/>
      <c r="MYJ409" s="172"/>
      <c r="MYK409" s="172"/>
      <c r="MYL409" s="172"/>
      <c r="MYM409" s="172"/>
      <c r="MYN409" s="172"/>
      <c r="MYO409" s="172"/>
      <c r="MYP409" s="172"/>
      <c r="MYQ409" s="172"/>
      <c r="MYR409" s="172"/>
      <c r="MYS409" s="172"/>
      <c r="MYT409" s="172"/>
      <c r="MYU409" s="172"/>
      <c r="MYV409" s="172"/>
      <c r="MYW409" s="172"/>
      <c r="MYX409" s="172"/>
      <c r="MYY409" s="172"/>
      <c r="MYZ409" s="172"/>
      <c r="MZA409" s="172"/>
      <c r="MZB409" s="172"/>
      <c r="MZC409" s="172"/>
      <c r="MZD409" s="172"/>
      <c r="MZE409" s="172"/>
      <c r="MZF409" s="172"/>
      <c r="MZG409" s="172"/>
      <c r="MZH409" s="172"/>
      <c r="MZI409" s="172"/>
      <c r="MZJ409" s="172"/>
      <c r="MZK409" s="172"/>
      <c r="MZL409" s="172"/>
      <c r="MZM409" s="172"/>
      <c r="MZN409" s="172"/>
      <c r="MZO409" s="172"/>
      <c r="MZP409" s="172"/>
      <c r="MZQ409" s="172"/>
      <c r="MZR409" s="172"/>
      <c r="MZS409" s="172"/>
      <c r="MZT409" s="172"/>
      <c r="MZU409" s="172"/>
      <c r="MZV409" s="172"/>
      <c r="MZW409" s="172"/>
      <c r="MZX409" s="172"/>
      <c r="MZY409" s="172"/>
      <c r="MZZ409" s="172"/>
      <c r="NAA409" s="172"/>
      <c r="NAB409" s="172"/>
      <c r="NAC409" s="172"/>
      <c r="NAD409" s="172"/>
      <c r="NAE409" s="172"/>
      <c r="NAF409" s="172"/>
      <c r="NAG409" s="172"/>
      <c r="NAH409" s="172"/>
      <c r="NAI409" s="172"/>
      <c r="NAJ409" s="172"/>
      <c r="NAK409" s="172"/>
      <c r="NAL409" s="172"/>
      <c r="NAM409" s="172"/>
      <c r="NAN409" s="172"/>
      <c r="NAO409" s="172"/>
      <c r="NAP409" s="172"/>
      <c r="NAQ409" s="172"/>
      <c r="NAR409" s="172"/>
      <c r="NAS409" s="172"/>
      <c r="NAT409" s="172"/>
      <c r="NAU409" s="172"/>
      <c r="NAV409" s="172"/>
      <c r="NAW409" s="172"/>
      <c r="NAX409" s="172"/>
      <c r="NAY409" s="172"/>
      <c r="NAZ409" s="172"/>
      <c r="NBA409" s="172"/>
      <c r="NBB409" s="172"/>
      <c r="NBC409" s="172"/>
      <c r="NBD409" s="172"/>
      <c r="NBE409" s="172"/>
      <c r="NBF409" s="172"/>
      <c r="NBG409" s="172"/>
      <c r="NBH409" s="172"/>
      <c r="NBI409" s="172"/>
      <c r="NBJ409" s="172"/>
      <c r="NBK409" s="172"/>
      <c r="NBL409" s="172"/>
      <c r="NBM409" s="172"/>
      <c r="NBN409" s="172"/>
      <c r="NBO409" s="172"/>
      <c r="NBP409" s="172"/>
      <c r="NBQ409" s="172"/>
      <c r="NBR409" s="172"/>
      <c r="NBS409" s="172"/>
      <c r="NBT409" s="172"/>
      <c r="NBU409" s="172"/>
      <c r="NBV409" s="172"/>
      <c r="NBW409" s="172"/>
      <c r="NBX409" s="172"/>
      <c r="NBY409" s="172"/>
      <c r="NBZ409" s="172"/>
      <c r="NCA409" s="172"/>
      <c r="NCB409" s="172"/>
      <c r="NCC409" s="172"/>
      <c r="NCD409" s="172"/>
      <c r="NCE409" s="172"/>
      <c r="NCF409" s="172"/>
      <c r="NCG409" s="172"/>
      <c r="NCH409" s="172"/>
      <c r="NCI409" s="172"/>
      <c r="NCJ409" s="172"/>
      <c r="NCK409" s="172"/>
      <c r="NCL409" s="172"/>
      <c r="NCM409" s="172"/>
      <c r="NCN409" s="172"/>
      <c r="NCO409" s="172"/>
      <c r="NCP409" s="172"/>
      <c r="NCQ409" s="172"/>
      <c r="NCR409" s="172"/>
      <c r="NCS409" s="172"/>
      <c r="NCT409" s="172"/>
      <c r="NCU409" s="172"/>
      <c r="NCV409" s="172"/>
      <c r="NCW409" s="172"/>
      <c r="NCX409" s="172"/>
      <c r="NCY409" s="172"/>
      <c r="NCZ409" s="172"/>
      <c r="NDA409" s="172"/>
      <c r="NDB409" s="172"/>
      <c r="NDC409" s="172"/>
      <c r="NDD409" s="172"/>
      <c r="NDE409" s="172"/>
      <c r="NDF409" s="172"/>
      <c r="NDG409" s="172"/>
      <c r="NDH409" s="172"/>
      <c r="NDI409" s="172"/>
      <c r="NDJ409" s="172"/>
      <c r="NDK409" s="172"/>
      <c r="NDL409" s="172"/>
      <c r="NDM409" s="172"/>
      <c r="NDN409" s="172"/>
      <c r="NDO409" s="172"/>
      <c r="NDP409" s="172"/>
      <c r="NDQ409" s="172"/>
      <c r="NDR409" s="172"/>
      <c r="NDS409" s="172"/>
      <c r="NDT409" s="172"/>
      <c r="NDU409" s="172"/>
      <c r="NDV409" s="172"/>
      <c r="NDW409" s="172"/>
      <c r="NDX409" s="172"/>
      <c r="NDY409" s="172"/>
      <c r="NDZ409" s="172"/>
      <c r="NEA409" s="172"/>
      <c r="NEB409" s="172"/>
      <c r="NEC409" s="172"/>
      <c r="NED409" s="172"/>
      <c r="NEE409" s="172"/>
      <c r="NEF409" s="172"/>
      <c r="NEG409" s="172"/>
      <c r="NEH409" s="172"/>
      <c r="NEI409" s="172"/>
      <c r="NEJ409" s="172"/>
      <c r="NEK409" s="172"/>
      <c r="NEL409" s="172"/>
      <c r="NEM409" s="172"/>
      <c r="NEN409" s="172"/>
      <c r="NEO409" s="172"/>
      <c r="NEP409" s="172"/>
      <c r="NEQ409" s="172"/>
      <c r="NER409" s="172"/>
      <c r="NES409" s="172"/>
      <c r="NET409" s="172"/>
      <c r="NEU409" s="172"/>
      <c r="NEV409" s="172"/>
      <c r="NEW409" s="172"/>
      <c r="NEX409" s="172"/>
      <c r="NEY409" s="172"/>
      <c r="NEZ409" s="172"/>
      <c r="NFA409" s="172"/>
      <c r="NFB409" s="172"/>
      <c r="NFC409" s="172"/>
      <c r="NFD409" s="172"/>
      <c r="NFE409" s="172"/>
      <c r="NFF409" s="172"/>
      <c r="NFG409" s="172"/>
      <c r="NFH409" s="172"/>
      <c r="NFI409" s="172"/>
      <c r="NFJ409" s="172"/>
      <c r="NFK409" s="172"/>
      <c r="NFL409" s="172"/>
      <c r="NFM409" s="172"/>
      <c r="NFN409" s="172"/>
      <c r="NFO409" s="172"/>
      <c r="NFP409" s="172"/>
      <c r="NFQ409" s="172"/>
      <c r="NFR409" s="172"/>
      <c r="NFS409" s="172"/>
      <c r="NFT409" s="172"/>
      <c r="NFU409" s="172"/>
      <c r="NFV409" s="172"/>
      <c r="NFW409" s="172"/>
      <c r="NFX409" s="172"/>
      <c r="NFY409" s="172"/>
      <c r="NFZ409" s="172"/>
      <c r="NGA409" s="172"/>
      <c r="NGB409" s="172"/>
      <c r="NGC409" s="172"/>
      <c r="NGD409" s="172"/>
      <c r="NGE409" s="172"/>
      <c r="NGF409" s="172"/>
      <c r="NGG409" s="172"/>
      <c r="NGH409" s="172"/>
      <c r="NGI409" s="172"/>
      <c r="NGJ409" s="172"/>
      <c r="NGK409" s="172"/>
      <c r="NGL409" s="172"/>
      <c r="NGM409" s="172"/>
      <c r="NGN409" s="172"/>
      <c r="NGO409" s="172"/>
      <c r="NGP409" s="172"/>
      <c r="NGQ409" s="172"/>
      <c r="NGR409" s="172"/>
      <c r="NGS409" s="172"/>
      <c r="NGT409" s="172"/>
      <c r="NGU409" s="172"/>
      <c r="NGV409" s="172"/>
      <c r="NGW409" s="172"/>
      <c r="NGX409" s="172"/>
      <c r="NGY409" s="172"/>
      <c r="NGZ409" s="172"/>
      <c r="NHA409" s="172"/>
      <c r="NHB409" s="172"/>
      <c r="NHC409" s="172"/>
      <c r="NHD409" s="172"/>
      <c r="NHE409" s="172"/>
      <c r="NHF409" s="172"/>
      <c r="NHG409" s="172"/>
      <c r="NHH409" s="172"/>
      <c r="NHI409" s="172"/>
      <c r="NHJ409" s="172"/>
      <c r="NHK409" s="172"/>
      <c r="NHL409" s="172"/>
      <c r="NHM409" s="172"/>
      <c r="NHN409" s="172"/>
      <c r="NHO409" s="172"/>
      <c r="NHP409" s="172"/>
      <c r="NHQ409" s="172"/>
      <c r="NHR409" s="172"/>
      <c r="NHS409" s="172"/>
      <c r="NHT409" s="172"/>
      <c r="NHU409" s="172"/>
      <c r="NHV409" s="172"/>
      <c r="NHW409" s="172"/>
      <c r="NHX409" s="172"/>
      <c r="NHY409" s="172"/>
      <c r="NHZ409" s="172"/>
      <c r="NIA409" s="172"/>
      <c r="NIB409" s="172"/>
      <c r="NIC409" s="172"/>
      <c r="NID409" s="172"/>
      <c r="NIE409" s="172"/>
      <c r="NIF409" s="172"/>
      <c r="NIG409" s="172"/>
      <c r="NIH409" s="172"/>
      <c r="NII409" s="172"/>
      <c r="NIJ409" s="172"/>
      <c r="NIK409" s="172"/>
      <c r="NIL409" s="172"/>
      <c r="NIM409" s="172"/>
      <c r="NIN409" s="172"/>
      <c r="NIO409" s="172"/>
      <c r="NIP409" s="172"/>
      <c r="NIQ409" s="172"/>
      <c r="NIR409" s="172"/>
      <c r="NIS409" s="172"/>
      <c r="NIT409" s="172"/>
      <c r="NIU409" s="172"/>
      <c r="NIV409" s="172"/>
      <c r="NIW409" s="172"/>
      <c r="NIX409" s="172"/>
      <c r="NIY409" s="172"/>
      <c r="NIZ409" s="172"/>
      <c r="NJA409" s="172"/>
      <c r="NJB409" s="172"/>
      <c r="NJC409" s="172"/>
      <c r="NJD409" s="172"/>
      <c r="NJE409" s="172"/>
      <c r="NJF409" s="172"/>
      <c r="NJG409" s="172"/>
      <c r="NJH409" s="172"/>
      <c r="NJI409" s="172"/>
      <c r="NJJ409" s="172"/>
      <c r="NJK409" s="172"/>
      <c r="NJL409" s="172"/>
      <c r="NJM409" s="172"/>
      <c r="NJN409" s="172"/>
      <c r="NJO409" s="172"/>
      <c r="NJP409" s="172"/>
      <c r="NJQ409" s="172"/>
      <c r="NJR409" s="172"/>
      <c r="NJS409" s="172"/>
      <c r="NJT409" s="172"/>
      <c r="NJU409" s="172"/>
      <c r="NJV409" s="172"/>
      <c r="NJW409" s="172"/>
      <c r="NJX409" s="172"/>
      <c r="NJY409" s="172"/>
      <c r="NJZ409" s="172"/>
      <c r="NKA409" s="172"/>
      <c r="NKB409" s="172"/>
      <c r="NKC409" s="172"/>
      <c r="NKD409" s="172"/>
      <c r="NKE409" s="172"/>
      <c r="NKF409" s="172"/>
      <c r="NKG409" s="172"/>
      <c r="NKH409" s="172"/>
      <c r="NKI409" s="172"/>
      <c r="NKJ409" s="172"/>
      <c r="NKK409" s="172"/>
      <c r="NKL409" s="172"/>
      <c r="NKM409" s="172"/>
      <c r="NKN409" s="172"/>
      <c r="NKO409" s="172"/>
      <c r="NKP409" s="172"/>
      <c r="NKQ409" s="172"/>
      <c r="NKR409" s="172"/>
      <c r="NKS409" s="172"/>
      <c r="NKT409" s="172"/>
      <c r="NKU409" s="172"/>
      <c r="NKV409" s="172"/>
      <c r="NKW409" s="172"/>
      <c r="NKX409" s="172"/>
      <c r="NKY409" s="172"/>
      <c r="NKZ409" s="172"/>
      <c r="NLA409" s="172"/>
      <c r="NLB409" s="172"/>
      <c r="NLC409" s="172"/>
      <c r="NLD409" s="172"/>
      <c r="NLE409" s="172"/>
      <c r="NLF409" s="172"/>
      <c r="NLG409" s="172"/>
      <c r="NLH409" s="172"/>
      <c r="NLI409" s="172"/>
      <c r="NLJ409" s="172"/>
      <c r="NLK409" s="172"/>
      <c r="NLL409" s="172"/>
      <c r="NLM409" s="172"/>
      <c r="NLN409" s="172"/>
      <c r="NLO409" s="172"/>
      <c r="NLP409" s="172"/>
      <c r="NLQ409" s="172"/>
      <c r="NLR409" s="172"/>
      <c r="NLS409" s="172"/>
      <c r="NLT409" s="172"/>
      <c r="NLU409" s="172"/>
      <c r="NLV409" s="172"/>
      <c r="NLW409" s="172"/>
      <c r="NLX409" s="172"/>
      <c r="NLY409" s="172"/>
      <c r="NLZ409" s="172"/>
      <c r="NMA409" s="172"/>
      <c r="NMB409" s="172"/>
      <c r="NMC409" s="172"/>
      <c r="NMD409" s="172"/>
      <c r="NME409" s="172"/>
      <c r="NMF409" s="172"/>
      <c r="NMG409" s="172"/>
      <c r="NMH409" s="172"/>
      <c r="NMI409" s="172"/>
      <c r="NMJ409" s="172"/>
      <c r="NMK409" s="172"/>
      <c r="NML409" s="172"/>
      <c r="NMM409" s="172"/>
      <c r="NMN409" s="172"/>
      <c r="NMO409" s="172"/>
      <c r="NMP409" s="172"/>
      <c r="NMQ409" s="172"/>
      <c r="NMR409" s="172"/>
      <c r="NMS409" s="172"/>
      <c r="NMT409" s="172"/>
      <c r="NMU409" s="172"/>
      <c r="NMV409" s="172"/>
      <c r="NMW409" s="172"/>
      <c r="NMX409" s="172"/>
      <c r="NMY409" s="172"/>
      <c r="NMZ409" s="172"/>
      <c r="NNA409" s="172"/>
      <c r="NNB409" s="172"/>
      <c r="NNC409" s="172"/>
      <c r="NND409" s="172"/>
      <c r="NNE409" s="172"/>
      <c r="NNF409" s="172"/>
      <c r="NNG409" s="172"/>
      <c r="NNH409" s="172"/>
      <c r="NNI409" s="172"/>
      <c r="NNJ409" s="172"/>
      <c r="NNK409" s="172"/>
      <c r="NNL409" s="172"/>
      <c r="NNM409" s="172"/>
      <c r="NNN409" s="172"/>
      <c r="NNO409" s="172"/>
      <c r="NNP409" s="172"/>
      <c r="NNQ409" s="172"/>
      <c r="NNR409" s="172"/>
      <c r="NNS409" s="172"/>
      <c r="NNT409" s="172"/>
      <c r="NNU409" s="172"/>
      <c r="NNV409" s="172"/>
      <c r="NNW409" s="172"/>
      <c r="NNX409" s="172"/>
      <c r="NNY409" s="172"/>
      <c r="NNZ409" s="172"/>
      <c r="NOA409" s="172"/>
      <c r="NOB409" s="172"/>
      <c r="NOC409" s="172"/>
      <c r="NOD409" s="172"/>
      <c r="NOE409" s="172"/>
      <c r="NOF409" s="172"/>
      <c r="NOG409" s="172"/>
      <c r="NOH409" s="172"/>
      <c r="NOI409" s="172"/>
      <c r="NOJ409" s="172"/>
      <c r="NOK409" s="172"/>
      <c r="NOL409" s="172"/>
      <c r="NOM409" s="172"/>
      <c r="NON409" s="172"/>
      <c r="NOO409" s="172"/>
      <c r="NOP409" s="172"/>
      <c r="NOQ409" s="172"/>
      <c r="NOR409" s="172"/>
      <c r="NOS409" s="172"/>
      <c r="NOT409" s="172"/>
      <c r="NOU409" s="172"/>
      <c r="NOV409" s="172"/>
      <c r="NOW409" s="172"/>
      <c r="NOX409" s="172"/>
      <c r="NOY409" s="172"/>
      <c r="NOZ409" s="172"/>
      <c r="NPA409" s="172"/>
      <c r="NPB409" s="172"/>
      <c r="NPC409" s="172"/>
      <c r="NPD409" s="172"/>
      <c r="NPE409" s="172"/>
      <c r="NPF409" s="172"/>
      <c r="NPG409" s="172"/>
      <c r="NPH409" s="172"/>
      <c r="NPI409" s="172"/>
      <c r="NPJ409" s="172"/>
      <c r="NPK409" s="172"/>
      <c r="NPL409" s="172"/>
      <c r="NPM409" s="172"/>
      <c r="NPN409" s="172"/>
      <c r="NPO409" s="172"/>
      <c r="NPP409" s="172"/>
      <c r="NPQ409" s="172"/>
      <c r="NPR409" s="172"/>
      <c r="NPS409" s="172"/>
      <c r="NPT409" s="172"/>
      <c r="NPU409" s="172"/>
      <c r="NPV409" s="172"/>
      <c r="NPW409" s="172"/>
      <c r="NPX409" s="172"/>
      <c r="NPY409" s="172"/>
      <c r="NPZ409" s="172"/>
      <c r="NQA409" s="172"/>
      <c r="NQB409" s="172"/>
      <c r="NQC409" s="172"/>
      <c r="NQD409" s="172"/>
      <c r="NQE409" s="172"/>
      <c r="NQF409" s="172"/>
      <c r="NQG409" s="172"/>
      <c r="NQH409" s="172"/>
      <c r="NQI409" s="172"/>
      <c r="NQJ409" s="172"/>
      <c r="NQK409" s="172"/>
      <c r="NQL409" s="172"/>
      <c r="NQM409" s="172"/>
      <c r="NQN409" s="172"/>
      <c r="NQO409" s="172"/>
      <c r="NQP409" s="172"/>
      <c r="NQQ409" s="172"/>
      <c r="NQR409" s="172"/>
      <c r="NQS409" s="172"/>
      <c r="NQT409" s="172"/>
      <c r="NQU409" s="172"/>
      <c r="NQV409" s="172"/>
      <c r="NQW409" s="172"/>
      <c r="NQX409" s="172"/>
      <c r="NQY409" s="172"/>
      <c r="NQZ409" s="172"/>
      <c r="NRA409" s="172"/>
      <c r="NRB409" s="172"/>
      <c r="NRC409" s="172"/>
      <c r="NRD409" s="172"/>
      <c r="NRE409" s="172"/>
      <c r="NRF409" s="172"/>
      <c r="NRG409" s="172"/>
      <c r="NRH409" s="172"/>
      <c r="NRI409" s="172"/>
      <c r="NRJ409" s="172"/>
      <c r="NRK409" s="172"/>
      <c r="NRL409" s="172"/>
      <c r="NRM409" s="172"/>
      <c r="NRN409" s="172"/>
      <c r="NRO409" s="172"/>
      <c r="NRP409" s="172"/>
      <c r="NRQ409" s="172"/>
      <c r="NRR409" s="172"/>
      <c r="NRS409" s="172"/>
      <c r="NRT409" s="172"/>
      <c r="NRU409" s="172"/>
      <c r="NRV409" s="172"/>
      <c r="NRW409" s="172"/>
      <c r="NRX409" s="172"/>
      <c r="NRY409" s="172"/>
      <c r="NRZ409" s="172"/>
      <c r="NSA409" s="172"/>
      <c r="NSB409" s="172"/>
      <c r="NSC409" s="172"/>
      <c r="NSD409" s="172"/>
      <c r="NSE409" s="172"/>
      <c r="NSF409" s="172"/>
      <c r="NSG409" s="172"/>
      <c r="NSH409" s="172"/>
      <c r="NSI409" s="172"/>
      <c r="NSJ409" s="172"/>
      <c r="NSK409" s="172"/>
      <c r="NSL409" s="172"/>
      <c r="NSM409" s="172"/>
      <c r="NSN409" s="172"/>
      <c r="NSO409" s="172"/>
      <c r="NSP409" s="172"/>
      <c r="NSQ409" s="172"/>
      <c r="NSR409" s="172"/>
      <c r="NSS409" s="172"/>
      <c r="NST409" s="172"/>
      <c r="NSU409" s="172"/>
      <c r="NSV409" s="172"/>
      <c r="NSW409" s="172"/>
      <c r="NSX409" s="172"/>
      <c r="NSY409" s="172"/>
      <c r="NSZ409" s="172"/>
      <c r="NTA409" s="172"/>
      <c r="NTB409" s="172"/>
      <c r="NTC409" s="172"/>
      <c r="NTD409" s="172"/>
      <c r="NTE409" s="172"/>
      <c r="NTF409" s="172"/>
      <c r="NTG409" s="172"/>
      <c r="NTH409" s="172"/>
      <c r="NTI409" s="172"/>
      <c r="NTJ409" s="172"/>
      <c r="NTK409" s="172"/>
      <c r="NTL409" s="172"/>
      <c r="NTM409" s="172"/>
      <c r="NTN409" s="172"/>
      <c r="NTO409" s="172"/>
      <c r="NTP409" s="172"/>
      <c r="NTQ409" s="172"/>
      <c r="NTR409" s="172"/>
      <c r="NTS409" s="172"/>
      <c r="NTT409" s="172"/>
      <c r="NTU409" s="172"/>
      <c r="NTV409" s="172"/>
      <c r="NTW409" s="172"/>
      <c r="NTX409" s="172"/>
      <c r="NTY409" s="172"/>
      <c r="NTZ409" s="172"/>
      <c r="NUA409" s="172"/>
      <c r="NUB409" s="172"/>
      <c r="NUC409" s="172"/>
      <c r="NUD409" s="172"/>
      <c r="NUE409" s="172"/>
      <c r="NUF409" s="172"/>
      <c r="NUG409" s="172"/>
      <c r="NUH409" s="172"/>
      <c r="NUI409" s="172"/>
      <c r="NUJ409" s="172"/>
      <c r="NUK409" s="172"/>
      <c r="NUL409" s="172"/>
      <c r="NUM409" s="172"/>
      <c r="NUN409" s="172"/>
      <c r="NUO409" s="172"/>
      <c r="NUP409" s="172"/>
      <c r="NUQ409" s="172"/>
      <c r="NUR409" s="172"/>
      <c r="NUS409" s="172"/>
      <c r="NUT409" s="172"/>
      <c r="NUU409" s="172"/>
      <c r="NUV409" s="172"/>
      <c r="NUW409" s="172"/>
      <c r="NUX409" s="172"/>
      <c r="NUY409" s="172"/>
      <c r="NUZ409" s="172"/>
      <c r="NVA409" s="172"/>
      <c r="NVB409" s="172"/>
      <c r="NVC409" s="172"/>
      <c r="NVD409" s="172"/>
      <c r="NVE409" s="172"/>
      <c r="NVF409" s="172"/>
      <c r="NVG409" s="172"/>
      <c r="NVH409" s="172"/>
      <c r="NVI409" s="172"/>
      <c r="NVJ409" s="172"/>
      <c r="NVK409" s="172"/>
      <c r="NVL409" s="172"/>
      <c r="NVM409" s="172"/>
      <c r="NVN409" s="172"/>
      <c r="NVO409" s="172"/>
      <c r="NVP409" s="172"/>
      <c r="NVQ409" s="172"/>
      <c r="NVR409" s="172"/>
      <c r="NVS409" s="172"/>
      <c r="NVT409" s="172"/>
      <c r="NVU409" s="172"/>
      <c r="NVV409" s="172"/>
      <c r="NVW409" s="172"/>
      <c r="NVX409" s="172"/>
      <c r="NVY409" s="172"/>
      <c r="NVZ409" s="172"/>
      <c r="NWA409" s="172"/>
      <c r="NWB409" s="172"/>
      <c r="NWC409" s="172"/>
      <c r="NWD409" s="172"/>
      <c r="NWE409" s="172"/>
      <c r="NWF409" s="172"/>
      <c r="NWG409" s="172"/>
      <c r="NWH409" s="172"/>
      <c r="NWI409" s="172"/>
      <c r="NWJ409" s="172"/>
      <c r="NWK409" s="172"/>
      <c r="NWL409" s="172"/>
      <c r="NWM409" s="172"/>
      <c r="NWN409" s="172"/>
      <c r="NWO409" s="172"/>
      <c r="NWP409" s="172"/>
      <c r="NWQ409" s="172"/>
      <c r="NWR409" s="172"/>
      <c r="NWS409" s="172"/>
      <c r="NWT409" s="172"/>
      <c r="NWU409" s="172"/>
      <c r="NWV409" s="172"/>
      <c r="NWW409" s="172"/>
      <c r="NWX409" s="172"/>
      <c r="NWY409" s="172"/>
      <c r="NWZ409" s="172"/>
      <c r="NXA409" s="172"/>
      <c r="NXB409" s="172"/>
      <c r="NXC409" s="172"/>
      <c r="NXD409" s="172"/>
      <c r="NXE409" s="172"/>
      <c r="NXF409" s="172"/>
      <c r="NXG409" s="172"/>
      <c r="NXH409" s="172"/>
      <c r="NXI409" s="172"/>
      <c r="NXJ409" s="172"/>
      <c r="NXK409" s="172"/>
      <c r="NXL409" s="172"/>
      <c r="NXM409" s="172"/>
      <c r="NXN409" s="172"/>
      <c r="NXO409" s="172"/>
      <c r="NXP409" s="172"/>
      <c r="NXQ409" s="172"/>
      <c r="NXR409" s="172"/>
      <c r="NXS409" s="172"/>
      <c r="NXT409" s="172"/>
      <c r="NXU409" s="172"/>
      <c r="NXV409" s="172"/>
      <c r="NXW409" s="172"/>
      <c r="NXX409" s="172"/>
      <c r="NXY409" s="172"/>
      <c r="NXZ409" s="172"/>
      <c r="NYA409" s="172"/>
      <c r="NYB409" s="172"/>
      <c r="NYC409" s="172"/>
      <c r="NYD409" s="172"/>
      <c r="NYE409" s="172"/>
      <c r="NYF409" s="172"/>
      <c r="NYG409" s="172"/>
      <c r="NYH409" s="172"/>
      <c r="NYI409" s="172"/>
      <c r="NYJ409" s="172"/>
      <c r="NYK409" s="172"/>
      <c r="NYL409" s="172"/>
      <c r="NYM409" s="172"/>
      <c r="NYN409" s="172"/>
      <c r="NYO409" s="172"/>
      <c r="NYP409" s="172"/>
      <c r="NYQ409" s="172"/>
      <c r="NYR409" s="172"/>
      <c r="NYS409" s="172"/>
      <c r="NYT409" s="172"/>
      <c r="NYU409" s="172"/>
      <c r="NYV409" s="172"/>
      <c r="NYW409" s="172"/>
      <c r="NYX409" s="172"/>
      <c r="NYY409" s="172"/>
      <c r="NYZ409" s="172"/>
      <c r="NZA409" s="172"/>
      <c r="NZB409" s="172"/>
      <c r="NZC409" s="172"/>
      <c r="NZD409" s="172"/>
      <c r="NZE409" s="172"/>
      <c r="NZF409" s="172"/>
      <c r="NZG409" s="172"/>
      <c r="NZH409" s="172"/>
      <c r="NZI409" s="172"/>
      <c r="NZJ409" s="172"/>
      <c r="NZK409" s="172"/>
      <c r="NZL409" s="172"/>
      <c r="NZM409" s="172"/>
      <c r="NZN409" s="172"/>
      <c r="NZO409" s="172"/>
      <c r="NZP409" s="172"/>
      <c r="NZQ409" s="172"/>
      <c r="NZR409" s="172"/>
      <c r="NZS409" s="172"/>
      <c r="NZT409" s="172"/>
      <c r="NZU409" s="172"/>
      <c r="NZV409" s="172"/>
      <c r="NZW409" s="172"/>
      <c r="NZX409" s="172"/>
      <c r="NZY409" s="172"/>
      <c r="NZZ409" s="172"/>
      <c r="OAA409" s="172"/>
      <c r="OAB409" s="172"/>
      <c r="OAC409" s="172"/>
      <c r="OAD409" s="172"/>
      <c r="OAE409" s="172"/>
      <c r="OAF409" s="172"/>
      <c r="OAG409" s="172"/>
      <c r="OAH409" s="172"/>
      <c r="OAI409" s="172"/>
      <c r="OAJ409" s="172"/>
      <c r="OAK409" s="172"/>
      <c r="OAL409" s="172"/>
      <c r="OAM409" s="172"/>
      <c r="OAN409" s="172"/>
      <c r="OAO409" s="172"/>
      <c r="OAP409" s="172"/>
      <c r="OAQ409" s="172"/>
      <c r="OAR409" s="172"/>
      <c r="OAS409" s="172"/>
      <c r="OAT409" s="172"/>
      <c r="OAU409" s="172"/>
      <c r="OAV409" s="172"/>
      <c r="OAW409" s="172"/>
      <c r="OAX409" s="172"/>
      <c r="OAY409" s="172"/>
      <c r="OAZ409" s="172"/>
      <c r="OBA409" s="172"/>
      <c r="OBB409" s="172"/>
      <c r="OBC409" s="172"/>
      <c r="OBD409" s="172"/>
      <c r="OBE409" s="172"/>
      <c r="OBF409" s="172"/>
      <c r="OBG409" s="172"/>
      <c r="OBH409" s="172"/>
      <c r="OBI409" s="172"/>
      <c r="OBJ409" s="172"/>
      <c r="OBK409" s="172"/>
      <c r="OBL409" s="172"/>
      <c r="OBM409" s="172"/>
      <c r="OBN409" s="172"/>
      <c r="OBO409" s="172"/>
      <c r="OBP409" s="172"/>
      <c r="OBQ409" s="172"/>
      <c r="OBR409" s="172"/>
      <c r="OBS409" s="172"/>
      <c r="OBT409" s="172"/>
      <c r="OBU409" s="172"/>
      <c r="OBV409" s="172"/>
      <c r="OBW409" s="172"/>
      <c r="OBX409" s="172"/>
      <c r="OBY409" s="172"/>
      <c r="OBZ409" s="172"/>
      <c r="OCA409" s="172"/>
      <c r="OCB409" s="172"/>
      <c r="OCC409" s="172"/>
      <c r="OCD409" s="172"/>
      <c r="OCE409" s="172"/>
      <c r="OCF409" s="172"/>
      <c r="OCG409" s="172"/>
      <c r="OCH409" s="172"/>
      <c r="OCI409" s="172"/>
      <c r="OCJ409" s="172"/>
      <c r="OCK409" s="172"/>
      <c r="OCL409" s="172"/>
      <c r="OCM409" s="172"/>
      <c r="OCN409" s="172"/>
      <c r="OCO409" s="172"/>
      <c r="OCP409" s="172"/>
      <c r="OCQ409" s="172"/>
      <c r="OCR409" s="172"/>
      <c r="OCS409" s="172"/>
      <c r="OCT409" s="172"/>
      <c r="OCU409" s="172"/>
      <c r="OCV409" s="172"/>
      <c r="OCW409" s="172"/>
      <c r="OCX409" s="172"/>
      <c r="OCY409" s="172"/>
      <c r="OCZ409" s="172"/>
      <c r="ODA409" s="172"/>
      <c r="ODB409" s="172"/>
      <c r="ODC409" s="172"/>
      <c r="ODD409" s="172"/>
      <c r="ODE409" s="172"/>
      <c r="ODF409" s="172"/>
      <c r="ODG409" s="172"/>
      <c r="ODH409" s="172"/>
      <c r="ODI409" s="172"/>
      <c r="ODJ409" s="172"/>
      <c r="ODK409" s="172"/>
      <c r="ODL409" s="172"/>
      <c r="ODM409" s="172"/>
      <c r="ODN409" s="172"/>
      <c r="ODO409" s="172"/>
      <c r="ODP409" s="172"/>
      <c r="ODQ409" s="172"/>
      <c r="ODR409" s="172"/>
      <c r="ODS409" s="172"/>
      <c r="ODT409" s="172"/>
      <c r="ODU409" s="172"/>
      <c r="ODV409" s="172"/>
      <c r="ODW409" s="172"/>
      <c r="ODX409" s="172"/>
      <c r="ODY409" s="172"/>
      <c r="ODZ409" s="172"/>
      <c r="OEA409" s="172"/>
      <c r="OEB409" s="172"/>
      <c r="OEC409" s="172"/>
      <c r="OED409" s="172"/>
      <c r="OEE409" s="172"/>
      <c r="OEF409" s="172"/>
      <c r="OEG409" s="172"/>
      <c r="OEH409" s="172"/>
      <c r="OEI409" s="172"/>
      <c r="OEJ409" s="172"/>
      <c r="OEK409" s="172"/>
      <c r="OEL409" s="172"/>
      <c r="OEM409" s="172"/>
      <c r="OEN409" s="172"/>
      <c r="OEO409" s="172"/>
      <c r="OEP409" s="172"/>
      <c r="OEQ409" s="172"/>
      <c r="OER409" s="172"/>
      <c r="OES409" s="172"/>
      <c r="OET409" s="172"/>
      <c r="OEU409" s="172"/>
      <c r="OEV409" s="172"/>
      <c r="OEW409" s="172"/>
      <c r="OEX409" s="172"/>
      <c r="OEY409" s="172"/>
      <c r="OEZ409" s="172"/>
      <c r="OFA409" s="172"/>
      <c r="OFB409" s="172"/>
      <c r="OFC409" s="172"/>
      <c r="OFD409" s="172"/>
      <c r="OFE409" s="172"/>
      <c r="OFF409" s="172"/>
      <c r="OFG409" s="172"/>
      <c r="OFH409" s="172"/>
      <c r="OFI409" s="172"/>
      <c r="OFJ409" s="172"/>
      <c r="OFK409" s="172"/>
      <c r="OFL409" s="172"/>
      <c r="OFM409" s="172"/>
      <c r="OFN409" s="172"/>
      <c r="OFO409" s="172"/>
      <c r="OFP409" s="172"/>
      <c r="OFQ409" s="172"/>
      <c r="OFR409" s="172"/>
      <c r="OFS409" s="172"/>
      <c r="OFT409" s="172"/>
      <c r="OFU409" s="172"/>
      <c r="OFV409" s="172"/>
      <c r="OFW409" s="172"/>
      <c r="OFX409" s="172"/>
      <c r="OFY409" s="172"/>
      <c r="OFZ409" s="172"/>
      <c r="OGA409" s="172"/>
      <c r="OGB409" s="172"/>
      <c r="OGC409" s="172"/>
      <c r="OGD409" s="172"/>
      <c r="OGE409" s="172"/>
      <c r="OGF409" s="172"/>
      <c r="OGG409" s="172"/>
      <c r="OGH409" s="172"/>
      <c r="OGI409" s="172"/>
      <c r="OGJ409" s="172"/>
      <c r="OGK409" s="172"/>
      <c r="OGL409" s="172"/>
      <c r="OGM409" s="172"/>
      <c r="OGN409" s="172"/>
      <c r="OGO409" s="172"/>
      <c r="OGP409" s="172"/>
      <c r="OGQ409" s="172"/>
      <c r="OGR409" s="172"/>
      <c r="OGS409" s="172"/>
      <c r="OGT409" s="172"/>
      <c r="OGU409" s="172"/>
      <c r="OGV409" s="172"/>
      <c r="OGW409" s="172"/>
      <c r="OGX409" s="172"/>
      <c r="OGY409" s="172"/>
      <c r="OGZ409" s="172"/>
      <c r="OHA409" s="172"/>
      <c r="OHB409" s="172"/>
      <c r="OHC409" s="172"/>
      <c r="OHD409" s="172"/>
      <c r="OHE409" s="172"/>
      <c r="OHF409" s="172"/>
      <c r="OHG409" s="172"/>
      <c r="OHH409" s="172"/>
      <c r="OHI409" s="172"/>
      <c r="OHJ409" s="172"/>
      <c r="OHK409" s="172"/>
      <c r="OHL409" s="172"/>
      <c r="OHM409" s="172"/>
      <c r="OHN409" s="172"/>
      <c r="OHO409" s="172"/>
      <c r="OHP409" s="172"/>
      <c r="OHQ409" s="172"/>
      <c r="OHR409" s="172"/>
      <c r="OHS409" s="172"/>
      <c r="OHT409" s="172"/>
      <c r="OHU409" s="172"/>
      <c r="OHV409" s="172"/>
      <c r="OHW409" s="172"/>
      <c r="OHX409" s="172"/>
      <c r="OHY409" s="172"/>
      <c r="OHZ409" s="172"/>
      <c r="OIA409" s="172"/>
      <c r="OIB409" s="172"/>
      <c r="OIC409" s="172"/>
      <c r="OID409" s="172"/>
      <c r="OIE409" s="172"/>
      <c r="OIF409" s="172"/>
      <c r="OIG409" s="172"/>
      <c r="OIH409" s="172"/>
      <c r="OII409" s="172"/>
      <c r="OIJ409" s="172"/>
      <c r="OIK409" s="172"/>
      <c r="OIL409" s="172"/>
      <c r="OIM409" s="172"/>
      <c r="OIN409" s="172"/>
      <c r="OIO409" s="172"/>
      <c r="OIP409" s="172"/>
      <c r="OIQ409" s="172"/>
      <c r="OIR409" s="172"/>
      <c r="OIS409" s="172"/>
      <c r="OIT409" s="172"/>
      <c r="OIU409" s="172"/>
      <c r="OIV409" s="172"/>
      <c r="OIW409" s="172"/>
      <c r="OIX409" s="172"/>
      <c r="OIY409" s="172"/>
      <c r="OIZ409" s="172"/>
      <c r="OJA409" s="172"/>
      <c r="OJB409" s="172"/>
      <c r="OJC409" s="172"/>
      <c r="OJD409" s="172"/>
      <c r="OJE409" s="172"/>
      <c r="OJF409" s="172"/>
      <c r="OJG409" s="172"/>
      <c r="OJH409" s="172"/>
      <c r="OJI409" s="172"/>
      <c r="OJJ409" s="172"/>
      <c r="OJK409" s="172"/>
      <c r="OJL409" s="172"/>
      <c r="OJM409" s="172"/>
      <c r="OJN409" s="172"/>
      <c r="OJO409" s="172"/>
      <c r="OJP409" s="172"/>
      <c r="OJQ409" s="172"/>
      <c r="OJR409" s="172"/>
      <c r="OJS409" s="172"/>
      <c r="OJT409" s="172"/>
      <c r="OJU409" s="172"/>
      <c r="OJV409" s="172"/>
      <c r="OJW409" s="172"/>
      <c r="OJX409" s="172"/>
      <c r="OJY409" s="172"/>
      <c r="OJZ409" s="172"/>
      <c r="OKA409" s="172"/>
      <c r="OKB409" s="172"/>
      <c r="OKC409" s="172"/>
      <c r="OKD409" s="172"/>
      <c r="OKE409" s="172"/>
      <c r="OKF409" s="172"/>
      <c r="OKG409" s="172"/>
      <c r="OKH409" s="172"/>
      <c r="OKI409" s="172"/>
      <c r="OKJ409" s="172"/>
      <c r="OKK409" s="172"/>
      <c r="OKL409" s="172"/>
      <c r="OKM409" s="172"/>
      <c r="OKN409" s="172"/>
      <c r="OKO409" s="172"/>
      <c r="OKP409" s="172"/>
      <c r="OKQ409" s="172"/>
      <c r="OKR409" s="172"/>
      <c r="OKS409" s="172"/>
      <c r="OKT409" s="172"/>
      <c r="OKU409" s="172"/>
      <c r="OKV409" s="172"/>
      <c r="OKW409" s="172"/>
      <c r="OKX409" s="172"/>
      <c r="OKY409" s="172"/>
      <c r="OKZ409" s="172"/>
      <c r="OLA409" s="172"/>
      <c r="OLB409" s="172"/>
      <c r="OLC409" s="172"/>
      <c r="OLD409" s="172"/>
      <c r="OLE409" s="172"/>
      <c r="OLF409" s="172"/>
      <c r="OLG409" s="172"/>
      <c r="OLH409" s="172"/>
      <c r="OLI409" s="172"/>
      <c r="OLJ409" s="172"/>
      <c r="OLK409" s="172"/>
      <c r="OLL409" s="172"/>
      <c r="OLM409" s="172"/>
      <c r="OLN409" s="172"/>
      <c r="OLO409" s="172"/>
      <c r="OLP409" s="172"/>
      <c r="OLQ409" s="172"/>
      <c r="OLR409" s="172"/>
      <c r="OLS409" s="172"/>
      <c r="OLT409" s="172"/>
      <c r="OLU409" s="172"/>
      <c r="OLV409" s="172"/>
      <c r="OLW409" s="172"/>
      <c r="OLX409" s="172"/>
      <c r="OLY409" s="172"/>
      <c r="OLZ409" s="172"/>
      <c r="OMA409" s="172"/>
      <c r="OMB409" s="172"/>
      <c r="OMC409" s="172"/>
      <c r="OMD409" s="172"/>
      <c r="OME409" s="172"/>
      <c r="OMF409" s="172"/>
      <c r="OMG409" s="172"/>
      <c r="OMH409" s="172"/>
      <c r="OMI409" s="172"/>
      <c r="OMJ409" s="172"/>
      <c r="OMK409" s="172"/>
      <c r="OML409" s="172"/>
      <c r="OMM409" s="172"/>
      <c r="OMN409" s="172"/>
      <c r="OMO409" s="172"/>
      <c r="OMP409" s="172"/>
      <c r="OMQ409" s="172"/>
      <c r="OMR409" s="172"/>
      <c r="OMS409" s="172"/>
      <c r="OMT409" s="172"/>
      <c r="OMU409" s="172"/>
      <c r="OMV409" s="172"/>
      <c r="OMW409" s="172"/>
      <c r="OMX409" s="172"/>
      <c r="OMY409" s="172"/>
      <c r="OMZ409" s="172"/>
      <c r="ONA409" s="172"/>
      <c r="ONB409" s="172"/>
      <c r="ONC409" s="172"/>
      <c r="OND409" s="172"/>
      <c r="ONE409" s="172"/>
      <c r="ONF409" s="172"/>
      <c r="ONG409" s="172"/>
      <c r="ONH409" s="172"/>
      <c r="ONI409" s="172"/>
      <c r="ONJ409" s="172"/>
      <c r="ONK409" s="172"/>
      <c r="ONL409" s="172"/>
      <c r="ONM409" s="172"/>
      <c r="ONN409" s="172"/>
      <c r="ONO409" s="172"/>
      <c r="ONP409" s="172"/>
      <c r="ONQ409" s="172"/>
      <c r="ONR409" s="172"/>
      <c r="ONS409" s="172"/>
      <c r="ONT409" s="172"/>
      <c r="ONU409" s="172"/>
      <c r="ONV409" s="172"/>
      <c r="ONW409" s="172"/>
      <c r="ONX409" s="172"/>
      <c r="ONY409" s="172"/>
      <c r="ONZ409" s="172"/>
      <c r="OOA409" s="172"/>
      <c r="OOB409" s="172"/>
      <c r="OOC409" s="172"/>
      <c r="OOD409" s="172"/>
      <c r="OOE409" s="172"/>
      <c r="OOF409" s="172"/>
      <c r="OOG409" s="172"/>
      <c r="OOH409" s="172"/>
      <c r="OOI409" s="172"/>
      <c r="OOJ409" s="172"/>
      <c r="OOK409" s="172"/>
      <c r="OOL409" s="172"/>
      <c r="OOM409" s="172"/>
      <c r="OON409" s="172"/>
      <c r="OOO409" s="172"/>
      <c r="OOP409" s="172"/>
      <c r="OOQ409" s="172"/>
      <c r="OOR409" s="172"/>
      <c r="OOS409" s="172"/>
      <c r="OOT409" s="172"/>
      <c r="OOU409" s="172"/>
      <c r="OOV409" s="172"/>
      <c r="OOW409" s="172"/>
      <c r="OOX409" s="172"/>
      <c r="OOY409" s="172"/>
      <c r="OOZ409" s="172"/>
      <c r="OPA409" s="172"/>
      <c r="OPB409" s="172"/>
      <c r="OPC409" s="172"/>
      <c r="OPD409" s="172"/>
      <c r="OPE409" s="172"/>
      <c r="OPF409" s="172"/>
      <c r="OPG409" s="172"/>
      <c r="OPH409" s="172"/>
      <c r="OPI409" s="172"/>
      <c r="OPJ409" s="172"/>
      <c r="OPK409" s="172"/>
      <c r="OPL409" s="172"/>
      <c r="OPM409" s="172"/>
      <c r="OPN409" s="172"/>
      <c r="OPO409" s="172"/>
      <c r="OPP409" s="172"/>
      <c r="OPQ409" s="172"/>
      <c r="OPR409" s="172"/>
      <c r="OPS409" s="172"/>
      <c r="OPT409" s="172"/>
      <c r="OPU409" s="172"/>
      <c r="OPV409" s="172"/>
      <c r="OPW409" s="172"/>
      <c r="OPX409" s="172"/>
      <c r="OPY409" s="172"/>
      <c r="OPZ409" s="172"/>
      <c r="OQA409" s="172"/>
      <c r="OQB409" s="172"/>
      <c r="OQC409" s="172"/>
      <c r="OQD409" s="172"/>
      <c r="OQE409" s="172"/>
      <c r="OQF409" s="172"/>
      <c r="OQG409" s="172"/>
      <c r="OQH409" s="172"/>
      <c r="OQI409" s="172"/>
      <c r="OQJ409" s="172"/>
      <c r="OQK409" s="172"/>
      <c r="OQL409" s="172"/>
      <c r="OQM409" s="172"/>
      <c r="OQN409" s="172"/>
      <c r="OQO409" s="172"/>
      <c r="OQP409" s="172"/>
      <c r="OQQ409" s="172"/>
      <c r="OQR409" s="172"/>
      <c r="OQS409" s="172"/>
      <c r="OQT409" s="172"/>
      <c r="OQU409" s="172"/>
      <c r="OQV409" s="172"/>
      <c r="OQW409" s="172"/>
      <c r="OQX409" s="172"/>
      <c r="OQY409" s="172"/>
      <c r="OQZ409" s="172"/>
      <c r="ORA409" s="172"/>
      <c r="ORB409" s="172"/>
      <c r="ORC409" s="172"/>
      <c r="ORD409" s="172"/>
      <c r="ORE409" s="172"/>
      <c r="ORF409" s="172"/>
      <c r="ORG409" s="172"/>
      <c r="ORH409" s="172"/>
      <c r="ORI409" s="172"/>
      <c r="ORJ409" s="172"/>
      <c r="ORK409" s="172"/>
      <c r="ORL409" s="172"/>
      <c r="ORM409" s="172"/>
      <c r="ORN409" s="172"/>
      <c r="ORO409" s="172"/>
      <c r="ORP409" s="172"/>
      <c r="ORQ409" s="172"/>
      <c r="ORR409" s="172"/>
      <c r="ORS409" s="172"/>
      <c r="ORT409" s="172"/>
      <c r="ORU409" s="172"/>
      <c r="ORV409" s="172"/>
      <c r="ORW409" s="172"/>
      <c r="ORX409" s="172"/>
      <c r="ORY409" s="172"/>
      <c r="ORZ409" s="172"/>
      <c r="OSA409" s="172"/>
      <c r="OSB409" s="172"/>
      <c r="OSC409" s="172"/>
      <c r="OSD409" s="172"/>
      <c r="OSE409" s="172"/>
      <c r="OSF409" s="172"/>
      <c r="OSG409" s="172"/>
      <c r="OSH409" s="172"/>
      <c r="OSI409" s="172"/>
      <c r="OSJ409" s="172"/>
      <c r="OSK409" s="172"/>
      <c r="OSL409" s="172"/>
      <c r="OSM409" s="172"/>
      <c r="OSN409" s="172"/>
      <c r="OSO409" s="172"/>
      <c r="OSP409" s="172"/>
      <c r="OSQ409" s="172"/>
      <c r="OSR409" s="172"/>
      <c r="OSS409" s="172"/>
      <c r="OST409" s="172"/>
      <c r="OSU409" s="172"/>
      <c r="OSV409" s="172"/>
      <c r="OSW409" s="172"/>
      <c r="OSX409" s="172"/>
      <c r="OSY409" s="172"/>
      <c r="OSZ409" s="172"/>
      <c r="OTA409" s="172"/>
      <c r="OTB409" s="172"/>
      <c r="OTC409" s="172"/>
      <c r="OTD409" s="172"/>
      <c r="OTE409" s="172"/>
      <c r="OTF409" s="172"/>
      <c r="OTG409" s="172"/>
      <c r="OTH409" s="172"/>
      <c r="OTI409" s="172"/>
      <c r="OTJ409" s="172"/>
      <c r="OTK409" s="172"/>
      <c r="OTL409" s="172"/>
      <c r="OTM409" s="172"/>
      <c r="OTN409" s="172"/>
      <c r="OTO409" s="172"/>
      <c r="OTP409" s="172"/>
      <c r="OTQ409" s="172"/>
      <c r="OTR409" s="172"/>
      <c r="OTS409" s="172"/>
      <c r="OTT409" s="172"/>
      <c r="OTU409" s="172"/>
      <c r="OTV409" s="172"/>
      <c r="OTW409" s="172"/>
      <c r="OTX409" s="172"/>
      <c r="OTY409" s="172"/>
      <c r="OTZ409" s="172"/>
      <c r="OUA409" s="172"/>
      <c r="OUB409" s="172"/>
      <c r="OUC409" s="172"/>
      <c r="OUD409" s="172"/>
      <c r="OUE409" s="172"/>
      <c r="OUF409" s="172"/>
      <c r="OUG409" s="172"/>
      <c r="OUH409" s="172"/>
      <c r="OUI409" s="172"/>
      <c r="OUJ409" s="172"/>
      <c r="OUK409" s="172"/>
      <c r="OUL409" s="172"/>
      <c r="OUM409" s="172"/>
      <c r="OUN409" s="172"/>
      <c r="OUO409" s="172"/>
      <c r="OUP409" s="172"/>
      <c r="OUQ409" s="172"/>
      <c r="OUR409" s="172"/>
      <c r="OUS409" s="172"/>
      <c r="OUT409" s="172"/>
      <c r="OUU409" s="172"/>
      <c r="OUV409" s="172"/>
      <c r="OUW409" s="172"/>
      <c r="OUX409" s="172"/>
      <c r="OUY409" s="172"/>
      <c r="OUZ409" s="172"/>
      <c r="OVA409" s="172"/>
      <c r="OVB409" s="172"/>
      <c r="OVC409" s="172"/>
      <c r="OVD409" s="172"/>
      <c r="OVE409" s="172"/>
      <c r="OVF409" s="172"/>
      <c r="OVG409" s="172"/>
      <c r="OVH409" s="172"/>
      <c r="OVI409" s="172"/>
      <c r="OVJ409" s="172"/>
      <c r="OVK409" s="172"/>
      <c r="OVL409" s="172"/>
      <c r="OVM409" s="172"/>
      <c r="OVN409" s="172"/>
      <c r="OVO409" s="172"/>
      <c r="OVP409" s="172"/>
      <c r="OVQ409" s="172"/>
      <c r="OVR409" s="172"/>
      <c r="OVS409" s="172"/>
      <c r="OVT409" s="172"/>
      <c r="OVU409" s="172"/>
      <c r="OVV409" s="172"/>
      <c r="OVW409" s="172"/>
      <c r="OVX409" s="172"/>
      <c r="OVY409" s="172"/>
      <c r="OVZ409" s="172"/>
      <c r="OWA409" s="172"/>
      <c r="OWB409" s="172"/>
      <c r="OWC409" s="172"/>
      <c r="OWD409" s="172"/>
      <c r="OWE409" s="172"/>
      <c r="OWF409" s="172"/>
      <c r="OWG409" s="172"/>
      <c r="OWH409" s="172"/>
      <c r="OWI409" s="172"/>
      <c r="OWJ409" s="172"/>
      <c r="OWK409" s="172"/>
      <c r="OWL409" s="172"/>
      <c r="OWM409" s="172"/>
      <c r="OWN409" s="172"/>
      <c r="OWO409" s="172"/>
      <c r="OWP409" s="172"/>
      <c r="OWQ409" s="172"/>
      <c r="OWR409" s="172"/>
      <c r="OWS409" s="172"/>
      <c r="OWT409" s="172"/>
      <c r="OWU409" s="172"/>
      <c r="OWV409" s="172"/>
      <c r="OWW409" s="172"/>
      <c r="OWX409" s="172"/>
      <c r="OWY409" s="172"/>
      <c r="OWZ409" s="172"/>
      <c r="OXA409" s="172"/>
      <c r="OXB409" s="172"/>
      <c r="OXC409" s="172"/>
      <c r="OXD409" s="172"/>
      <c r="OXE409" s="172"/>
      <c r="OXF409" s="172"/>
      <c r="OXG409" s="172"/>
      <c r="OXH409" s="172"/>
      <c r="OXI409" s="172"/>
      <c r="OXJ409" s="172"/>
      <c r="OXK409" s="172"/>
      <c r="OXL409" s="172"/>
      <c r="OXM409" s="172"/>
      <c r="OXN409" s="172"/>
      <c r="OXO409" s="172"/>
      <c r="OXP409" s="172"/>
      <c r="OXQ409" s="172"/>
      <c r="OXR409" s="172"/>
      <c r="OXS409" s="172"/>
      <c r="OXT409" s="172"/>
      <c r="OXU409" s="172"/>
      <c r="OXV409" s="172"/>
      <c r="OXW409" s="172"/>
      <c r="OXX409" s="172"/>
      <c r="OXY409" s="172"/>
      <c r="OXZ409" s="172"/>
      <c r="OYA409" s="172"/>
      <c r="OYB409" s="172"/>
      <c r="OYC409" s="172"/>
      <c r="OYD409" s="172"/>
      <c r="OYE409" s="172"/>
      <c r="OYF409" s="172"/>
      <c r="OYG409" s="172"/>
      <c r="OYH409" s="172"/>
      <c r="OYI409" s="172"/>
      <c r="OYJ409" s="172"/>
      <c r="OYK409" s="172"/>
      <c r="OYL409" s="172"/>
      <c r="OYM409" s="172"/>
      <c r="OYN409" s="172"/>
      <c r="OYO409" s="172"/>
      <c r="OYP409" s="172"/>
      <c r="OYQ409" s="172"/>
      <c r="OYR409" s="172"/>
      <c r="OYS409" s="172"/>
      <c r="OYT409" s="172"/>
      <c r="OYU409" s="172"/>
      <c r="OYV409" s="172"/>
      <c r="OYW409" s="172"/>
      <c r="OYX409" s="172"/>
      <c r="OYY409" s="172"/>
      <c r="OYZ409" s="172"/>
      <c r="OZA409" s="172"/>
      <c r="OZB409" s="172"/>
      <c r="OZC409" s="172"/>
      <c r="OZD409" s="172"/>
      <c r="OZE409" s="172"/>
      <c r="OZF409" s="172"/>
      <c r="OZG409" s="172"/>
      <c r="OZH409" s="172"/>
      <c r="OZI409" s="172"/>
      <c r="OZJ409" s="172"/>
      <c r="OZK409" s="172"/>
      <c r="OZL409" s="172"/>
      <c r="OZM409" s="172"/>
      <c r="OZN409" s="172"/>
      <c r="OZO409" s="172"/>
      <c r="OZP409" s="172"/>
      <c r="OZQ409" s="172"/>
      <c r="OZR409" s="172"/>
      <c r="OZS409" s="172"/>
      <c r="OZT409" s="172"/>
      <c r="OZU409" s="172"/>
      <c r="OZV409" s="172"/>
      <c r="OZW409" s="172"/>
      <c r="OZX409" s="172"/>
      <c r="OZY409" s="172"/>
      <c r="OZZ409" s="172"/>
      <c r="PAA409" s="172"/>
      <c r="PAB409" s="172"/>
      <c r="PAC409" s="172"/>
      <c r="PAD409" s="172"/>
      <c r="PAE409" s="172"/>
      <c r="PAF409" s="172"/>
      <c r="PAG409" s="172"/>
      <c r="PAH409" s="172"/>
      <c r="PAI409" s="172"/>
      <c r="PAJ409" s="172"/>
      <c r="PAK409" s="172"/>
      <c r="PAL409" s="172"/>
      <c r="PAM409" s="172"/>
      <c r="PAN409" s="172"/>
      <c r="PAO409" s="172"/>
      <c r="PAP409" s="172"/>
      <c r="PAQ409" s="172"/>
      <c r="PAR409" s="172"/>
      <c r="PAS409" s="172"/>
      <c r="PAT409" s="172"/>
      <c r="PAU409" s="172"/>
      <c r="PAV409" s="172"/>
      <c r="PAW409" s="172"/>
      <c r="PAX409" s="172"/>
      <c r="PAY409" s="172"/>
      <c r="PAZ409" s="172"/>
      <c r="PBA409" s="172"/>
      <c r="PBB409" s="172"/>
      <c r="PBC409" s="172"/>
      <c r="PBD409" s="172"/>
      <c r="PBE409" s="172"/>
      <c r="PBF409" s="172"/>
      <c r="PBG409" s="172"/>
      <c r="PBH409" s="172"/>
      <c r="PBI409" s="172"/>
      <c r="PBJ409" s="172"/>
      <c r="PBK409" s="172"/>
      <c r="PBL409" s="172"/>
      <c r="PBM409" s="172"/>
      <c r="PBN409" s="172"/>
      <c r="PBO409" s="172"/>
      <c r="PBP409" s="172"/>
      <c r="PBQ409" s="172"/>
      <c r="PBR409" s="172"/>
      <c r="PBS409" s="172"/>
      <c r="PBT409" s="172"/>
      <c r="PBU409" s="172"/>
      <c r="PBV409" s="172"/>
      <c r="PBW409" s="172"/>
      <c r="PBX409" s="172"/>
      <c r="PBY409" s="172"/>
      <c r="PBZ409" s="172"/>
      <c r="PCA409" s="172"/>
      <c r="PCB409" s="172"/>
      <c r="PCC409" s="172"/>
      <c r="PCD409" s="172"/>
      <c r="PCE409" s="172"/>
      <c r="PCF409" s="172"/>
      <c r="PCG409" s="172"/>
      <c r="PCH409" s="172"/>
      <c r="PCI409" s="172"/>
      <c r="PCJ409" s="172"/>
      <c r="PCK409" s="172"/>
      <c r="PCL409" s="172"/>
      <c r="PCM409" s="172"/>
      <c r="PCN409" s="172"/>
      <c r="PCO409" s="172"/>
      <c r="PCP409" s="172"/>
      <c r="PCQ409" s="172"/>
      <c r="PCR409" s="172"/>
      <c r="PCS409" s="172"/>
      <c r="PCT409" s="172"/>
      <c r="PCU409" s="172"/>
      <c r="PCV409" s="172"/>
      <c r="PCW409" s="172"/>
      <c r="PCX409" s="172"/>
      <c r="PCY409" s="172"/>
      <c r="PCZ409" s="172"/>
      <c r="PDA409" s="172"/>
      <c r="PDB409" s="172"/>
      <c r="PDC409" s="172"/>
      <c r="PDD409" s="172"/>
      <c r="PDE409" s="172"/>
      <c r="PDF409" s="172"/>
      <c r="PDG409" s="172"/>
      <c r="PDH409" s="172"/>
      <c r="PDI409" s="172"/>
      <c r="PDJ409" s="172"/>
      <c r="PDK409" s="172"/>
      <c r="PDL409" s="172"/>
      <c r="PDM409" s="172"/>
      <c r="PDN409" s="172"/>
      <c r="PDO409" s="172"/>
      <c r="PDP409" s="172"/>
      <c r="PDQ409" s="172"/>
      <c r="PDR409" s="172"/>
      <c r="PDS409" s="172"/>
      <c r="PDT409" s="172"/>
      <c r="PDU409" s="172"/>
      <c r="PDV409" s="172"/>
      <c r="PDW409" s="172"/>
      <c r="PDX409" s="172"/>
      <c r="PDY409" s="172"/>
      <c r="PDZ409" s="172"/>
      <c r="PEA409" s="172"/>
      <c r="PEB409" s="172"/>
      <c r="PEC409" s="172"/>
      <c r="PED409" s="172"/>
      <c r="PEE409" s="172"/>
      <c r="PEF409" s="172"/>
      <c r="PEG409" s="172"/>
      <c r="PEH409" s="172"/>
      <c r="PEI409" s="172"/>
      <c r="PEJ409" s="172"/>
      <c r="PEK409" s="172"/>
      <c r="PEL409" s="172"/>
      <c r="PEM409" s="172"/>
      <c r="PEN409" s="172"/>
      <c r="PEO409" s="172"/>
      <c r="PEP409" s="172"/>
      <c r="PEQ409" s="172"/>
      <c r="PER409" s="172"/>
      <c r="PES409" s="172"/>
      <c r="PET409" s="172"/>
      <c r="PEU409" s="172"/>
      <c r="PEV409" s="172"/>
      <c r="PEW409" s="172"/>
      <c r="PEX409" s="172"/>
      <c r="PEY409" s="172"/>
      <c r="PEZ409" s="172"/>
      <c r="PFA409" s="172"/>
      <c r="PFB409" s="172"/>
      <c r="PFC409" s="172"/>
      <c r="PFD409" s="172"/>
      <c r="PFE409" s="172"/>
      <c r="PFF409" s="172"/>
      <c r="PFG409" s="172"/>
      <c r="PFH409" s="172"/>
      <c r="PFI409" s="172"/>
      <c r="PFJ409" s="172"/>
      <c r="PFK409" s="172"/>
      <c r="PFL409" s="172"/>
      <c r="PFM409" s="172"/>
      <c r="PFN409" s="172"/>
      <c r="PFO409" s="172"/>
      <c r="PFP409" s="172"/>
      <c r="PFQ409" s="172"/>
      <c r="PFR409" s="172"/>
      <c r="PFS409" s="172"/>
      <c r="PFT409" s="172"/>
      <c r="PFU409" s="172"/>
      <c r="PFV409" s="172"/>
      <c r="PFW409" s="172"/>
      <c r="PFX409" s="172"/>
      <c r="PFY409" s="172"/>
      <c r="PFZ409" s="172"/>
      <c r="PGA409" s="172"/>
      <c r="PGB409" s="172"/>
      <c r="PGC409" s="172"/>
      <c r="PGD409" s="172"/>
      <c r="PGE409" s="172"/>
      <c r="PGF409" s="172"/>
      <c r="PGG409" s="172"/>
      <c r="PGH409" s="172"/>
      <c r="PGI409" s="172"/>
      <c r="PGJ409" s="172"/>
      <c r="PGK409" s="172"/>
      <c r="PGL409" s="172"/>
      <c r="PGM409" s="172"/>
      <c r="PGN409" s="172"/>
      <c r="PGO409" s="172"/>
      <c r="PGP409" s="172"/>
      <c r="PGQ409" s="172"/>
      <c r="PGR409" s="172"/>
      <c r="PGS409" s="172"/>
      <c r="PGT409" s="172"/>
      <c r="PGU409" s="172"/>
      <c r="PGV409" s="172"/>
      <c r="PGW409" s="172"/>
      <c r="PGX409" s="172"/>
      <c r="PGY409" s="172"/>
      <c r="PGZ409" s="172"/>
      <c r="PHA409" s="172"/>
      <c r="PHB409" s="172"/>
      <c r="PHC409" s="172"/>
      <c r="PHD409" s="172"/>
      <c r="PHE409" s="172"/>
      <c r="PHF409" s="172"/>
      <c r="PHG409" s="172"/>
      <c r="PHH409" s="172"/>
      <c r="PHI409" s="172"/>
      <c r="PHJ409" s="172"/>
      <c r="PHK409" s="172"/>
      <c r="PHL409" s="172"/>
      <c r="PHM409" s="172"/>
      <c r="PHN409" s="172"/>
      <c r="PHO409" s="172"/>
      <c r="PHP409" s="172"/>
      <c r="PHQ409" s="172"/>
      <c r="PHR409" s="172"/>
      <c r="PHS409" s="172"/>
      <c r="PHT409" s="172"/>
      <c r="PHU409" s="172"/>
      <c r="PHV409" s="172"/>
      <c r="PHW409" s="172"/>
      <c r="PHX409" s="172"/>
      <c r="PHY409" s="172"/>
      <c r="PHZ409" s="172"/>
      <c r="PIA409" s="172"/>
      <c r="PIB409" s="172"/>
      <c r="PIC409" s="172"/>
      <c r="PID409" s="172"/>
      <c r="PIE409" s="172"/>
      <c r="PIF409" s="172"/>
      <c r="PIG409" s="172"/>
      <c r="PIH409" s="172"/>
      <c r="PII409" s="172"/>
      <c r="PIJ409" s="172"/>
      <c r="PIK409" s="172"/>
      <c r="PIL409" s="172"/>
      <c r="PIM409" s="172"/>
      <c r="PIN409" s="172"/>
      <c r="PIO409" s="172"/>
      <c r="PIP409" s="172"/>
      <c r="PIQ409" s="172"/>
      <c r="PIR409" s="172"/>
      <c r="PIS409" s="172"/>
      <c r="PIT409" s="172"/>
      <c r="PIU409" s="172"/>
      <c r="PIV409" s="172"/>
      <c r="PIW409" s="172"/>
      <c r="PIX409" s="172"/>
      <c r="PIY409" s="172"/>
      <c r="PIZ409" s="172"/>
      <c r="PJA409" s="172"/>
      <c r="PJB409" s="172"/>
      <c r="PJC409" s="172"/>
      <c r="PJD409" s="172"/>
      <c r="PJE409" s="172"/>
      <c r="PJF409" s="172"/>
      <c r="PJG409" s="172"/>
      <c r="PJH409" s="172"/>
      <c r="PJI409" s="172"/>
      <c r="PJJ409" s="172"/>
      <c r="PJK409" s="172"/>
      <c r="PJL409" s="172"/>
      <c r="PJM409" s="172"/>
      <c r="PJN409" s="172"/>
      <c r="PJO409" s="172"/>
      <c r="PJP409" s="172"/>
      <c r="PJQ409" s="172"/>
      <c r="PJR409" s="172"/>
      <c r="PJS409" s="172"/>
      <c r="PJT409" s="172"/>
      <c r="PJU409" s="172"/>
      <c r="PJV409" s="172"/>
      <c r="PJW409" s="172"/>
      <c r="PJX409" s="172"/>
      <c r="PJY409" s="172"/>
      <c r="PJZ409" s="172"/>
      <c r="PKA409" s="172"/>
      <c r="PKB409" s="172"/>
      <c r="PKC409" s="172"/>
      <c r="PKD409" s="172"/>
      <c r="PKE409" s="172"/>
      <c r="PKF409" s="172"/>
      <c r="PKG409" s="172"/>
      <c r="PKH409" s="172"/>
      <c r="PKI409" s="172"/>
      <c r="PKJ409" s="172"/>
      <c r="PKK409" s="172"/>
      <c r="PKL409" s="172"/>
      <c r="PKM409" s="172"/>
      <c r="PKN409" s="172"/>
      <c r="PKO409" s="172"/>
      <c r="PKP409" s="172"/>
      <c r="PKQ409" s="172"/>
      <c r="PKR409" s="172"/>
      <c r="PKS409" s="172"/>
      <c r="PKT409" s="172"/>
      <c r="PKU409" s="172"/>
      <c r="PKV409" s="172"/>
      <c r="PKW409" s="172"/>
      <c r="PKX409" s="172"/>
      <c r="PKY409" s="172"/>
      <c r="PKZ409" s="172"/>
      <c r="PLA409" s="172"/>
      <c r="PLB409" s="172"/>
      <c r="PLC409" s="172"/>
      <c r="PLD409" s="172"/>
      <c r="PLE409" s="172"/>
      <c r="PLF409" s="172"/>
      <c r="PLG409" s="172"/>
      <c r="PLH409" s="172"/>
      <c r="PLI409" s="172"/>
      <c r="PLJ409" s="172"/>
      <c r="PLK409" s="172"/>
      <c r="PLL409" s="172"/>
      <c r="PLM409" s="172"/>
      <c r="PLN409" s="172"/>
      <c r="PLO409" s="172"/>
      <c r="PLP409" s="172"/>
      <c r="PLQ409" s="172"/>
      <c r="PLR409" s="172"/>
      <c r="PLS409" s="172"/>
      <c r="PLT409" s="172"/>
      <c r="PLU409" s="172"/>
      <c r="PLV409" s="172"/>
      <c r="PLW409" s="172"/>
      <c r="PLX409" s="172"/>
      <c r="PLY409" s="172"/>
      <c r="PLZ409" s="172"/>
      <c r="PMA409" s="172"/>
      <c r="PMB409" s="172"/>
      <c r="PMC409" s="172"/>
      <c r="PMD409" s="172"/>
      <c r="PME409" s="172"/>
      <c r="PMF409" s="172"/>
      <c r="PMG409" s="172"/>
      <c r="PMH409" s="172"/>
      <c r="PMI409" s="172"/>
      <c r="PMJ409" s="172"/>
      <c r="PMK409" s="172"/>
      <c r="PML409" s="172"/>
      <c r="PMM409" s="172"/>
      <c r="PMN409" s="172"/>
      <c r="PMO409" s="172"/>
      <c r="PMP409" s="172"/>
      <c r="PMQ409" s="172"/>
      <c r="PMR409" s="172"/>
      <c r="PMS409" s="172"/>
      <c r="PMT409" s="172"/>
      <c r="PMU409" s="172"/>
      <c r="PMV409" s="172"/>
      <c r="PMW409" s="172"/>
      <c r="PMX409" s="172"/>
      <c r="PMY409" s="172"/>
      <c r="PMZ409" s="172"/>
      <c r="PNA409" s="172"/>
      <c r="PNB409" s="172"/>
      <c r="PNC409" s="172"/>
      <c r="PND409" s="172"/>
      <c r="PNE409" s="172"/>
      <c r="PNF409" s="172"/>
      <c r="PNG409" s="172"/>
      <c r="PNH409" s="172"/>
      <c r="PNI409" s="172"/>
      <c r="PNJ409" s="172"/>
      <c r="PNK409" s="172"/>
      <c r="PNL409" s="172"/>
      <c r="PNM409" s="172"/>
      <c r="PNN409" s="172"/>
      <c r="PNO409" s="172"/>
      <c r="PNP409" s="172"/>
      <c r="PNQ409" s="172"/>
      <c r="PNR409" s="172"/>
      <c r="PNS409" s="172"/>
      <c r="PNT409" s="172"/>
      <c r="PNU409" s="172"/>
      <c r="PNV409" s="172"/>
      <c r="PNW409" s="172"/>
      <c r="PNX409" s="172"/>
      <c r="PNY409" s="172"/>
      <c r="PNZ409" s="172"/>
      <c r="POA409" s="172"/>
      <c r="POB409" s="172"/>
      <c r="POC409" s="172"/>
      <c r="POD409" s="172"/>
      <c r="POE409" s="172"/>
      <c r="POF409" s="172"/>
      <c r="POG409" s="172"/>
      <c r="POH409" s="172"/>
      <c r="POI409" s="172"/>
      <c r="POJ409" s="172"/>
      <c r="POK409" s="172"/>
      <c r="POL409" s="172"/>
      <c r="POM409" s="172"/>
      <c r="PON409" s="172"/>
      <c r="POO409" s="172"/>
      <c r="POP409" s="172"/>
      <c r="POQ409" s="172"/>
      <c r="POR409" s="172"/>
      <c r="POS409" s="172"/>
      <c r="POT409" s="172"/>
      <c r="POU409" s="172"/>
      <c r="POV409" s="172"/>
      <c r="POW409" s="172"/>
      <c r="POX409" s="172"/>
      <c r="POY409" s="172"/>
      <c r="POZ409" s="172"/>
      <c r="PPA409" s="172"/>
      <c r="PPB409" s="172"/>
      <c r="PPC409" s="172"/>
      <c r="PPD409" s="172"/>
      <c r="PPE409" s="172"/>
      <c r="PPF409" s="172"/>
      <c r="PPG409" s="172"/>
      <c r="PPH409" s="172"/>
      <c r="PPI409" s="172"/>
      <c r="PPJ409" s="172"/>
      <c r="PPK409" s="172"/>
      <c r="PPL409" s="172"/>
      <c r="PPM409" s="172"/>
      <c r="PPN409" s="172"/>
      <c r="PPO409" s="172"/>
      <c r="PPP409" s="172"/>
      <c r="PPQ409" s="172"/>
      <c r="PPR409" s="172"/>
      <c r="PPS409" s="172"/>
      <c r="PPT409" s="172"/>
      <c r="PPU409" s="172"/>
      <c r="PPV409" s="172"/>
      <c r="PPW409" s="172"/>
      <c r="PPX409" s="172"/>
      <c r="PPY409" s="172"/>
      <c r="PPZ409" s="172"/>
      <c r="PQA409" s="172"/>
      <c r="PQB409" s="172"/>
      <c r="PQC409" s="172"/>
      <c r="PQD409" s="172"/>
      <c r="PQE409" s="172"/>
      <c r="PQF409" s="172"/>
      <c r="PQG409" s="172"/>
      <c r="PQH409" s="172"/>
      <c r="PQI409" s="172"/>
      <c r="PQJ409" s="172"/>
      <c r="PQK409" s="172"/>
      <c r="PQL409" s="172"/>
      <c r="PQM409" s="172"/>
      <c r="PQN409" s="172"/>
      <c r="PQO409" s="172"/>
      <c r="PQP409" s="172"/>
      <c r="PQQ409" s="172"/>
      <c r="PQR409" s="172"/>
      <c r="PQS409" s="172"/>
      <c r="PQT409" s="172"/>
      <c r="PQU409" s="172"/>
      <c r="PQV409" s="172"/>
      <c r="PQW409" s="172"/>
      <c r="PQX409" s="172"/>
      <c r="PQY409" s="172"/>
      <c r="PQZ409" s="172"/>
      <c r="PRA409" s="172"/>
      <c r="PRB409" s="172"/>
      <c r="PRC409" s="172"/>
      <c r="PRD409" s="172"/>
      <c r="PRE409" s="172"/>
      <c r="PRF409" s="172"/>
      <c r="PRG409" s="172"/>
      <c r="PRH409" s="172"/>
      <c r="PRI409" s="172"/>
      <c r="PRJ409" s="172"/>
      <c r="PRK409" s="172"/>
      <c r="PRL409" s="172"/>
      <c r="PRM409" s="172"/>
      <c r="PRN409" s="172"/>
      <c r="PRO409" s="172"/>
      <c r="PRP409" s="172"/>
      <c r="PRQ409" s="172"/>
      <c r="PRR409" s="172"/>
      <c r="PRS409" s="172"/>
      <c r="PRT409" s="172"/>
      <c r="PRU409" s="172"/>
      <c r="PRV409" s="172"/>
      <c r="PRW409" s="172"/>
      <c r="PRX409" s="172"/>
      <c r="PRY409" s="172"/>
      <c r="PRZ409" s="172"/>
      <c r="PSA409" s="172"/>
      <c r="PSB409" s="172"/>
      <c r="PSC409" s="172"/>
      <c r="PSD409" s="172"/>
      <c r="PSE409" s="172"/>
      <c r="PSF409" s="172"/>
      <c r="PSG409" s="172"/>
      <c r="PSH409" s="172"/>
      <c r="PSI409" s="172"/>
      <c r="PSJ409" s="172"/>
      <c r="PSK409" s="172"/>
      <c r="PSL409" s="172"/>
      <c r="PSM409" s="172"/>
      <c r="PSN409" s="172"/>
      <c r="PSO409" s="172"/>
      <c r="PSP409" s="172"/>
      <c r="PSQ409" s="172"/>
      <c r="PSR409" s="172"/>
      <c r="PSS409" s="172"/>
      <c r="PST409" s="172"/>
      <c r="PSU409" s="172"/>
      <c r="PSV409" s="172"/>
      <c r="PSW409" s="172"/>
      <c r="PSX409" s="172"/>
      <c r="PSY409" s="172"/>
      <c r="PSZ409" s="172"/>
      <c r="PTA409" s="172"/>
      <c r="PTB409" s="172"/>
      <c r="PTC409" s="172"/>
      <c r="PTD409" s="172"/>
      <c r="PTE409" s="172"/>
      <c r="PTF409" s="172"/>
      <c r="PTG409" s="172"/>
      <c r="PTH409" s="172"/>
      <c r="PTI409" s="172"/>
      <c r="PTJ409" s="172"/>
      <c r="PTK409" s="172"/>
      <c r="PTL409" s="172"/>
      <c r="PTM409" s="172"/>
      <c r="PTN409" s="172"/>
      <c r="PTO409" s="172"/>
      <c r="PTP409" s="172"/>
      <c r="PTQ409" s="172"/>
      <c r="PTR409" s="172"/>
      <c r="PTS409" s="172"/>
      <c r="PTT409" s="172"/>
      <c r="PTU409" s="172"/>
      <c r="PTV409" s="172"/>
      <c r="PTW409" s="172"/>
      <c r="PTX409" s="172"/>
      <c r="PTY409" s="172"/>
      <c r="PTZ409" s="172"/>
      <c r="PUA409" s="172"/>
      <c r="PUB409" s="172"/>
      <c r="PUC409" s="172"/>
      <c r="PUD409" s="172"/>
      <c r="PUE409" s="172"/>
      <c r="PUF409" s="172"/>
      <c r="PUG409" s="172"/>
      <c r="PUH409" s="172"/>
      <c r="PUI409" s="172"/>
      <c r="PUJ409" s="172"/>
      <c r="PUK409" s="172"/>
      <c r="PUL409" s="172"/>
      <c r="PUM409" s="172"/>
      <c r="PUN409" s="172"/>
      <c r="PUO409" s="172"/>
      <c r="PUP409" s="172"/>
      <c r="PUQ409" s="172"/>
      <c r="PUR409" s="172"/>
      <c r="PUS409" s="172"/>
      <c r="PUT409" s="172"/>
      <c r="PUU409" s="172"/>
      <c r="PUV409" s="172"/>
      <c r="PUW409" s="172"/>
      <c r="PUX409" s="172"/>
      <c r="PUY409" s="172"/>
      <c r="PUZ409" s="172"/>
      <c r="PVA409" s="172"/>
      <c r="PVB409" s="172"/>
      <c r="PVC409" s="172"/>
      <c r="PVD409" s="172"/>
      <c r="PVE409" s="172"/>
      <c r="PVF409" s="172"/>
      <c r="PVG409" s="172"/>
      <c r="PVH409" s="172"/>
      <c r="PVI409" s="172"/>
      <c r="PVJ409" s="172"/>
      <c r="PVK409" s="172"/>
      <c r="PVL409" s="172"/>
      <c r="PVM409" s="172"/>
      <c r="PVN409" s="172"/>
      <c r="PVO409" s="172"/>
      <c r="PVP409" s="172"/>
      <c r="PVQ409" s="172"/>
      <c r="PVR409" s="172"/>
      <c r="PVS409" s="172"/>
      <c r="PVT409" s="172"/>
      <c r="PVU409" s="172"/>
      <c r="PVV409" s="172"/>
      <c r="PVW409" s="172"/>
      <c r="PVX409" s="172"/>
      <c r="PVY409" s="172"/>
      <c r="PVZ409" s="172"/>
      <c r="PWA409" s="172"/>
      <c r="PWB409" s="172"/>
      <c r="PWC409" s="172"/>
      <c r="PWD409" s="172"/>
      <c r="PWE409" s="172"/>
      <c r="PWF409" s="172"/>
      <c r="PWG409" s="172"/>
      <c r="PWH409" s="172"/>
      <c r="PWI409" s="172"/>
      <c r="PWJ409" s="172"/>
      <c r="PWK409" s="172"/>
      <c r="PWL409" s="172"/>
      <c r="PWM409" s="172"/>
      <c r="PWN409" s="172"/>
      <c r="PWO409" s="172"/>
      <c r="PWP409" s="172"/>
      <c r="PWQ409" s="172"/>
      <c r="PWR409" s="172"/>
      <c r="PWS409" s="172"/>
      <c r="PWT409" s="172"/>
      <c r="PWU409" s="172"/>
      <c r="PWV409" s="172"/>
      <c r="PWW409" s="172"/>
      <c r="PWX409" s="172"/>
      <c r="PWY409" s="172"/>
      <c r="PWZ409" s="172"/>
      <c r="PXA409" s="172"/>
      <c r="PXB409" s="172"/>
      <c r="PXC409" s="172"/>
      <c r="PXD409" s="172"/>
      <c r="PXE409" s="172"/>
      <c r="PXF409" s="172"/>
      <c r="PXG409" s="172"/>
      <c r="PXH409" s="172"/>
      <c r="PXI409" s="172"/>
      <c r="PXJ409" s="172"/>
      <c r="PXK409" s="172"/>
      <c r="PXL409" s="172"/>
      <c r="PXM409" s="172"/>
      <c r="PXN409" s="172"/>
      <c r="PXO409" s="172"/>
      <c r="PXP409" s="172"/>
      <c r="PXQ409" s="172"/>
      <c r="PXR409" s="172"/>
      <c r="PXS409" s="172"/>
      <c r="PXT409" s="172"/>
      <c r="PXU409" s="172"/>
      <c r="PXV409" s="172"/>
      <c r="PXW409" s="172"/>
      <c r="PXX409" s="172"/>
      <c r="PXY409" s="172"/>
      <c r="PXZ409" s="172"/>
      <c r="PYA409" s="172"/>
      <c r="PYB409" s="172"/>
      <c r="PYC409" s="172"/>
      <c r="PYD409" s="172"/>
      <c r="PYE409" s="172"/>
      <c r="PYF409" s="172"/>
      <c r="PYG409" s="172"/>
      <c r="PYH409" s="172"/>
      <c r="PYI409" s="172"/>
      <c r="PYJ409" s="172"/>
      <c r="PYK409" s="172"/>
      <c r="PYL409" s="172"/>
      <c r="PYM409" s="172"/>
      <c r="PYN409" s="172"/>
      <c r="PYO409" s="172"/>
      <c r="PYP409" s="172"/>
      <c r="PYQ409" s="172"/>
      <c r="PYR409" s="172"/>
      <c r="PYS409" s="172"/>
      <c r="PYT409" s="172"/>
      <c r="PYU409" s="172"/>
      <c r="PYV409" s="172"/>
      <c r="PYW409" s="172"/>
      <c r="PYX409" s="172"/>
      <c r="PYY409" s="172"/>
      <c r="PYZ409" s="172"/>
      <c r="PZA409" s="172"/>
      <c r="PZB409" s="172"/>
      <c r="PZC409" s="172"/>
      <c r="PZD409" s="172"/>
      <c r="PZE409" s="172"/>
      <c r="PZF409" s="172"/>
      <c r="PZG409" s="172"/>
      <c r="PZH409" s="172"/>
      <c r="PZI409" s="172"/>
      <c r="PZJ409" s="172"/>
      <c r="PZK409" s="172"/>
      <c r="PZL409" s="172"/>
      <c r="PZM409" s="172"/>
      <c r="PZN409" s="172"/>
      <c r="PZO409" s="172"/>
      <c r="PZP409" s="172"/>
      <c r="PZQ409" s="172"/>
      <c r="PZR409" s="172"/>
      <c r="PZS409" s="172"/>
      <c r="PZT409" s="172"/>
      <c r="PZU409" s="172"/>
      <c r="PZV409" s="172"/>
      <c r="PZW409" s="172"/>
      <c r="PZX409" s="172"/>
      <c r="PZY409" s="172"/>
      <c r="PZZ409" s="172"/>
      <c r="QAA409" s="172"/>
      <c r="QAB409" s="172"/>
      <c r="QAC409" s="172"/>
      <c r="QAD409" s="172"/>
      <c r="QAE409" s="172"/>
      <c r="QAF409" s="172"/>
      <c r="QAG409" s="172"/>
      <c r="QAH409" s="172"/>
      <c r="QAI409" s="172"/>
      <c r="QAJ409" s="172"/>
      <c r="QAK409" s="172"/>
      <c r="QAL409" s="172"/>
      <c r="QAM409" s="172"/>
      <c r="QAN409" s="172"/>
      <c r="QAO409" s="172"/>
      <c r="QAP409" s="172"/>
      <c r="QAQ409" s="172"/>
      <c r="QAR409" s="172"/>
      <c r="QAS409" s="172"/>
      <c r="QAT409" s="172"/>
      <c r="QAU409" s="172"/>
      <c r="QAV409" s="172"/>
      <c r="QAW409" s="172"/>
      <c r="QAX409" s="172"/>
      <c r="QAY409" s="172"/>
      <c r="QAZ409" s="172"/>
      <c r="QBA409" s="172"/>
      <c r="QBB409" s="172"/>
      <c r="QBC409" s="172"/>
      <c r="QBD409" s="172"/>
      <c r="QBE409" s="172"/>
      <c r="QBF409" s="172"/>
      <c r="QBG409" s="172"/>
      <c r="QBH409" s="172"/>
      <c r="QBI409" s="172"/>
      <c r="QBJ409" s="172"/>
      <c r="QBK409" s="172"/>
      <c r="QBL409" s="172"/>
      <c r="QBM409" s="172"/>
      <c r="QBN409" s="172"/>
      <c r="QBO409" s="172"/>
      <c r="QBP409" s="172"/>
      <c r="QBQ409" s="172"/>
      <c r="QBR409" s="172"/>
      <c r="QBS409" s="172"/>
      <c r="QBT409" s="172"/>
      <c r="QBU409" s="172"/>
      <c r="QBV409" s="172"/>
      <c r="QBW409" s="172"/>
      <c r="QBX409" s="172"/>
      <c r="QBY409" s="172"/>
      <c r="QBZ409" s="172"/>
      <c r="QCA409" s="172"/>
      <c r="QCB409" s="172"/>
      <c r="QCC409" s="172"/>
      <c r="QCD409" s="172"/>
      <c r="QCE409" s="172"/>
      <c r="QCF409" s="172"/>
      <c r="QCG409" s="172"/>
      <c r="QCH409" s="172"/>
      <c r="QCI409" s="172"/>
      <c r="QCJ409" s="172"/>
      <c r="QCK409" s="172"/>
      <c r="QCL409" s="172"/>
      <c r="QCM409" s="172"/>
      <c r="QCN409" s="172"/>
      <c r="QCO409" s="172"/>
      <c r="QCP409" s="172"/>
      <c r="QCQ409" s="172"/>
      <c r="QCR409" s="172"/>
      <c r="QCS409" s="172"/>
      <c r="QCT409" s="172"/>
      <c r="QCU409" s="172"/>
      <c r="QCV409" s="172"/>
      <c r="QCW409" s="172"/>
      <c r="QCX409" s="172"/>
      <c r="QCY409" s="172"/>
      <c r="QCZ409" s="172"/>
      <c r="QDA409" s="172"/>
      <c r="QDB409" s="172"/>
      <c r="QDC409" s="172"/>
      <c r="QDD409" s="172"/>
      <c r="QDE409" s="172"/>
      <c r="QDF409" s="172"/>
      <c r="QDG409" s="172"/>
      <c r="QDH409" s="172"/>
      <c r="QDI409" s="172"/>
      <c r="QDJ409" s="172"/>
      <c r="QDK409" s="172"/>
      <c r="QDL409" s="172"/>
      <c r="QDM409" s="172"/>
      <c r="QDN409" s="172"/>
      <c r="QDO409" s="172"/>
      <c r="QDP409" s="172"/>
      <c r="QDQ409" s="172"/>
      <c r="QDR409" s="172"/>
      <c r="QDS409" s="172"/>
      <c r="QDT409" s="172"/>
      <c r="QDU409" s="172"/>
      <c r="QDV409" s="172"/>
      <c r="QDW409" s="172"/>
      <c r="QDX409" s="172"/>
      <c r="QDY409" s="172"/>
      <c r="QDZ409" s="172"/>
      <c r="QEA409" s="172"/>
      <c r="QEB409" s="172"/>
      <c r="QEC409" s="172"/>
      <c r="QED409" s="172"/>
      <c r="QEE409" s="172"/>
      <c r="QEF409" s="172"/>
      <c r="QEG409" s="172"/>
      <c r="QEH409" s="172"/>
      <c r="QEI409" s="172"/>
      <c r="QEJ409" s="172"/>
      <c r="QEK409" s="172"/>
      <c r="QEL409" s="172"/>
      <c r="QEM409" s="172"/>
      <c r="QEN409" s="172"/>
      <c r="QEO409" s="172"/>
      <c r="QEP409" s="172"/>
      <c r="QEQ409" s="172"/>
      <c r="QER409" s="172"/>
      <c r="QES409" s="172"/>
      <c r="QET409" s="172"/>
      <c r="QEU409" s="172"/>
      <c r="QEV409" s="172"/>
      <c r="QEW409" s="172"/>
      <c r="QEX409" s="172"/>
      <c r="QEY409" s="172"/>
      <c r="QEZ409" s="172"/>
      <c r="QFA409" s="172"/>
      <c r="QFB409" s="172"/>
      <c r="QFC409" s="172"/>
      <c r="QFD409" s="172"/>
      <c r="QFE409" s="172"/>
      <c r="QFF409" s="172"/>
      <c r="QFG409" s="172"/>
      <c r="QFH409" s="172"/>
      <c r="QFI409" s="172"/>
      <c r="QFJ409" s="172"/>
      <c r="QFK409" s="172"/>
      <c r="QFL409" s="172"/>
      <c r="QFM409" s="172"/>
      <c r="QFN409" s="172"/>
      <c r="QFO409" s="172"/>
      <c r="QFP409" s="172"/>
      <c r="QFQ409" s="172"/>
      <c r="QFR409" s="172"/>
      <c r="QFS409" s="172"/>
      <c r="QFT409" s="172"/>
      <c r="QFU409" s="172"/>
      <c r="QFV409" s="172"/>
      <c r="QFW409" s="172"/>
      <c r="QFX409" s="172"/>
      <c r="QFY409" s="172"/>
      <c r="QFZ409" s="172"/>
      <c r="QGA409" s="172"/>
      <c r="QGB409" s="172"/>
      <c r="QGC409" s="172"/>
      <c r="QGD409" s="172"/>
      <c r="QGE409" s="172"/>
      <c r="QGF409" s="172"/>
      <c r="QGG409" s="172"/>
      <c r="QGH409" s="172"/>
      <c r="QGI409" s="172"/>
      <c r="QGJ409" s="172"/>
      <c r="QGK409" s="172"/>
      <c r="QGL409" s="172"/>
      <c r="QGM409" s="172"/>
      <c r="QGN409" s="172"/>
      <c r="QGO409" s="172"/>
      <c r="QGP409" s="172"/>
      <c r="QGQ409" s="172"/>
      <c r="QGR409" s="172"/>
      <c r="QGS409" s="172"/>
      <c r="QGT409" s="172"/>
      <c r="QGU409" s="172"/>
      <c r="QGV409" s="172"/>
      <c r="QGW409" s="172"/>
      <c r="QGX409" s="172"/>
      <c r="QGY409" s="172"/>
      <c r="QGZ409" s="172"/>
      <c r="QHA409" s="172"/>
      <c r="QHB409" s="172"/>
      <c r="QHC409" s="172"/>
      <c r="QHD409" s="172"/>
      <c r="QHE409" s="172"/>
      <c r="QHF409" s="172"/>
      <c r="QHG409" s="172"/>
      <c r="QHH409" s="172"/>
      <c r="QHI409" s="172"/>
      <c r="QHJ409" s="172"/>
      <c r="QHK409" s="172"/>
      <c r="QHL409" s="172"/>
      <c r="QHM409" s="172"/>
      <c r="QHN409" s="172"/>
      <c r="QHO409" s="172"/>
      <c r="QHP409" s="172"/>
      <c r="QHQ409" s="172"/>
      <c r="QHR409" s="172"/>
      <c r="QHS409" s="172"/>
      <c r="QHT409" s="172"/>
      <c r="QHU409" s="172"/>
      <c r="QHV409" s="172"/>
      <c r="QHW409" s="172"/>
      <c r="QHX409" s="172"/>
      <c r="QHY409" s="172"/>
      <c r="QHZ409" s="172"/>
      <c r="QIA409" s="172"/>
      <c r="QIB409" s="172"/>
      <c r="QIC409" s="172"/>
      <c r="QID409" s="172"/>
      <c r="QIE409" s="172"/>
      <c r="QIF409" s="172"/>
      <c r="QIG409" s="172"/>
      <c r="QIH409" s="172"/>
      <c r="QII409" s="172"/>
      <c r="QIJ409" s="172"/>
      <c r="QIK409" s="172"/>
      <c r="QIL409" s="172"/>
      <c r="QIM409" s="172"/>
      <c r="QIN409" s="172"/>
      <c r="QIO409" s="172"/>
      <c r="QIP409" s="172"/>
      <c r="QIQ409" s="172"/>
      <c r="QIR409" s="172"/>
      <c r="QIS409" s="172"/>
      <c r="QIT409" s="172"/>
      <c r="QIU409" s="172"/>
      <c r="QIV409" s="172"/>
      <c r="QIW409" s="172"/>
      <c r="QIX409" s="172"/>
      <c r="QIY409" s="172"/>
      <c r="QIZ409" s="172"/>
      <c r="QJA409" s="172"/>
      <c r="QJB409" s="172"/>
      <c r="QJC409" s="172"/>
      <c r="QJD409" s="172"/>
      <c r="QJE409" s="172"/>
      <c r="QJF409" s="172"/>
      <c r="QJG409" s="172"/>
      <c r="QJH409" s="172"/>
      <c r="QJI409" s="172"/>
      <c r="QJJ409" s="172"/>
      <c r="QJK409" s="172"/>
      <c r="QJL409" s="172"/>
      <c r="QJM409" s="172"/>
      <c r="QJN409" s="172"/>
      <c r="QJO409" s="172"/>
      <c r="QJP409" s="172"/>
      <c r="QJQ409" s="172"/>
      <c r="QJR409" s="172"/>
      <c r="QJS409" s="172"/>
      <c r="QJT409" s="172"/>
      <c r="QJU409" s="172"/>
      <c r="QJV409" s="172"/>
      <c r="QJW409" s="172"/>
      <c r="QJX409" s="172"/>
      <c r="QJY409" s="172"/>
      <c r="QJZ409" s="172"/>
      <c r="QKA409" s="172"/>
      <c r="QKB409" s="172"/>
      <c r="QKC409" s="172"/>
      <c r="QKD409" s="172"/>
      <c r="QKE409" s="172"/>
      <c r="QKF409" s="172"/>
      <c r="QKG409" s="172"/>
      <c r="QKH409" s="172"/>
      <c r="QKI409" s="172"/>
      <c r="QKJ409" s="172"/>
      <c r="QKK409" s="172"/>
      <c r="QKL409" s="172"/>
      <c r="QKM409" s="172"/>
      <c r="QKN409" s="172"/>
      <c r="QKO409" s="172"/>
      <c r="QKP409" s="172"/>
      <c r="QKQ409" s="172"/>
      <c r="QKR409" s="172"/>
      <c r="QKS409" s="172"/>
      <c r="QKT409" s="172"/>
      <c r="QKU409" s="172"/>
      <c r="QKV409" s="172"/>
      <c r="QKW409" s="172"/>
      <c r="QKX409" s="172"/>
      <c r="QKY409" s="172"/>
      <c r="QKZ409" s="172"/>
      <c r="QLA409" s="172"/>
      <c r="QLB409" s="172"/>
      <c r="QLC409" s="172"/>
      <c r="QLD409" s="172"/>
      <c r="QLE409" s="172"/>
      <c r="QLF409" s="172"/>
      <c r="QLG409" s="172"/>
      <c r="QLH409" s="172"/>
      <c r="QLI409" s="172"/>
      <c r="QLJ409" s="172"/>
      <c r="QLK409" s="172"/>
      <c r="QLL409" s="172"/>
      <c r="QLM409" s="172"/>
      <c r="QLN409" s="172"/>
      <c r="QLO409" s="172"/>
      <c r="QLP409" s="172"/>
      <c r="QLQ409" s="172"/>
      <c r="QLR409" s="172"/>
      <c r="QLS409" s="172"/>
      <c r="QLT409" s="172"/>
      <c r="QLU409" s="172"/>
      <c r="QLV409" s="172"/>
      <c r="QLW409" s="172"/>
      <c r="QLX409" s="172"/>
      <c r="QLY409" s="172"/>
      <c r="QLZ409" s="172"/>
      <c r="QMA409" s="172"/>
      <c r="QMB409" s="172"/>
      <c r="QMC409" s="172"/>
      <c r="QMD409" s="172"/>
      <c r="QME409" s="172"/>
      <c r="QMF409" s="172"/>
      <c r="QMG409" s="172"/>
      <c r="QMH409" s="172"/>
      <c r="QMI409" s="172"/>
      <c r="QMJ409" s="172"/>
      <c r="QMK409" s="172"/>
      <c r="QML409" s="172"/>
      <c r="QMM409" s="172"/>
      <c r="QMN409" s="172"/>
      <c r="QMO409" s="172"/>
      <c r="QMP409" s="172"/>
      <c r="QMQ409" s="172"/>
      <c r="QMR409" s="172"/>
      <c r="QMS409" s="172"/>
      <c r="QMT409" s="172"/>
      <c r="QMU409" s="172"/>
      <c r="QMV409" s="172"/>
      <c r="QMW409" s="172"/>
      <c r="QMX409" s="172"/>
      <c r="QMY409" s="172"/>
      <c r="QMZ409" s="172"/>
      <c r="QNA409" s="172"/>
      <c r="QNB409" s="172"/>
      <c r="QNC409" s="172"/>
      <c r="QND409" s="172"/>
      <c r="QNE409" s="172"/>
      <c r="QNF409" s="172"/>
      <c r="QNG409" s="172"/>
      <c r="QNH409" s="172"/>
      <c r="QNI409" s="172"/>
      <c r="QNJ409" s="172"/>
      <c r="QNK409" s="172"/>
      <c r="QNL409" s="172"/>
      <c r="QNM409" s="172"/>
      <c r="QNN409" s="172"/>
      <c r="QNO409" s="172"/>
      <c r="QNP409" s="172"/>
      <c r="QNQ409" s="172"/>
      <c r="QNR409" s="172"/>
      <c r="QNS409" s="172"/>
      <c r="QNT409" s="172"/>
      <c r="QNU409" s="172"/>
      <c r="QNV409" s="172"/>
      <c r="QNW409" s="172"/>
      <c r="QNX409" s="172"/>
      <c r="QNY409" s="172"/>
      <c r="QNZ409" s="172"/>
      <c r="QOA409" s="172"/>
      <c r="QOB409" s="172"/>
      <c r="QOC409" s="172"/>
      <c r="QOD409" s="172"/>
      <c r="QOE409" s="172"/>
      <c r="QOF409" s="172"/>
      <c r="QOG409" s="172"/>
      <c r="QOH409" s="172"/>
      <c r="QOI409" s="172"/>
      <c r="QOJ409" s="172"/>
      <c r="QOK409" s="172"/>
      <c r="QOL409" s="172"/>
      <c r="QOM409" s="172"/>
      <c r="QON409" s="172"/>
      <c r="QOO409" s="172"/>
      <c r="QOP409" s="172"/>
      <c r="QOQ409" s="172"/>
      <c r="QOR409" s="172"/>
      <c r="QOS409" s="172"/>
      <c r="QOT409" s="172"/>
      <c r="QOU409" s="172"/>
      <c r="QOV409" s="172"/>
      <c r="QOW409" s="172"/>
      <c r="QOX409" s="172"/>
      <c r="QOY409" s="172"/>
      <c r="QOZ409" s="172"/>
      <c r="QPA409" s="172"/>
      <c r="QPB409" s="172"/>
      <c r="QPC409" s="172"/>
      <c r="QPD409" s="172"/>
      <c r="QPE409" s="172"/>
      <c r="QPF409" s="172"/>
      <c r="QPG409" s="172"/>
      <c r="QPH409" s="172"/>
      <c r="QPI409" s="172"/>
      <c r="QPJ409" s="172"/>
      <c r="QPK409" s="172"/>
      <c r="QPL409" s="172"/>
      <c r="QPM409" s="172"/>
      <c r="QPN409" s="172"/>
      <c r="QPO409" s="172"/>
      <c r="QPP409" s="172"/>
      <c r="QPQ409" s="172"/>
      <c r="QPR409" s="172"/>
      <c r="QPS409" s="172"/>
      <c r="QPT409" s="172"/>
      <c r="QPU409" s="172"/>
      <c r="QPV409" s="172"/>
      <c r="QPW409" s="172"/>
      <c r="QPX409" s="172"/>
      <c r="QPY409" s="172"/>
      <c r="QPZ409" s="172"/>
      <c r="QQA409" s="172"/>
      <c r="QQB409" s="172"/>
      <c r="QQC409" s="172"/>
      <c r="QQD409" s="172"/>
      <c r="QQE409" s="172"/>
      <c r="QQF409" s="172"/>
      <c r="QQG409" s="172"/>
      <c r="QQH409" s="172"/>
      <c r="QQI409" s="172"/>
      <c r="QQJ409" s="172"/>
      <c r="QQK409" s="172"/>
      <c r="QQL409" s="172"/>
      <c r="QQM409" s="172"/>
      <c r="QQN409" s="172"/>
      <c r="QQO409" s="172"/>
      <c r="QQP409" s="172"/>
      <c r="QQQ409" s="172"/>
      <c r="QQR409" s="172"/>
      <c r="QQS409" s="172"/>
      <c r="QQT409" s="172"/>
      <c r="QQU409" s="172"/>
      <c r="QQV409" s="172"/>
      <c r="QQW409" s="172"/>
      <c r="QQX409" s="172"/>
      <c r="QQY409" s="172"/>
      <c r="QQZ409" s="172"/>
      <c r="QRA409" s="172"/>
      <c r="QRB409" s="172"/>
      <c r="QRC409" s="172"/>
      <c r="QRD409" s="172"/>
      <c r="QRE409" s="172"/>
      <c r="QRF409" s="172"/>
      <c r="QRG409" s="172"/>
      <c r="QRH409" s="172"/>
      <c r="QRI409" s="172"/>
      <c r="QRJ409" s="172"/>
      <c r="QRK409" s="172"/>
      <c r="QRL409" s="172"/>
      <c r="QRM409" s="172"/>
      <c r="QRN409" s="172"/>
      <c r="QRO409" s="172"/>
      <c r="QRP409" s="172"/>
      <c r="QRQ409" s="172"/>
      <c r="QRR409" s="172"/>
      <c r="QRS409" s="172"/>
      <c r="QRT409" s="172"/>
      <c r="QRU409" s="172"/>
      <c r="QRV409" s="172"/>
      <c r="QRW409" s="172"/>
      <c r="QRX409" s="172"/>
      <c r="QRY409" s="172"/>
      <c r="QRZ409" s="172"/>
      <c r="QSA409" s="172"/>
      <c r="QSB409" s="172"/>
      <c r="QSC409" s="172"/>
      <c r="QSD409" s="172"/>
      <c r="QSE409" s="172"/>
      <c r="QSF409" s="172"/>
      <c r="QSG409" s="172"/>
      <c r="QSH409" s="172"/>
      <c r="QSI409" s="172"/>
      <c r="QSJ409" s="172"/>
      <c r="QSK409" s="172"/>
      <c r="QSL409" s="172"/>
      <c r="QSM409" s="172"/>
      <c r="QSN409" s="172"/>
      <c r="QSO409" s="172"/>
      <c r="QSP409" s="172"/>
      <c r="QSQ409" s="172"/>
      <c r="QSR409" s="172"/>
      <c r="QSS409" s="172"/>
      <c r="QST409" s="172"/>
      <c r="QSU409" s="172"/>
      <c r="QSV409" s="172"/>
      <c r="QSW409" s="172"/>
      <c r="QSX409" s="172"/>
      <c r="QSY409" s="172"/>
      <c r="QSZ409" s="172"/>
      <c r="QTA409" s="172"/>
      <c r="QTB409" s="172"/>
      <c r="QTC409" s="172"/>
      <c r="QTD409" s="172"/>
      <c r="QTE409" s="172"/>
      <c r="QTF409" s="172"/>
      <c r="QTG409" s="172"/>
      <c r="QTH409" s="172"/>
      <c r="QTI409" s="172"/>
      <c r="QTJ409" s="172"/>
      <c r="QTK409" s="172"/>
      <c r="QTL409" s="172"/>
      <c r="QTM409" s="172"/>
      <c r="QTN409" s="172"/>
      <c r="QTO409" s="172"/>
      <c r="QTP409" s="172"/>
      <c r="QTQ409" s="172"/>
      <c r="QTR409" s="172"/>
      <c r="QTS409" s="172"/>
      <c r="QTT409" s="172"/>
      <c r="QTU409" s="172"/>
      <c r="QTV409" s="172"/>
      <c r="QTW409" s="172"/>
      <c r="QTX409" s="172"/>
      <c r="QTY409" s="172"/>
      <c r="QTZ409" s="172"/>
      <c r="QUA409" s="172"/>
      <c r="QUB409" s="172"/>
      <c r="QUC409" s="172"/>
      <c r="QUD409" s="172"/>
      <c r="QUE409" s="172"/>
      <c r="QUF409" s="172"/>
      <c r="QUG409" s="172"/>
      <c r="QUH409" s="172"/>
      <c r="QUI409" s="172"/>
      <c r="QUJ409" s="172"/>
      <c r="QUK409" s="172"/>
      <c r="QUL409" s="172"/>
      <c r="QUM409" s="172"/>
      <c r="QUN409" s="172"/>
      <c r="QUO409" s="172"/>
      <c r="QUP409" s="172"/>
      <c r="QUQ409" s="172"/>
      <c r="QUR409" s="172"/>
      <c r="QUS409" s="172"/>
      <c r="QUT409" s="172"/>
      <c r="QUU409" s="172"/>
      <c r="QUV409" s="172"/>
      <c r="QUW409" s="172"/>
      <c r="QUX409" s="172"/>
      <c r="QUY409" s="172"/>
      <c r="QUZ409" s="172"/>
      <c r="QVA409" s="172"/>
      <c r="QVB409" s="172"/>
      <c r="QVC409" s="172"/>
      <c r="QVD409" s="172"/>
      <c r="QVE409" s="172"/>
      <c r="QVF409" s="172"/>
      <c r="QVG409" s="172"/>
      <c r="QVH409" s="172"/>
      <c r="QVI409" s="172"/>
      <c r="QVJ409" s="172"/>
      <c r="QVK409" s="172"/>
      <c r="QVL409" s="172"/>
      <c r="QVM409" s="172"/>
      <c r="QVN409" s="172"/>
      <c r="QVO409" s="172"/>
      <c r="QVP409" s="172"/>
      <c r="QVQ409" s="172"/>
      <c r="QVR409" s="172"/>
      <c r="QVS409" s="172"/>
      <c r="QVT409" s="172"/>
      <c r="QVU409" s="172"/>
      <c r="QVV409" s="172"/>
      <c r="QVW409" s="172"/>
      <c r="QVX409" s="172"/>
      <c r="QVY409" s="172"/>
      <c r="QVZ409" s="172"/>
      <c r="QWA409" s="172"/>
      <c r="QWB409" s="172"/>
      <c r="QWC409" s="172"/>
      <c r="QWD409" s="172"/>
      <c r="QWE409" s="172"/>
      <c r="QWF409" s="172"/>
      <c r="QWG409" s="172"/>
      <c r="QWH409" s="172"/>
      <c r="QWI409" s="172"/>
      <c r="QWJ409" s="172"/>
      <c r="QWK409" s="172"/>
      <c r="QWL409" s="172"/>
      <c r="QWM409" s="172"/>
      <c r="QWN409" s="172"/>
      <c r="QWO409" s="172"/>
      <c r="QWP409" s="172"/>
      <c r="QWQ409" s="172"/>
      <c r="QWR409" s="172"/>
      <c r="QWS409" s="172"/>
      <c r="QWT409" s="172"/>
      <c r="QWU409" s="172"/>
      <c r="QWV409" s="172"/>
      <c r="QWW409" s="172"/>
      <c r="QWX409" s="172"/>
      <c r="QWY409" s="172"/>
      <c r="QWZ409" s="172"/>
      <c r="QXA409" s="172"/>
      <c r="QXB409" s="172"/>
      <c r="QXC409" s="172"/>
      <c r="QXD409" s="172"/>
      <c r="QXE409" s="172"/>
      <c r="QXF409" s="172"/>
      <c r="QXG409" s="172"/>
      <c r="QXH409" s="172"/>
      <c r="QXI409" s="172"/>
      <c r="QXJ409" s="172"/>
      <c r="QXK409" s="172"/>
      <c r="QXL409" s="172"/>
      <c r="QXM409" s="172"/>
      <c r="QXN409" s="172"/>
      <c r="QXO409" s="172"/>
      <c r="QXP409" s="172"/>
      <c r="QXQ409" s="172"/>
      <c r="QXR409" s="172"/>
      <c r="QXS409" s="172"/>
      <c r="QXT409" s="172"/>
      <c r="QXU409" s="172"/>
      <c r="QXV409" s="172"/>
      <c r="QXW409" s="172"/>
      <c r="QXX409" s="172"/>
      <c r="QXY409" s="172"/>
      <c r="QXZ409" s="172"/>
      <c r="QYA409" s="172"/>
      <c r="QYB409" s="172"/>
      <c r="QYC409" s="172"/>
      <c r="QYD409" s="172"/>
      <c r="QYE409" s="172"/>
      <c r="QYF409" s="172"/>
      <c r="QYG409" s="172"/>
      <c r="QYH409" s="172"/>
      <c r="QYI409" s="172"/>
      <c r="QYJ409" s="172"/>
      <c r="QYK409" s="172"/>
      <c r="QYL409" s="172"/>
      <c r="QYM409" s="172"/>
      <c r="QYN409" s="172"/>
      <c r="QYO409" s="172"/>
      <c r="QYP409" s="172"/>
      <c r="QYQ409" s="172"/>
      <c r="QYR409" s="172"/>
      <c r="QYS409" s="172"/>
      <c r="QYT409" s="172"/>
      <c r="QYU409" s="172"/>
      <c r="QYV409" s="172"/>
      <c r="QYW409" s="172"/>
      <c r="QYX409" s="172"/>
      <c r="QYY409" s="172"/>
      <c r="QYZ409" s="172"/>
      <c r="QZA409" s="172"/>
      <c r="QZB409" s="172"/>
      <c r="QZC409" s="172"/>
      <c r="QZD409" s="172"/>
      <c r="QZE409" s="172"/>
      <c r="QZF409" s="172"/>
      <c r="QZG409" s="172"/>
      <c r="QZH409" s="172"/>
      <c r="QZI409" s="172"/>
      <c r="QZJ409" s="172"/>
      <c r="QZK409" s="172"/>
      <c r="QZL409" s="172"/>
      <c r="QZM409" s="172"/>
      <c r="QZN409" s="172"/>
      <c r="QZO409" s="172"/>
      <c r="QZP409" s="172"/>
      <c r="QZQ409" s="172"/>
      <c r="QZR409" s="172"/>
      <c r="QZS409" s="172"/>
      <c r="QZT409" s="172"/>
      <c r="QZU409" s="172"/>
      <c r="QZV409" s="172"/>
      <c r="QZW409" s="172"/>
      <c r="QZX409" s="172"/>
      <c r="QZY409" s="172"/>
      <c r="QZZ409" s="172"/>
      <c r="RAA409" s="172"/>
      <c r="RAB409" s="172"/>
      <c r="RAC409" s="172"/>
      <c r="RAD409" s="172"/>
      <c r="RAE409" s="172"/>
      <c r="RAF409" s="172"/>
      <c r="RAG409" s="172"/>
      <c r="RAH409" s="172"/>
      <c r="RAI409" s="172"/>
      <c r="RAJ409" s="172"/>
      <c r="RAK409" s="172"/>
      <c r="RAL409" s="172"/>
      <c r="RAM409" s="172"/>
      <c r="RAN409" s="172"/>
      <c r="RAO409" s="172"/>
      <c r="RAP409" s="172"/>
      <c r="RAQ409" s="172"/>
      <c r="RAR409" s="172"/>
      <c r="RAS409" s="172"/>
      <c r="RAT409" s="172"/>
      <c r="RAU409" s="172"/>
      <c r="RAV409" s="172"/>
      <c r="RAW409" s="172"/>
      <c r="RAX409" s="172"/>
      <c r="RAY409" s="172"/>
      <c r="RAZ409" s="172"/>
      <c r="RBA409" s="172"/>
      <c r="RBB409" s="172"/>
      <c r="RBC409" s="172"/>
      <c r="RBD409" s="172"/>
      <c r="RBE409" s="172"/>
      <c r="RBF409" s="172"/>
      <c r="RBG409" s="172"/>
      <c r="RBH409" s="172"/>
      <c r="RBI409" s="172"/>
      <c r="RBJ409" s="172"/>
      <c r="RBK409" s="172"/>
      <c r="RBL409" s="172"/>
      <c r="RBM409" s="172"/>
      <c r="RBN409" s="172"/>
      <c r="RBO409" s="172"/>
      <c r="RBP409" s="172"/>
      <c r="RBQ409" s="172"/>
      <c r="RBR409" s="172"/>
      <c r="RBS409" s="172"/>
      <c r="RBT409" s="172"/>
      <c r="RBU409" s="172"/>
      <c r="RBV409" s="172"/>
      <c r="RBW409" s="172"/>
      <c r="RBX409" s="172"/>
      <c r="RBY409" s="172"/>
      <c r="RBZ409" s="172"/>
      <c r="RCA409" s="172"/>
      <c r="RCB409" s="172"/>
      <c r="RCC409" s="172"/>
      <c r="RCD409" s="172"/>
      <c r="RCE409" s="172"/>
      <c r="RCF409" s="172"/>
      <c r="RCG409" s="172"/>
      <c r="RCH409" s="172"/>
      <c r="RCI409" s="172"/>
      <c r="RCJ409" s="172"/>
      <c r="RCK409" s="172"/>
      <c r="RCL409" s="172"/>
      <c r="RCM409" s="172"/>
      <c r="RCN409" s="172"/>
      <c r="RCO409" s="172"/>
      <c r="RCP409" s="172"/>
      <c r="RCQ409" s="172"/>
      <c r="RCR409" s="172"/>
      <c r="RCS409" s="172"/>
      <c r="RCT409" s="172"/>
      <c r="RCU409" s="172"/>
      <c r="RCV409" s="172"/>
      <c r="RCW409" s="172"/>
      <c r="RCX409" s="172"/>
      <c r="RCY409" s="172"/>
      <c r="RCZ409" s="172"/>
      <c r="RDA409" s="172"/>
      <c r="RDB409" s="172"/>
      <c r="RDC409" s="172"/>
      <c r="RDD409" s="172"/>
      <c r="RDE409" s="172"/>
      <c r="RDF409" s="172"/>
      <c r="RDG409" s="172"/>
      <c r="RDH409" s="172"/>
      <c r="RDI409" s="172"/>
      <c r="RDJ409" s="172"/>
      <c r="RDK409" s="172"/>
      <c r="RDL409" s="172"/>
      <c r="RDM409" s="172"/>
      <c r="RDN409" s="172"/>
      <c r="RDO409" s="172"/>
      <c r="RDP409" s="172"/>
      <c r="RDQ409" s="172"/>
      <c r="RDR409" s="172"/>
      <c r="RDS409" s="172"/>
      <c r="RDT409" s="172"/>
      <c r="RDU409" s="172"/>
      <c r="RDV409" s="172"/>
      <c r="RDW409" s="172"/>
      <c r="RDX409" s="172"/>
      <c r="RDY409" s="172"/>
      <c r="RDZ409" s="172"/>
      <c r="REA409" s="172"/>
      <c r="REB409" s="172"/>
      <c r="REC409" s="172"/>
      <c r="RED409" s="172"/>
      <c r="REE409" s="172"/>
      <c r="REF409" s="172"/>
      <c r="REG409" s="172"/>
      <c r="REH409" s="172"/>
      <c r="REI409" s="172"/>
      <c r="REJ409" s="172"/>
      <c r="REK409" s="172"/>
      <c r="REL409" s="172"/>
      <c r="REM409" s="172"/>
      <c r="REN409" s="172"/>
      <c r="REO409" s="172"/>
      <c r="REP409" s="172"/>
      <c r="REQ409" s="172"/>
      <c r="RER409" s="172"/>
      <c r="RES409" s="172"/>
      <c r="RET409" s="172"/>
      <c r="REU409" s="172"/>
      <c r="REV409" s="172"/>
      <c r="REW409" s="172"/>
      <c r="REX409" s="172"/>
      <c r="REY409" s="172"/>
      <c r="REZ409" s="172"/>
      <c r="RFA409" s="172"/>
      <c r="RFB409" s="172"/>
      <c r="RFC409" s="172"/>
      <c r="RFD409" s="172"/>
      <c r="RFE409" s="172"/>
      <c r="RFF409" s="172"/>
      <c r="RFG409" s="172"/>
      <c r="RFH409" s="172"/>
      <c r="RFI409" s="172"/>
      <c r="RFJ409" s="172"/>
      <c r="RFK409" s="172"/>
      <c r="RFL409" s="172"/>
      <c r="RFM409" s="172"/>
      <c r="RFN409" s="172"/>
      <c r="RFO409" s="172"/>
      <c r="RFP409" s="172"/>
      <c r="RFQ409" s="172"/>
      <c r="RFR409" s="172"/>
      <c r="RFS409" s="172"/>
      <c r="RFT409" s="172"/>
      <c r="RFU409" s="172"/>
      <c r="RFV409" s="172"/>
      <c r="RFW409" s="172"/>
      <c r="RFX409" s="172"/>
      <c r="RFY409" s="172"/>
      <c r="RFZ409" s="172"/>
      <c r="RGA409" s="172"/>
      <c r="RGB409" s="172"/>
      <c r="RGC409" s="172"/>
      <c r="RGD409" s="172"/>
      <c r="RGE409" s="172"/>
      <c r="RGF409" s="172"/>
      <c r="RGG409" s="172"/>
      <c r="RGH409" s="172"/>
      <c r="RGI409" s="172"/>
      <c r="RGJ409" s="172"/>
      <c r="RGK409" s="172"/>
      <c r="RGL409" s="172"/>
      <c r="RGM409" s="172"/>
      <c r="RGN409" s="172"/>
      <c r="RGO409" s="172"/>
      <c r="RGP409" s="172"/>
      <c r="RGQ409" s="172"/>
      <c r="RGR409" s="172"/>
      <c r="RGS409" s="172"/>
      <c r="RGT409" s="172"/>
      <c r="RGU409" s="172"/>
      <c r="RGV409" s="172"/>
      <c r="RGW409" s="172"/>
      <c r="RGX409" s="172"/>
      <c r="RGY409" s="172"/>
      <c r="RGZ409" s="172"/>
      <c r="RHA409" s="172"/>
      <c r="RHB409" s="172"/>
      <c r="RHC409" s="172"/>
      <c r="RHD409" s="172"/>
      <c r="RHE409" s="172"/>
      <c r="RHF409" s="172"/>
      <c r="RHG409" s="172"/>
      <c r="RHH409" s="172"/>
      <c r="RHI409" s="172"/>
      <c r="RHJ409" s="172"/>
      <c r="RHK409" s="172"/>
      <c r="RHL409" s="172"/>
      <c r="RHM409" s="172"/>
      <c r="RHN409" s="172"/>
      <c r="RHO409" s="172"/>
      <c r="RHP409" s="172"/>
      <c r="RHQ409" s="172"/>
      <c r="RHR409" s="172"/>
      <c r="RHS409" s="172"/>
      <c r="RHT409" s="172"/>
      <c r="RHU409" s="172"/>
      <c r="RHV409" s="172"/>
      <c r="RHW409" s="172"/>
      <c r="RHX409" s="172"/>
      <c r="RHY409" s="172"/>
      <c r="RHZ409" s="172"/>
      <c r="RIA409" s="172"/>
      <c r="RIB409" s="172"/>
      <c r="RIC409" s="172"/>
      <c r="RID409" s="172"/>
      <c r="RIE409" s="172"/>
      <c r="RIF409" s="172"/>
      <c r="RIG409" s="172"/>
      <c r="RIH409" s="172"/>
      <c r="RII409" s="172"/>
      <c r="RIJ409" s="172"/>
      <c r="RIK409" s="172"/>
      <c r="RIL409" s="172"/>
      <c r="RIM409" s="172"/>
      <c r="RIN409" s="172"/>
      <c r="RIO409" s="172"/>
      <c r="RIP409" s="172"/>
      <c r="RIQ409" s="172"/>
      <c r="RIR409" s="172"/>
      <c r="RIS409" s="172"/>
      <c r="RIT409" s="172"/>
      <c r="RIU409" s="172"/>
      <c r="RIV409" s="172"/>
      <c r="RIW409" s="172"/>
      <c r="RIX409" s="172"/>
      <c r="RIY409" s="172"/>
      <c r="RIZ409" s="172"/>
      <c r="RJA409" s="172"/>
      <c r="RJB409" s="172"/>
      <c r="RJC409" s="172"/>
      <c r="RJD409" s="172"/>
      <c r="RJE409" s="172"/>
      <c r="RJF409" s="172"/>
      <c r="RJG409" s="172"/>
      <c r="RJH409" s="172"/>
      <c r="RJI409" s="172"/>
      <c r="RJJ409" s="172"/>
      <c r="RJK409" s="172"/>
      <c r="RJL409" s="172"/>
      <c r="RJM409" s="172"/>
      <c r="RJN409" s="172"/>
      <c r="RJO409" s="172"/>
      <c r="RJP409" s="172"/>
      <c r="RJQ409" s="172"/>
      <c r="RJR409" s="172"/>
      <c r="RJS409" s="172"/>
      <c r="RJT409" s="172"/>
      <c r="RJU409" s="172"/>
      <c r="RJV409" s="172"/>
      <c r="RJW409" s="172"/>
      <c r="RJX409" s="172"/>
      <c r="RJY409" s="172"/>
      <c r="RJZ409" s="172"/>
      <c r="RKA409" s="172"/>
      <c r="RKB409" s="172"/>
      <c r="RKC409" s="172"/>
      <c r="RKD409" s="172"/>
      <c r="RKE409" s="172"/>
      <c r="RKF409" s="172"/>
      <c r="RKG409" s="172"/>
      <c r="RKH409" s="172"/>
      <c r="RKI409" s="172"/>
      <c r="RKJ409" s="172"/>
      <c r="RKK409" s="172"/>
      <c r="RKL409" s="172"/>
      <c r="RKM409" s="172"/>
      <c r="RKN409" s="172"/>
      <c r="RKO409" s="172"/>
      <c r="RKP409" s="172"/>
      <c r="RKQ409" s="172"/>
      <c r="RKR409" s="172"/>
      <c r="RKS409" s="172"/>
      <c r="RKT409" s="172"/>
      <c r="RKU409" s="172"/>
      <c r="RKV409" s="172"/>
      <c r="RKW409" s="172"/>
      <c r="RKX409" s="172"/>
      <c r="RKY409" s="172"/>
      <c r="RKZ409" s="172"/>
      <c r="RLA409" s="172"/>
      <c r="RLB409" s="172"/>
      <c r="RLC409" s="172"/>
      <c r="RLD409" s="172"/>
      <c r="RLE409" s="172"/>
      <c r="RLF409" s="172"/>
      <c r="RLG409" s="172"/>
      <c r="RLH409" s="172"/>
      <c r="RLI409" s="172"/>
      <c r="RLJ409" s="172"/>
      <c r="RLK409" s="172"/>
      <c r="RLL409" s="172"/>
      <c r="RLM409" s="172"/>
      <c r="RLN409" s="172"/>
      <c r="RLO409" s="172"/>
      <c r="RLP409" s="172"/>
      <c r="RLQ409" s="172"/>
      <c r="RLR409" s="172"/>
      <c r="RLS409" s="172"/>
      <c r="RLT409" s="172"/>
      <c r="RLU409" s="172"/>
      <c r="RLV409" s="172"/>
      <c r="RLW409" s="172"/>
      <c r="RLX409" s="172"/>
      <c r="RLY409" s="172"/>
      <c r="RLZ409" s="172"/>
      <c r="RMA409" s="172"/>
      <c r="RMB409" s="172"/>
      <c r="RMC409" s="172"/>
      <c r="RMD409" s="172"/>
      <c r="RME409" s="172"/>
      <c r="RMF409" s="172"/>
      <c r="RMG409" s="172"/>
      <c r="RMH409" s="172"/>
      <c r="RMI409" s="172"/>
      <c r="RMJ409" s="172"/>
      <c r="RMK409" s="172"/>
      <c r="RML409" s="172"/>
      <c r="RMM409" s="172"/>
      <c r="RMN409" s="172"/>
      <c r="RMO409" s="172"/>
      <c r="RMP409" s="172"/>
      <c r="RMQ409" s="172"/>
      <c r="RMR409" s="172"/>
      <c r="RMS409" s="172"/>
      <c r="RMT409" s="172"/>
      <c r="RMU409" s="172"/>
      <c r="RMV409" s="172"/>
      <c r="RMW409" s="172"/>
      <c r="RMX409" s="172"/>
      <c r="RMY409" s="172"/>
      <c r="RMZ409" s="172"/>
      <c r="RNA409" s="172"/>
      <c r="RNB409" s="172"/>
      <c r="RNC409" s="172"/>
      <c r="RND409" s="172"/>
      <c r="RNE409" s="172"/>
      <c r="RNF409" s="172"/>
      <c r="RNG409" s="172"/>
      <c r="RNH409" s="172"/>
      <c r="RNI409" s="172"/>
      <c r="RNJ409" s="172"/>
      <c r="RNK409" s="172"/>
      <c r="RNL409" s="172"/>
      <c r="RNM409" s="172"/>
      <c r="RNN409" s="172"/>
      <c r="RNO409" s="172"/>
      <c r="RNP409" s="172"/>
      <c r="RNQ409" s="172"/>
      <c r="RNR409" s="172"/>
      <c r="RNS409" s="172"/>
      <c r="RNT409" s="172"/>
      <c r="RNU409" s="172"/>
      <c r="RNV409" s="172"/>
      <c r="RNW409" s="172"/>
      <c r="RNX409" s="172"/>
      <c r="RNY409" s="172"/>
      <c r="RNZ409" s="172"/>
      <c r="ROA409" s="172"/>
      <c r="ROB409" s="172"/>
      <c r="ROC409" s="172"/>
      <c r="ROD409" s="172"/>
      <c r="ROE409" s="172"/>
      <c r="ROF409" s="172"/>
      <c r="ROG409" s="172"/>
      <c r="ROH409" s="172"/>
      <c r="ROI409" s="172"/>
      <c r="ROJ409" s="172"/>
      <c r="ROK409" s="172"/>
      <c r="ROL409" s="172"/>
      <c r="ROM409" s="172"/>
      <c r="RON409" s="172"/>
      <c r="ROO409" s="172"/>
      <c r="ROP409" s="172"/>
      <c r="ROQ409" s="172"/>
      <c r="ROR409" s="172"/>
      <c r="ROS409" s="172"/>
      <c r="ROT409" s="172"/>
      <c r="ROU409" s="172"/>
      <c r="ROV409" s="172"/>
      <c r="ROW409" s="172"/>
      <c r="ROX409" s="172"/>
      <c r="ROY409" s="172"/>
      <c r="ROZ409" s="172"/>
      <c r="RPA409" s="172"/>
      <c r="RPB409" s="172"/>
      <c r="RPC409" s="172"/>
      <c r="RPD409" s="172"/>
      <c r="RPE409" s="172"/>
      <c r="RPF409" s="172"/>
      <c r="RPG409" s="172"/>
      <c r="RPH409" s="172"/>
      <c r="RPI409" s="172"/>
      <c r="RPJ409" s="172"/>
      <c r="RPK409" s="172"/>
      <c r="RPL409" s="172"/>
      <c r="RPM409" s="172"/>
      <c r="RPN409" s="172"/>
      <c r="RPO409" s="172"/>
      <c r="RPP409" s="172"/>
      <c r="RPQ409" s="172"/>
      <c r="RPR409" s="172"/>
      <c r="RPS409" s="172"/>
      <c r="RPT409" s="172"/>
      <c r="RPU409" s="172"/>
      <c r="RPV409" s="172"/>
      <c r="RPW409" s="172"/>
      <c r="RPX409" s="172"/>
      <c r="RPY409" s="172"/>
      <c r="RPZ409" s="172"/>
      <c r="RQA409" s="172"/>
      <c r="RQB409" s="172"/>
      <c r="RQC409" s="172"/>
      <c r="RQD409" s="172"/>
      <c r="RQE409" s="172"/>
      <c r="RQF409" s="172"/>
      <c r="RQG409" s="172"/>
      <c r="RQH409" s="172"/>
      <c r="RQI409" s="172"/>
      <c r="RQJ409" s="172"/>
      <c r="RQK409" s="172"/>
      <c r="RQL409" s="172"/>
      <c r="RQM409" s="172"/>
      <c r="RQN409" s="172"/>
      <c r="RQO409" s="172"/>
      <c r="RQP409" s="172"/>
      <c r="RQQ409" s="172"/>
      <c r="RQR409" s="172"/>
      <c r="RQS409" s="172"/>
      <c r="RQT409" s="172"/>
      <c r="RQU409" s="172"/>
      <c r="RQV409" s="172"/>
      <c r="RQW409" s="172"/>
      <c r="RQX409" s="172"/>
      <c r="RQY409" s="172"/>
      <c r="RQZ409" s="172"/>
      <c r="RRA409" s="172"/>
      <c r="RRB409" s="172"/>
      <c r="RRC409" s="172"/>
      <c r="RRD409" s="172"/>
      <c r="RRE409" s="172"/>
      <c r="RRF409" s="172"/>
      <c r="RRG409" s="172"/>
      <c r="RRH409" s="172"/>
      <c r="RRI409" s="172"/>
      <c r="RRJ409" s="172"/>
      <c r="RRK409" s="172"/>
      <c r="RRL409" s="172"/>
      <c r="RRM409" s="172"/>
      <c r="RRN409" s="172"/>
      <c r="RRO409" s="172"/>
      <c r="RRP409" s="172"/>
      <c r="RRQ409" s="172"/>
      <c r="RRR409" s="172"/>
      <c r="RRS409" s="172"/>
      <c r="RRT409" s="172"/>
      <c r="RRU409" s="172"/>
      <c r="RRV409" s="172"/>
      <c r="RRW409" s="172"/>
      <c r="RRX409" s="172"/>
      <c r="RRY409" s="172"/>
      <c r="RRZ409" s="172"/>
      <c r="RSA409" s="172"/>
      <c r="RSB409" s="172"/>
      <c r="RSC409" s="172"/>
      <c r="RSD409" s="172"/>
      <c r="RSE409" s="172"/>
      <c r="RSF409" s="172"/>
      <c r="RSG409" s="172"/>
      <c r="RSH409" s="172"/>
      <c r="RSI409" s="172"/>
      <c r="RSJ409" s="172"/>
      <c r="RSK409" s="172"/>
      <c r="RSL409" s="172"/>
      <c r="RSM409" s="172"/>
      <c r="RSN409" s="172"/>
      <c r="RSO409" s="172"/>
      <c r="RSP409" s="172"/>
      <c r="RSQ409" s="172"/>
      <c r="RSR409" s="172"/>
      <c r="RSS409" s="172"/>
      <c r="RST409" s="172"/>
      <c r="RSU409" s="172"/>
      <c r="RSV409" s="172"/>
      <c r="RSW409" s="172"/>
      <c r="RSX409" s="172"/>
      <c r="RSY409" s="172"/>
      <c r="RSZ409" s="172"/>
      <c r="RTA409" s="172"/>
      <c r="RTB409" s="172"/>
      <c r="RTC409" s="172"/>
      <c r="RTD409" s="172"/>
      <c r="RTE409" s="172"/>
      <c r="RTF409" s="172"/>
      <c r="RTG409" s="172"/>
      <c r="RTH409" s="172"/>
      <c r="RTI409" s="172"/>
      <c r="RTJ409" s="172"/>
      <c r="RTK409" s="172"/>
      <c r="RTL409" s="172"/>
      <c r="RTM409" s="172"/>
      <c r="RTN409" s="172"/>
      <c r="RTO409" s="172"/>
      <c r="RTP409" s="172"/>
      <c r="RTQ409" s="172"/>
      <c r="RTR409" s="172"/>
      <c r="RTS409" s="172"/>
      <c r="RTT409" s="172"/>
      <c r="RTU409" s="172"/>
      <c r="RTV409" s="172"/>
      <c r="RTW409" s="172"/>
      <c r="RTX409" s="172"/>
      <c r="RTY409" s="172"/>
      <c r="RTZ409" s="172"/>
      <c r="RUA409" s="172"/>
      <c r="RUB409" s="172"/>
      <c r="RUC409" s="172"/>
      <c r="RUD409" s="172"/>
      <c r="RUE409" s="172"/>
      <c r="RUF409" s="172"/>
      <c r="RUG409" s="172"/>
      <c r="RUH409" s="172"/>
      <c r="RUI409" s="172"/>
      <c r="RUJ409" s="172"/>
      <c r="RUK409" s="172"/>
      <c r="RUL409" s="172"/>
      <c r="RUM409" s="172"/>
      <c r="RUN409" s="172"/>
      <c r="RUO409" s="172"/>
      <c r="RUP409" s="172"/>
      <c r="RUQ409" s="172"/>
      <c r="RUR409" s="172"/>
      <c r="RUS409" s="172"/>
      <c r="RUT409" s="172"/>
      <c r="RUU409" s="172"/>
      <c r="RUV409" s="172"/>
      <c r="RUW409" s="172"/>
      <c r="RUX409" s="172"/>
      <c r="RUY409" s="172"/>
      <c r="RUZ409" s="172"/>
      <c r="RVA409" s="172"/>
      <c r="RVB409" s="172"/>
      <c r="RVC409" s="172"/>
      <c r="RVD409" s="172"/>
      <c r="RVE409" s="172"/>
      <c r="RVF409" s="172"/>
      <c r="RVG409" s="172"/>
      <c r="RVH409" s="172"/>
      <c r="RVI409" s="172"/>
      <c r="RVJ409" s="172"/>
      <c r="RVK409" s="172"/>
      <c r="RVL409" s="172"/>
      <c r="RVM409" s="172"/>
      <c r="RVN409" s="172"/>
      <c r="RVO409" s="172"/>
      <c r="RVP409" s="172"/>
      <c r="RVQ409" s="172"/>
      <c r="RVR409" s="172"/>
      <c r="RVS409" s="172"/>
      <c r="RVT409" s="172"/>
      <c r="RVU409" s="172"/>
      <c r="RVV409" s="172"/>
      <c r="RVW409" s="172"/>
      <c r="RVX409" s="172"/>
      <c r="RVY409" s="172"/>
      <c r="RVZ409" s="172"/>
      <c r="RWA409" s="172"/>
      <c r="RWB409" s="172"/>
      <c r="RWC409" s="172"/>
      <c r="RWD409" s="172"/>
      <c r="RWE409" s="172"/>
      <c r="RWF409" s="172"/>
      <c r="RWG409" s="172"/>
      <c r="RWH409" s="172"/>
      <c r="RWI409" s="172"/>
      <c r="RWJ409" s="172"/>
      <c r="RWK409" s="172"/>
      <c r="RWL409" s="172"/>
      <c r="RWM409" s="172"/>
      <c r="RWN409" s="172"/>
      <c r="RWO409" s="172"/>
      <c r="RWP409" s="172"/>
      <c r="RWQ409" s="172"/>
      <c r="RWR409" s="172"/>
      <c r="RWS409" s="172"/>
      <c r="RWT409" s="172"/>
      <c r="RWU409" s="172"/>
      <c r="RWV409" s="172"/>
      <c r="RWW409" s="172"/>
      <c r="RWX409" s="172"/>
      <c r="RWY409" s="172"/>
      <c r="RWZ409" s="172"/>
      <c r="RXA409" s="172"/>
      <c r="RXB409" s="172"/>
      <c r="RXC409" s="172"/>
      <c r="RXD409" s="172"/>
      <c r="RXE409" s="172"/>
      <c r="RXF409" s="172"/>
      <c r="RXG409" s="172"/>
      <c r="RXH409" s="172"/>
      <c r="RXI409" s="172"/>
      <c r="RXJ409" s="172"/>
      <c r="RXK409" s="172"/>
      <c r="RXL409" s="172"/>
      <c r="RXM409" s="172"/>
      <c r="RXN409" s="172"/>
      <c r="RXO409" s="172"/>
      <c r="RXP409" s="172"/>
      <c r="RXQ409" s="172"/>
      <c r="RXR409" s="172"/>
      <c r="RXS409" s="172"/>
      <c r="RXT409" s="172"/>
      <c r="RXU409" s="172"/>
      <c r="RXV409" s="172"/>
      <c r="RXW409" s="172"/>
      <c r="RXX409" s="172"/>
      <c r="RXY409" s="172"/>
      <c r="RXZ409" s="172"/>
      <c r="RYA409" s="172"/>
      <c r="RYB409" s="172"/>
      <c r="RYC409" s="172"/>
      <c r="RYD409" s="172"/>
      <c r="RYE409" s="172"/>
      <c r="RYF409" s="172"/>
      <c r="RYG409" s="172"/>
      <c r="RYH409" s="172"/>
      <c r="RYI409" s="172"/>
      <c r="RYJ409" s="172"/>
      <c r="RYK409" s="172"/>
      <c r="RYL409" s="172"/>
      <c r="RYM409" s="172"/>
      <c r="RYN409" s="172"/>
      <c r="RYO409" s="172"/>
      <c r="RYP409" s="172"/>
      <c r="RYQ409" s="172"/>
      <c r="RYR409" s="172"/>
      <c r="RYS409" s="172"/>
      <c r="RYT409" s="172"/>
      <c r="RYU409" s="172"/>
      <c r="RYV409" s="172"/>
      <c r="RYW409" s="172"/>
      <c r="RYX409" s="172"/>
      <c r="RYY409" s="172"/>
      <c r="RYZ409" s="172"/>
      <c r="RZA409" s="172"/>
      <c r="RZB409" s="172"/>
      <c r="RZC409" s="172"/>
      <c r="RZD409" s="172"/>
      <c r="RZE409" s="172"/>
      <c r="RZF409" s="172"/>
      <c r="RZG409" s="172"/>
      <c r="RZH409" s="172"/>
      <c r="RZI409" s="172"/>
      <c r="RZJ409" s="172"/>
      <c r="RZK409" s="172"/>
      <c r="RZL409" s="172"/>
      <c r="RZM409" s="172"/>
      <c r="RZN409" s="172"/>
      <c r="RZO409" s="172"/>
      <c r="RZP409" s="172"/>
      <c r="RZQ409" s="172"/>
      <c r="RZR409" s="172"/>
      <c r="RZS409" s="172"/>
      <c r="RZT409" s="172"/>
      <c r="RZU409" s="172"/>
      <c r="RZV409" s="172"/>
      <c r="RZW409" s="172"/>
      <c r="RZX409" s="172"/>
      <c r="RZY409" s="172"/>
      <c r="RZZ409" s="172"/>
      <c r="SAA409" s="172"/>
      <c r="SAB409" s="172"/>
      <c r="SAC409" s="172"/>
      <c r="SAD409" s="172"/>
      <c r="SAE409" s="172"/>
      <c r="SAF409" s="172"/>
      <c r="SAG409" s="172"/>
      <c r="SAH409" s="172"/>
      <c r="SAI409" s="172"/>
      <c r="SAJ409" s="172"/>
      <c r="SAK409" s="172"/>
      <c r="SAL409" s="172"/>
      <c r="SAM409" s="172"/>
      <c r="SAN409" s="172"/>
      <c r="SAO409" s="172"/>
      <c r="SAP409" s="172"/>
      <c r="SAQ409" s="172"/>
      <c r="SAR409" s="172"/>
      <c r="SAS409" s="172"/>
      <c r="SAT409" s="172"/>
      <c r="SAU409" s="172"/>
      <c r="SAV409" s="172"/>
      <c r="SAW409" s="172"/>
      <c r="SAX409" s="172"/>
      <c r="SAY409" s="172"/>
      <c r="SAZ409" s="172"/>
      <c r="SBA409" s="172"/>
      <c r="SBB409" s="172"/>
      <c r="SBC409" s="172"/>
      <c r="SBD409" s="172"/>
      <c r="SBE409" s="172"/>
      <c r="SBF409" s="172"/>
      <c r="SBG409" s="172"/>
      <c r="SBH409" s="172"/>
      <c r="SBI409" s="172"/>
      <c r="SBJ409" s="172"/>
      <c r="SBK409" s="172"/>
      <c r="SBL409" s="172"/>
      <c r="SBM409" s="172"/>
      <c r="SBN409" s="172"/>
      <c r="SBO409" s="172"/>
      <c r="SBP409" s="172"/>
      <c r="SBQ409" s="172"/>
      <c r="SBR409" s="172"/>
      <c r="SBS409" s="172"/>
      <c r="SBT409" s="172"/>
      <c r="SBU409" s="172"/>
      <c r="SBV409" s="172"/>
      <c r="SBW409" s="172"/>
      <c r="SBX409" s="172"/>
      <c r="SBY409" s="172"/>
      <c r="SBZ409" s="172"/>
      <c r="SCA409" s="172"/>
      <c r="SCB409" s="172"/>
      <c r="SCC409" s="172"/>
      <c r="SCD409" s="172"/>
      <c r="SCE409" s="172"/>
      <c r="SCF409" s="172"/>
      <c r="SCG409" s="172"/>
      <c r="SCH409" s="172"/>
      <c r="SCI409" s="172"/>
      <c r="SCJ409" s="172"/>
      <c r="SCK409" s="172"/>
      <c r="SCL409" s="172"/>
      <c r="SCM409" s="172"/>
      <c r="SCN409" s="172"/>
      <c r="SCO409" s="172"/>
      <c r="SCP409" s="172"/>
      <c r="SCQ409" s="172"/>
      <c r="SCR409" s="172"/>
      <c r="SCS409" s="172"/>
      <c r="SCT409" s="172"/>
      <c r="SCU409" s="172"/>
      <c r="SCV409" s="172"/>
      <c r="SCW409" s="172"/>
      <c r="SCX409" s="172"/>
      <c r="SCY409" s="172"/>
      <c r="SCZ409" s="172"/>
      <c r="SDA409" s="172"/>
      <c r="SDB409" s="172"/>
      <c r="SDC409" s="172"/>
      <c r="SDD409" s="172"/>
      <c r="SDE409" s="172"/>
      <c r="SDF409" s="172"/>
      <c r="SDG409" s="172"/>
      <c r="SDH409" s="172"/>
      <c r="SDI409" s="172"/>
      <c r="SDJ409" s="172"/>
      <c r="SDK409" s="172"/>
      <c r="SDL409" s="172"/>
      <c r="SDM409" s="172"/>
      <c r="SDN409" s="172"/>
      <c r="SDO409" s="172"/>
      <c r="SDP409" s="172"/>
      <c r="SDQ409" s="172"/>
      <c r="SDR409" s="172"/>
      <c r="SDS409" s="172"/>
      <c r="SDT409" s="172"/>
      <c r="SDU409" s="172"/>
      <c r="SDV409" s="172"/>
      <c r="SDW409" s="172"/>
      <c r="SDX409" s="172"/>
      <c r="SDY409" s="172"/>
      <c r="SDZ409" s="172"/>
      <c r="SEA409" s="172"/>
      <c r="SEB409" s="172"/>
      <c r="SEC409" s="172"/>
      <c r="SED409" s="172"/>
      <c r="SEE409" s="172"/>
      <c r="SEF409" s="172"/>
      <c r="SEG409" s="172"/>
      <c r="SEH409" s="172"/>
      <c r="SEI409" s="172"/>
      <c r="SEJ409" s="172"/>
      <c r="SEK409" s="172"/>
      <c r="SEL409" s="172"/>
      <c r="SEM409" s="172"/>
      <c r="SEN409" s="172"/>
      <c r="SEO409" s="172"/>
      <c r="SEP409" s="172"/>
      <c r="SEQ409" s="172"/>
      <c r="SER409" s="172"/>
      <c r="SES409" s="172"/>
      <c r="SET409" s="172"/>
      <c r="SEU409" s="172"/>
      <c r="SEV409" s="172"/>
      <c r="SEW409" s="172"/>
      <c r="SEX409" s="172"/>
      <c r="SEY409" s="172"/>
      <c r="SEZ409" s="172"/>
      <c r="SFA409" s="172"/>
      <c r="SFB409" s="172"/>
      <c r="SFC409" s="172"/>
      <c r="SFD409" s="172"/>
      <c r="SFE409" s="172"/>
      <c r="SFF409" s="172"/>
      <c r="SFG409" s="172"/>
      <c r="SFH409" s="172"/>
      <c r="SFI409" s="172"/>
      <c r="SFJ409" s="172"/>
      <c r="SFK409" s="172"/>
      <c r="SFL409" s="172"/>
      <c r="SFM409" s="172"/>
      <c r="SFN409" s="172"/>
      <c r="SFO409" s="172"/>
      <c r="SFP409" s="172"/>
      <c r="SFQ409" s="172"/>
      <c r="SFR409" s="172"/>
      <c r="SFS409" s="172"/>
      <c r="SFT409" s="172"/>
      <c r="SFU409" s="172"/>
      <c r="SFV409" s="172"/>
      <c r="SFW409" s="172"/>
      <c r="SFX409" s="172"/>
      <c r="SFY409" s="172"/>
      <c r="SFZ409" s="172"/>
      <c r="SGA409" s="172"/>
      <c r="SGB409" s="172"/>
      <c r="SGC409" s="172"/>
      <c r="SGD409" s="172"/>
      <c r="SGE409" s="172"/>
      <c r="SGF409" s="172"/>
      <c r="SGG409" s="172"/>
      <c r="SGH409" s="172"/>
      <c r="SGI409" s="172"/>
      <c r="SGJ409" s="172"/>
      <c r="SGK409" s="172"/>
      <c r="SGL409" s="172"/>
      <c r="SGM409" s="172"/>
      <c r="SGN409" s="172"/>
      <c r="SGO409" s="172"/>
      <c r="SGP409" s="172"/>
      <c r="SGQ409" s="172"/>
      <c r="SGR409" s="172"/>
      <c r="SGS409" s="172"/>
      <c r="SGT409" s="172"/>
      <c r="SGU409" s="172"/>
      <c r="SGV409" s="172"/>
      <c r="SGW409" s="172"/>
      <c r="SGX409" s="172"/>
      <c r="SGY409" s="172"/>
      <c r="SGZ409" s="172"/>
      <c r="SHA409" s="172"/>
      <c r="SHB409" s="172"/>
      <c r="SHC409" s="172"/>
      <c r="SHD409" s="172"/>
      <c r="SHE409" s="172"/>
      <c r="SHF409" s="172"/>
      <c r="SHG409" s="172"/>
      <c r="SHH409" s="172"/>
      <c r="SHI409" s="172"/>
      <c r="SHJ409" s="172"/>
      <c r="SHK409" s="172"/>
      <c r="SHL409" s="172"/>
      <c r="SHM409" s="172"/>
      <c r="SHN409" s="172"/>
      <c r="SHO409" s="172"/>
      <c r="SHP409" s="172"/>
      <c r="SHQ409" s="172"/>
      <c r="SHR409" s="172"/>
      <c r="SHS409" s="172"/>
      <c r="SHT409" s="172"/>
      <c r="SHU409" s="172"/>
      <c r="SHV409" s="172"/>
      <c r="SHW409" s="172"/>
      <c r="SHX409" s="172"/>
      <c r="SHY409" s="172"/>
      <c r="SHZ409" s="172"/>
      <c r="SIA409" s="172"/>
      <c r="SIB409" s="172"/>
      <c r="SIC409" s="172"/>
      <c r="SID409" s="172"/>
      <c r="SIE409" s="172"/>
      <c r="SIF409" s="172"/>
      <c r="SIG409" s="172"/>
      <c r="SIH409" s="172"/>
      <c r="SII409" s="172"/>
      <c r="SIJ409" s="172"/>
      <c r="SIK409" s="172"/>
      <c r="SIL409" s="172"/>
      <c r="SIM409" s="172"/>
      <c r="SIN409" s="172"/>
      <c r="SIO409" s="172"/>
      <c r="SIP409" s="172"/>
      <c r="SIQ409" s="172"/>
      <c r="SIR409" s="172"/>
      <c r="SIS409" s="172"/>
      <c r="SIT409" s="172"/>
      <c r="SIU409" s="172"/>
      <c r="SIV409" s="172"/>
      <c r="SIW409" s="172"/>
      <c r="SIX409" s="172"/>
      <c r="SIY409" s="172"/>
      <c r="SIZ409" s="172"/>
      <c r="SJA409" s="172"/>
      <c r="SJB409" s="172"/>
      <c r="SJC409" s="172"/>
      <c r="SJD409" s="172"/>
      <c r="SJE409" s="172"/>
      <c r="SJF409" s="172"/>
      <c r="SJG409" s="172"/>
      <c r="SJH409" s="172"/>
      <c r="SJI409" s="172"/>
      <c r="SJJ409" s="172"/>
      <c r="SJK409" s="172"/>
      <c r="SJL409" s="172"/>
      <c r="SJM409" s="172"/>
      <c r="SJN409" s="172"/>
      <c r="SJO409" s="172"/>
      <c r="SJP409" s="172"/>
      <c r="SJQ409" s="172"/>
      <c r="SJR409" s="172"/>
      <c r="SJS409" s="172"/>
      <c r="SJT409" s="172"/>
      <c r="SJU409" s="172"/>
      <c r="SJV409" s="172"/>
      <c r="SJW409" s="172"/>
      <c r="SJX409" s="172"/>
      <c r="SJY409" s="172"/>
      <c r="SJZ409" s="172"/>
      <c r="SKA409" s="172"/>
      <c r="SKB409" s="172"/>
      <c r="SKC409" s="172"/>
      <c r="SKD409" s="172"/>
      <c r="SKE409" s="172"/>
      <c r="SKF409" s="172"/>
      <c r="SKG409" s="172"/>
      <c r="SKH409" s="172"/>
      <c r="SKI409" s="172"/>
      <c r="SKJ409" s="172"/>
      <c r="SKK409" s="172"/>
      <c r="SKL409" s="172"/>
      <c r="SKM409" s="172"/>
      <c r="SKN409" s="172"/>
      <c r="SKO409" s="172"/>
      <c r="SKP409" s="172"/>
      <c r="SKQ409" s="172"/>
      <c r="SKR409" s="172"/>
      <c r="SKS409" s="172"/>
      <c r="SKT409" s="172"/>
      <c r="SKU409" s="172"/>
      <c r="SKV409" s="172"/>
      <c r="SKW409" s="172"/>
      <c r="SKX409" s="172"/>
      <c r="SKY409" s="172"/>
      <c r="SKZ409" s="172"/>
      <c r="SLA409" s="172"/>
      <c r="SLB409" s="172"/>
      <c r="SLC409" s="172"/>
      <c r="SLD409" s="172"/>
      <c r="SLE409" s="172"/>
      <c r="SLF409" s="172"/>
      <c r="SLG409" s="172"/>
      <c r="SLH409" s="172"/>
      <c r="SLI409" s="172"/>
      <c r="SLJ409" s="172"/>
      <c r="SLK409" s="172"/>
      <c r="SLL409" s="172"/>
      <c r="SLM409" s="172"/>
      <c r="SLN409" s="172"/>
      <c r="SLO409" s="172"/>
      <c r="SLP409" s="172"/>
      <c r="SLQ409" s="172"/>
      <c r="SLR409" s="172"/>
      <c r="SLS409" s="172"/>
      <c r="SLT409" s="172"/>
      <c r="SLU409" s="172"/>
      <c r="SLV409" s="172"/>
      <c r="SLW409" s="172"/>
      <c r="SLX409" s="172"/>
      <c r="SLY409" s="172"/>
      <c r="SLZ409" s="172"/>
      <c r="SMA409" s="172"/>
      <c r="SMB409" s="172"/>
      <c r="SMC409" s="172"/>
      <c r="SMD409" s="172"/>
      <c r="SME409" s="172"/>
      <c r="SMF409" s="172"/>
      <c r="SMG409" s="172"/>
      <c r="SMH409" s="172"/>
      <c r="SMI409" s="172"/>
      <c r="SMJ409" s="172"/>
      <c r="SMK409" s="172"/>
      <c r="SML409" s="172"/>
      <c r="SMM409" s="172"/>
      <c r="SMN409" s="172"/>
      <c r="SMO409" s="172"/>
      <c r="SMP409" s="172"/>
      <c r="SMQ409" s="172"/>
      <c r="SMR409" s="172"/>
      <c r="SMS409" s="172"/>
      <c r="SMT409" s="172"/>
      <c r="SMU409" s="172"/>
      <c r="SMV409" s="172"/>
      <c r="SMW409" s="172"/>
      <c r="SMX409" s="172"/>
      <c r="SMY409" s="172"/>
      <c r="SMZ409" s="172"/>
      <c r="SNA409" s="172"/>
      <c r="SNB409" s="172"/>
      <c r="SNC409" s="172"/>
      <c r="SND409" s="172"/>
      <c r="SNE409" s="172"/>
      <c r="SNF409" s="172"/>
      <c r="SNG409" s="172"/>
      <c r="SNH409" s="172"/>
      <c r="SNI409" s="172"/>
      <c r="SNJ409" s="172"/>
      <c r="SNK409" s="172"/>
      <c r="SNL409" s="172"/>
      <c r="SNM409" s="172"/>
      <c r="SNN409" s="172"/>
      <c r="SNO409" s="172"/>
      <c r="SNP409" s="172"/>
      <c r="SNQ409" s="172"/>
      <c r="SNR409" s="172"/>
      <c r="SNS409" s="172"/>
      <c r="SNT409" s="172"/>
      <c r="SNU409" s="172"/>
      <c r="SNV409" s="172"/>
      <c r="SNW409" s="172"/>
      <c r="SNX409" s="172"/>
      <c r="SNY409" s="172"/>
      <c r="SNZ409" s="172"/>
      <c r="SOA409" s="172"/>
      <c r="SOB409" s="172"/>
      <c r="SOC409" s="172"/>
      <c r="SOD409" s="172"/>
      <c r="SOE409" s="172"/>
      <c r="SOF409" s="172"/>
      <c r="SOG409" s="172"/>
      <c r="SOH409" s="172"/>
      <c r="SOI409" s="172"/>
      <c r="SOJ409" s="172"/>
      <c r="SOK409" s="172"/>
      <c r="SOL409" s="172"/>
      <c r="SOM409" s="172"/>
      <c r="SON409" s="172"/>
      <c r="SOO409" s="172"/>
      <c r="SOP409" s="172"/>
      <c r="SOQ409" s="172"/>
      <c r="SOR409" s="172"/>
      <c r="SOS409" s="172"/>
      <c r="SOT409" s="172"/>
      <c r="SOU409" s="172"/>
      <c r="SOV409" s="172"/>
      <c r="SOW409" s="172"/>
      <c r="SOX409" s="172"/>
      <c r="SOY409" s="172"/>
      <c r="SOZ409" s="172"/>
      <c r="SPA409" s="172"/>
      <c r="SPB409" s="172"/>
      <c r="SPC409" s="172"/>
      <c r="SPD409" s="172"/>
      <c r="SPE409" s="172"/>
      <c r="SPF409" s="172"/>
      <c r="SPG409" s="172"/>
      <c r="SPH409" s="172"/>
      <c r="SPI409" s="172"/>
      <c r="SPJ409" s="172"/>
      <c r="SPK409" s="172"/>
      <c r="SPL409" s="172"/>
      <c r="SPM409" s="172"/>
      <c r="SPN409" s="172"/>
      <c r="SPO409" s="172"/>
      <c r="SPP409" s="172"/>
      <c r="SPQ409" s="172"/>
      <c r="SPR409" s="172"/>
      <c r="SPS409" s="172"/>
      <c r="SPT409" s="172"/>
      <c r="SPU409" s="172"/>
      <c r="SPV409" s="172"/>
      <c r="SPW409" s="172"/>
      <c r="SPX409" s="172"/>
      <c r="SPY409" s="172"/>
      <c r="SPZ409" s="172"/>
      <c r="SQA409" s="172"/>
      <c r="SQB409" s="172"/>
      <c r="SQC409" s="172"/>
      <c r="SQD409" s="172"/>
      <c r="SQE409" s="172"/>
      <c r="SQF409" s="172"/>
      <c r="SQG409" s="172"/>
      <c r="SQH409" s="172"/>
      <c r="SQI409" s="172"/>
      <c r="SQJ409" s="172"/>
      <c r="SQK409" s="172"/>
      <c r="SQL409" s="172"/>
      <c r="SQM409" s="172"/>
      <c r="SQN409" s="172"/>
      <c r="SQO409" s="172"/>
      <c r="SQP409" s="172"/>
      <c r="SQQ409" s="172"/>
      <c r="SQR409" s="172"/>
      <c r="SQS409" s="172"/>
      <c r="SQT409" s="172"/>
      <c r="SQU409" s="172"/>
      <c r="SQV409" s="172"/>
      <c r="SQW409" s="172"/>
      <c r="SQX409" s="172"/>
      <c r="SQY409" s="172"/>
      <c r="SQZ409" s="172"/>
      <c r="SRA409" s="172"/>
      <c r="SRB409" s="172"/>
      <c r="SRC409" s="172"/>
      <c r="SRD409" s="172"/>
      <c r="SRE409" s="172"/>
      <c r="SRF409" s="172"/>
      <c r="SRG409" s="172"/>
      <c r="SRH409" s="172"/>
      <c r="SRI409" s="172"/>
      <c r="SRJ409" s="172"/>
      <c r="SRK409" s="172"/>
      <c r="SRL409" s="172"/>
      <c r="SRM409" s="172"/>
      <c r="SRN409" s="172"/>
      <c r="SRO409" s="172"/>
      <c r="SRP409" s="172"/>
      <c r="SRQ409" s="172"/>
      <c r="SRR409" s="172"/>
      <c r="SRS409" s="172"/>
      <c r="SRT409" s="172"/>
      <c r="SRU409" s="172"/>
      <c r="SRV409" s="172"/>
      <c r="SRW409" s="172"/>
      <c r="SRX409" s="172"/>
      <c r="SRY409" s="172"/>
      <c r="SRZ409" s="172"/>
      <c r="SSA409" s="172"/>
      <c r="SSB409" s="172"/>
      <c r="SSC409" s="172"/>
      <c r="SSD409" s="172"/>
      <c r="SSE409" s="172"/>
      <c r="SSF409" s="172"/>
      <c r="SSG409" s="172"/>
      <c r="SSH409" s="172"/>
      <c r="SSI409" s="172"/>
      <c r="SSJ409" s="172"/>
      <c r="SSK409" s="172"/>
      <c r="SSL409" s="172"/>
      <c r="SSM409" s="172"/>
      <c r="SSN409" s="172"/>
      <c r="SSO409" s="172"/>
      <c r="SSP409" s="172"/>
      <c r="SSQ409" s="172"/>
      <c r="SSR409" s="172"/>
      <c r="SSS409" s="172"/>
      <c r="SST409" s="172"/>
      <c r="SSU409" s="172"/>
      <c r="SSV409" s="172"/>
      <c r="SSW409" s="172"/>
      <c r="SSX409" s="172"/>
      <c r="SSY409" s="172"/>
      <c r="SSZ409" s="172"/>
      <c r="STA409" s="172"/>
      <c r="STB409" s="172"/>
      <c r="STC409" s="172"/>
      <c r="STD409" s="172"/>
      <c r="STE409" s="172"/>
      <c r="STF409" s="172"/>
      <c r="STG409" s="172"/>
      <c r="STH409" s="172"/>
      <c r="STI409" s="172"/>
      <c r="STJ409" s="172"/>
      <c r="STK409" s="172"/>
      <c r="STL409" s="172"/>
      <c r="STM409" s="172"/>
      <c r="STN409" s="172"/>
      <c r="STO409" s="172"/>
      <c r="STP409" s="172"/>
      <c r="STQ409" s="172"/>
      <c r="STR409" s="172"/>
      <c r="STS409" s="172"/>
      <c r="STT409" s="172"/>
      <c r="STU409" s="172"/>
      <c r="STV409" s="172"/>
      <c r="STW409" s="172"/>
      <c r="STX409" s="172"/>
      <c r="STY409" s="172"/>
      <c r="STZ409" s="172"/>
      <c r="SUA409" s="172"/>
      <c r="SUB409" s="172"/>
      <c r="SUC409" s="172"/>
      <c r="SUD409" s="172"/>
      <c r="SUE409" s="172"/>
      <c r="SUF409" s="172"/>
      <c r="SUG409" s="172"/>
      <c r="SUH409" s="172"/>
      <c r="SUI409" s="172"/>
      <c r="SUJ409" s="172"/>
      <c r="SUK409" s="172"/>
      <c r="SUL409" s="172"/>
      <c r="SUM409" s="172"/>
      <c r="SUN409" s="172"/>
      <c r="SUO409" s="172"/>
      <c r="SUP409" s="172"/>
      <c r="SUQ409" s="172"/>
      <c r="SUR409" s="172"/>
      <c r="SUS409" s="172"/>
      <c r="SUT409" s="172"/>
      <c r="SUU409" s="172"/>
      <c r="SUV409" s="172"/>
      <c r="SUW409" s="172"/>
      <c r="SUX409" s="172"/>
      <c r="SUY409" s="172"/>
      <c r="SUZ409" s="172"/>
      <c r="SVA409" s="172"/>
      <c r="SVB409" s="172"/>
      <c r="SVC409" s="172"/>
      <c r="SVD409" s="172"/>
      <c r="SVE409" s="172"/>
      <c r="SVF409" s="172"/>
      <c r="SVG409" s="172"/>
      <c r="SVH409" s="172"/>
      <c r="SVI409" s="172"/>
      <c r="SVJ409" s="172"/>
      <c r="SVK409" s="172"/>
      <c r="SVL409" s="172"/>
      <c r="SVM409" s="172"/>
      <c r="SVN409" s="172"/>
      <c r="SVO409" s="172"/>
      <c r="SVP409" s="172"/>
      <c r="SVQ409" s="172"/>
      <c r="SVR409" s="172"/>
      <c r="SVS409" s="172"/>
      <c r="SVT409" s="172"/>
      <c r="SVU409" s="172"/>
      <c r="SVV409" s="172"/>
      <c r="SVW409" s="172"/>
      <c r="SVX409" s="172"/>
      <c r="SVY409" s="172"/>
      <c r="SVZ409" s="172"/>
      <c r="SWA409" s="172"/>
      <c r="SWB409" s="172"/>
      <c r="SWC409" s="172"/>
      <c r="SWD409" s="172"/>
      <c r="SWE409" s="172"/>
      <c r="SWF409" s="172"/>
      <c r="SWG409" s="172"/>
      <c r="SWH409" s="172"/>
      <c r="SWI409" s="172"/>
      <c r="SWJ409" s="172"/>
      <c r="SWK409" s="172"/>
      <c r="SWL409" s="172"/>
      <c r="SWM409" s="172"/>
      <c r="SWN409" s="172"/>
      <c r="SWO409" s="172"/>
      <c r="SWP409" s="172"/>
      <c r="SWQ409" s="172"/>
      <c r="SWR409" s="172"/>
      <c r="SWS409" s="172"/>
      <c r="SWT409" s="172"/>
      <c r="SWU409" s="172"/>
      <c r="SWV409" s="172"/>
      <c r="SWW409" s="172"/>
      <c r="SWX409" s="172"/>
      <c r="SWY409" s="172"/>
      <c r="SWZ409" s="172"/>
      <c r="SXA409" s="172"/>
      <c r="SXB409" s="172"/>
      <c r="SXC409" s="172"/>
      <c r="SXD409" s="172"/>
      <c r="SXE409" s="172"/>
      <c r="SXF409" s="172"/>
      <c r="SXG409" s="172"/>
      <c r="SXH409" s="172"/>
      <c r="SXI409" s="172"/>
      <c r="SXJ409" s="172"/>
      <c r="SXK409" s="172"/>
      <c r="SXL409" s="172"/>
      <c r="SXM409" s="172"/>
      <c r="SXN409" s="172"/>
      <c r="SXO409" s="172"/>
      <c r="SXP409" s="172"/>
      <c r="SXQ409" s="172"/>
      <c r="SXR409" s="172"/>
      <c r="SXS409" s="172"/>
      <c r="SXT409" s="172"/>
      <c r="SXU409" s="172"/>
      <c r="SXV409" s="172"/>
      <c r="SXW409" s="172"/>
      <c r="SXX409" s="172"/>
      <c r="SXY409" s="172"/>
      <c r="SXZ409" s="172"/>
      <c r="SYA409" s="172"/>
      <c r="SYB409" s="172"/>
      <c r="SYC409" s="172"/>
      <c r="SYD409" s="172"/>
      <c r="SYE409" s="172"/>
      <c r="SYF409" s="172"/>
      <c r="SYG409" s="172"/>
      <c r="SYH409" s="172"/>
      <c r="SYI409" s="172"/>
      <c r="SYJ409" s="172"/>
      <c r="SYK409" s="172"/>
      <c r="SYL409" s="172"/>
      <c r="SYM409" s="172"/>
      <c r="SYN409" s="172"/>
      <c r="SYO409" s="172"/>
      <c r="SYP409" s="172"/>
      <c r="SYQ409" s="172"/>
      <c r="SYR409" s="172"/>
      <c r="SYS409" s="172"/>
      <c r="SYT409" s="172"/>
      <c r="SYU409" s="172"/>
      <c r="SYV409" s="172"/>
      <c r="SYW409" s="172"/>
      <c r="SYX409" s="172"/>
      <c r="SYY409" s="172"/>
      <c r="SYZ409" s="172"/>
      <c r="SZA409" s="172"/>
      <c r="SZB409" s="172"/>
      <c r="SZC409" s="172"/>
      <c r="SZD409" s="172"/>
      <c r="SZE409" s="172"/>
      <c r="SZF409" s="172"/>
      <c r="SZG409" s="172"/>
      <c r="SZH409" s="172"/>
      <c r="SZI409" s="172"/>
      <c r="SZJ409" s="172"/>
      <c r="SZK409" s="172"/>
      <c r="SZL409" s="172"/>
      <c r="SZM409" s="172"/>
      <c r="SZN409" s="172"/>
      <c r="SZO409" s="172"/>
      <c r="SZP409" s="172"/>
      <c r="SZQ409" s="172"/>
      <c r="SZR409" s="172"/>
      <c r="SZS409" s="172"/>
      <c r="SZT409" s="172"/>
      <c r="SZU409" s="172"/>
      <c r="SZV409" s="172"/>
      <c r="SZW409" s="172"/>
      <c r="SZX409" s="172"/>
      <c r="SZY409" s="172"/>
      <c r="SZZ409" s="172"/>
      <c r="TAA409" s="172"/>
      <c r="TAB409" s="172"/>
      <c r="TAC409" s="172"/>
      <c r="TAD409" s="172"/>
      <c r="TAE409" s="172"/>
      <c r="TAF409" s="172"/>
      <c r="TAG409" s="172"/>
      <c r="TAH409" s="172"/>
      <c r="TAI409" s="172"/>
      <c r="TAJ409" s="172"/>
      <c r="TAK409" s="172"/>
      <c r="TAL409" s="172"/>
      <c r="TAM409" s="172"/>
      <c r="TAN409" s="172"/>
      <c r="TAO409" s="172"/>
      <c r="TAP409" s="172"/>
      <c r="TAQ409" s="172"/>
      <c r="TAR409" s="172"/>
      <c r="TAS409" s="172"/>
      <c r="TAT409" s="172"/>
      <c r="TAU409" s="172"/>
      <c r="TAV409" s="172"/>
      <c r="TAW409" s="172"/>
      <c r="TAX409" s="172"/>
      <c r="TAY409" s="172"/>
      <c r="TAZ409" s="172"/>
      <c r="TBA409" s="172"/>
      <c r="TBB409" s="172"/>
      <c r="TBC409" s="172"/>
      <c r="TBD409" s="172"/>
      <c r="TBE409" s="172"/>
      <c r="TBF409" s="172"/>
      <c r="TBG409" s="172"/>
      <c r="TBH409" s="172"/>
      <c r="TBI409" s="172"/>
      <c r="TBJ409" s="172"/>
      <c r="TBK409" s="172"/>
      <c r="TBL409" s="172"/>
      <c r="TBM409" s="172"/>
      <c r="TBN409" s="172"/>
      <c r="TBO409" s="172"/>
      <c r="TBP409" s="172"/>
      <c r="TBQ409" s="172"/>
      <c r="TBR409" s="172"/>
      <c r="TBS409" s="172"/>
      <c r="TBT409" s="172"/>
      <c r="TBU409" s="172"/>
      <c r="TBV409" s="172"/>
      <c r="TBW409" s="172"/>
      <c r="TBX409" s="172"/>
      <c r="TBY409" s="172"/>
      <c r="TBZ409" s="172"/>
      <c r="TCA409" s="172"/>
      <c r="TCB409" s="172"/>
      <c r="TCC409" s="172"/>
      <c r="TCD409" s="172"/>
      <c r="TCE409" s="172"/>
      <c r="TCF409" s="172"/>
      <c r="TCG409" s="172"/>
      <c r="TCH409" s="172"/>
      <c r="TCI409" s="172"/>
      <c r="TCJ409" s="172"/>
      <c r="TCK409" s="172"/>
      <c r="TCL409" s="172"/>
      <c r="TCM409" s="172"/>
      <c r="TCN409" s="172"/>
      <c r="TCO409" s="172"/>
      <c r="TCP409" s="172"/>
      <c r="TCQ409" s="172"/>
      <c r="TCR409" s="172"/>
      <c r="TCS409" s="172"/>
      <c r="TCT409" s="172"/>
      <c r="TCU409" s="172"/>
      <c r="TCV409" s="172"/>
      <c r="TCW409" s="172"/>
      <c r="TCX409" s="172"/>
      <c r="TCY409" s="172"/>
      <c r="TCZ409" s="172"/>
      <c r="TDA409" s="172"/>
      <c r="TDB409" s="172"/>
      <c r="TDC409" s="172"/>
      <c r="TDD409" s="172"/>
      <c r="TDE409" s="172"/>
      <c r="TDF409" s="172"/>
      <c r="TDG409" s="172"/>
      <c r="TDH409" s="172"/>
      <c r="TDI409" s="172"/>
      <c r="TDJ409" s="172"/>
      <c r="TDK409" s="172"/>
      <c r="TDL409" s="172"/>
      <c r="TDM409" s="172"/>
      <c r="TDN409" s="172"/>
      <c r="TDO409" s="172"/>
      <c r="TDP409" s="172"/>
      <c r="TDQ409" s="172"/>
      <c r="TDR409" s="172"/>
      <c r="TDS409" s="172"/>
      <c r="TDT409" s="172"/>
      <c r="TDU409" s="172"/>
      <c r="TDV409" s="172"/>
      <c r="TDW409" s="172"/>
      <c r="TDX409" s="172"/>
      <c r="TDY409" s="172"/>
      <c r="TDZ409" s="172"/>
      <c r="TEA409" s="172"/>
      <c r="TEB409" s="172"/>
      <c r="TEC409" s="172"/>
      <c r="TED409" s="172"/>
      <c r="TEE409" s="172"/>
      <c r="TEF409" s="172"/>
      <c r="TEG409" s="172"/>
      <c r="TEH409" s="172"/>
      <c r="TEI409" s="172"/>
      <c r="TEJ409" s="172"/>
      <c r="TEK409" s="172"/>
      <c r="TEL409" s="172"/>
      <c r="TEM409" s="172"/>
      <c r="TEN409" s="172"/>
      <c r="TEO409" s="172"/>
      <c r="TEP409" s="172"/>
      <c r="TEQ409" s="172"/>
      <c r="TER409" s="172"/>
      <c r="TES409" s="172"/>
      <c r="TET409" s="172"/>
      <c r="TEU409" s="172"/>
      <c r="TEV409" s="172"/>
      <c r="TEW409" s="172"/>
      <c r="TEX409" s="172"/>
      <c r="TEY409" s="172"/>
      <c r="TEZ409" s="172"/>
      <c r="TFA409" s="172"/>
      <c r="TFB409" s="172"/>
      <c r="TFC409" s="172"/>
      <c r="TFD409" s="172"/>
      <c r="TFE409" s="172"/>
      <c r="TFF409" s="172"/>
      <c r="TFG409" s="172"/>
      <c r="TFH409" s="172"/>
      <c r="TFI409" s="172"/>
      <c r="TFJ409" s="172"/>
      <c r="TFK409" s="172"/>
      <c r="TFL409" s="172"/>
      <c r="TFM409" s="172"/>
      <c r="TFN409" s="172"/>
      <c r="TFO409" s="172"/>
      <c r="TFP409" s="172"/>
      <c r="TFQ409" s="172"/>
      <c r="TFR409" s="172"/>
      <c r="TFS409" s="172"/>
      <c r="TFT409" s="172"/>
      <c r="TFU409" s="172"/>
      <c r="TFV409" s="172"/>
      <c r="TFW409" s="172"/>
      <c r="TFX409" s="172"/>
      <c r="TFY409" s="172"/>
      <c r="TFZ409" s="172"/>
      <c r="TGA409" s="172"/>
      <c r="TGB409" s="172"/>
      <c r="TGC409" s="172"/>
      <c r="TGD409" s="172"/>
      <c r="TGE409" s="172"/>
      <c r="TGF409" s="172"/>
      <c r="TGG409" s="172"/>
      <c r="TGH409" s="172"/>
      <c r="TGI409" s="172"/>
      <c r="TGJ409" s="172"/>
      <c r="TGK409" s="172"/>
      <c r="TGL409" s="172"/>
      <c r="TGM409" s="172"/>
      <c r="TGN409" s="172"/>
      <c r="TGO409" s="172"/>
      <c r="TGP409" s="172"/>
      <c r="TGQ409" s="172"/>
      <c r="TGR409" s="172"/>
      <c r="TGS409" s="172"/>
      <c r="TGT409" s="172"/>
      <c r="TGU409" s="172"/>
      <c r="TGV409" s="172"/>
      <c r="TGW409" s="172"/>
      <c r="TGX409" s="172"/>
      <c r="TGY409" s="172"/>
      <c r="TGZ409" s="172"/>
      <c r="THA409" s="172"/>
      <c r="THB409" s="172"/>
      <c r="THC409" s="172"/>
      <c r="THD409" s="172"/>
      <c r="THE409" s="172"/>
      <c r="THF409" s="172"/>
      <c r="THG409" s="172"/>
      <c r="THH409" s="172"/>
      <c r="THI409" s="172"/>
      <c r="THJ409" s="172"/>
      <c r="THK409" s="172"/>
      <c r="THL409" s="172"/>
      <c r="THM409" s="172"/>
      <c r="THN409" s="172"/>
      <c r="THO409" s="172"/>
      <c r="THP409" s="172"/>
      <c r="THQ409" s="172"/>
      <c r="THR409" s="172"/>
      <c r="THS409" s="172"/>
      <c r="THT409" s="172"/>
      <c r="THU409" s="172"/>
      <c r="THV409" s="172"/>
      <c r="THW409" s="172"/>
      <c r="THX409" s="172"/>
      <c r="THY409" s="172"/>
      <c r="THZ409" s="172"/>
      <c r="TIA409" s="172"/>
      <c r="TIB409" s="172"/>
      <c r="TIC409" s="172"/>
      <c r="TID409" s="172"/>
      <c r="TIE409" s="172"/>
      <c r="TIF409" s="172"/>
      <c r="TIG409" s="172"/>
      <c r="TIH409" s="172"/>
      <c r="TII409" s="172"/>
      <c r="TIJ409" s="172"/>
      <c r="TIK409" s="172"/>
      <c r="TIL409" s="172"/>
      <c r="TIM409" s="172"/>
      <c r="TIN409" s="172"/>
      <c r="TIO409" s="172"/>
      <c r="TIP409" s="172"/>
      <c r="TIQ409" s="172"/>
      <c r="TIR409" s="172"/>
      <c r="TIS409" s="172"/>
      <c r="TIT409" s="172"/>
      <c r="TIU409" s="172"/>
      <c r="TIV409" s="172"/>
      <c r="TIW409" s="172"/>
      <c r="TIX409" s="172"/>
      <c r="TIY409" s="172"/>
      <c r="TIZ409" s="172"/>
      <c r="TJA409" s="172"/>
      <c r="TJB409" s="172"/>
      <c r="TJC409" s="172"/>
      <c r="TJD409" s="172"/>
      <c r="TJE409" s="172"/>
      <c r="TJF409" s="172"/>
      <c r="TJG409" s="172"/>
      <c r="TJH409" s="172"/>
      <c r="TJI409" s="172"/>
      <c r="TJJ409" s="172"/>
      <c r="TJK409" s="172"/>
      <c r="TJL409" s="172"/>
      <c r="TJM409" s="172"/>
      <c r="TJN409" s="172"/>
      <c r="TJO409" s="172"/>
      <c r="TJP409" s="172"/>
      <c r="TJQ409" s="172"/>
      <c r="TJR409" s="172"/>
      <c r="TJS409" s="172"/>
      <c r="TJT409" s="172"/>
      <c r="TJU409" s="172"/>
      <c r="TJV409" s="172"/>
      <c r="TJW409" s="172"/>
      <c r="TJX409" s="172"/>
      <c r="TJY409" s="172"/>
      <c r="TJZ409" s="172"/>
      <c r="TKA409" s="172"/>
      <c r="TKB409" s="172"/>
      <c r="TKC409" s="172"/>
      <c r="TKD409" s="172"/>
      <c r="TKE409" s="172"/>
      <c r="TKF409" s="172"/>
      <c r="TKG409" s="172"/>
      <c r="TKH409" s="172"/>
      <c r="TKI409" s="172"/>
      <c r="TKJ409" s="172"/>
      <c r="TKK409" s="172"/>
      <c r="TKL409" s="172"/>
      <c r="TKM409" s="172"/>
      <c r="TKN409" s="172"/>
      <c r="TKO409" s="172"/>
      <c r="TKP409" s="172"/>
      <c r="TKQ409" s="172"/>
      <c r="TKR409" s="172"/>
      <c r="TKS409" s="172"/>
      <c r="TKT409" s="172"/>
      <c r="TKU409" s="172"/>
      <c r="TKV409" s="172"/>
      <c r="TKW409" s="172"/>
      <c r="TKX409" s="172"/>
      <c r="TKY409" s="172"/>
      <c r="TKZ409" s="172"/>
      <c r="TLA409" s="172"/>
      <c r="TLB409" s="172"/>
      <c r="TLC409" s="172"/>
      <c r="TLD409" s="172"/>
      <c r="TLE409" s="172"/>
      <c r="TLF409" s="172"/>
      <c r="TLG409" s="172"/>
      <c r="TLH409" s="172"/>
      <c r="TLI409" s="172"/>
      <c r="TLJ409" s="172"/>
      <c r="TLK409" s="172"/>
      <c r="TLL409" s="172"/>
      <c r="TLM409" s="172"/>
      <c r="TLN409" s="172"/>
      <c r="TLO409" s="172"/>
      <c r="TLP409" s="172"/>
      <c r="TLQ409" s="172"/>
      <c r="TLR409" s="172"/>
      <c r="TLS409" s="172"/>
      <c r="TLT409" s="172"/>
      <c r="TLU409" s="172"/>
      <c r="TLV409" s="172"/>
      <c r="TLW409" s="172"/>
      <c r="TLX409" s="172"/>
      <c r="TLY409" s="172"/>
      <c r="TLZ409" s="172"/>
      <c r="TMA409" s="172"/>
      <c r="TMB409" s="172"/>
      <c r="TMC409" s="172"/>
      <c r="TMD409" s="172"/>
      <c r="TME409" s="172"/>
      <c r="TMF409" s="172"/>
      <c r="TMG409" s="172"/>
      <c r="TMH409" s="172"/>
      <c r="TMI409" s="172"/>
      <c r="TMJ409" s="172"/>
      <c r="TMK409" s="172"/>
      <c r="TML409" s="172"/>
      <c r="TMM409" s="172"/>
      <c r="TMN409" s="172"/>
      <c r="TMO409" s="172"/>
      <c r="TMP409" s="172"/>
      <c r="TMQ409" s="172"/>
      <c r="TMR409" s="172"/>
      <c r="TMS409" s="172"/>
      <c r="TMT409" s="172"/>
      <c r="TMU409" s="172"/>
      <c r="TMV409" s="172"/>
      <c r="TMW409" s="172"/>
      <c r="TMX409" s="172"/>
      <c r="TMY409" s="172"/>
      <c r="TMZ409" s="172"/>
      <c r="TNA409" s="172"/>
      <c r="TNB409" s="172"/>
      <c r="TNC409" s="172"/>
      <c r="TND409" s="172"/>
      <c r="TNE409" s="172"/>
      <c r="TNF409" s="172"/>
      <c r="TNG409" s="172"/>
      <c r="TNH409" s="172"/>
      <c r="TNI409" s="172"/>
      <c r="TNJ409" s="172"/>
      <c r="TNK409" s="172"/>
      <c r="TNL409" s="172"/>
      <c r="TNM409" s="172"/>
      <c r="TNN409" s="172"/>
      <c r="TNO409" s="172"/>
      <c r="TNP409" s="172"/>
      <c r="TNQ409" s="172"/>
      <c r="TNR409" s="172"/>
      <c r="TNS409" s="172"/>
      <c r="TNT409" s="172"/>
      <c r="TNU409" s="172"/>
      <c r="TNV409" s="172"/>
      <c r="TNW409" s="172"/>
      <c r="TNX409" s="172"/>
      <c r="TNY409" s="172"/>
      <c r="TNZ409" s="172"/>
      <c r="TOA409" s="172"/>
      <c r="TOB409" s="172"/>
      <c r="TOC409" s="172"/>
      <c r="TOD409" s="172"/>
      <c r="TOE409" s="172"/>
      <c r="TOF409" s="172"/>
      <c r="TOG409" s="172"/>
      <c r="TOH409" s="172"/>
      <c r="TOI409" s="172"/>
      <c r="TOJ409" s="172"/>
      <c r="TOK409" s="172"/>
      <c r="TOL409" s="172"/>
      <c r="TOM409" s="172"/>
      <c r="TON409" s="172"/>
      <c r="TOO409" s="172"/>
      <c r="TOP409" s="172"/>
      <c r="TOQ409" s="172"/>
      <c r="TOR409" s="172"/>
      <c r="TOS409" s="172"/>
      <c r="TOT409" s="172"/>
      <c r="TOU409" s="172"/>
      <c r="TOV409" s="172"/>
      <c r="TOW409" s="172"/>
      <c r="TOX409" s="172"/>
      <c r="TOY409" s="172"/>
      <c r="TOZ409" s="172"/>
      <c r="TPA409" s="172"/>
      <c r="TPB409" s="172"/>
      <c r="TPC409" s="172"/>
      <c r="TPD409" s="172"/>
      <c r="TPE409" s="172"/>
      <c r="TPF409" s="172"/>
      <c r="TPG409" s="172"/>
      <c r="TPH409" s="172"/>
      <c r="TPI409" s="172"/>
      <c r="TPJ409" s="172"/>
      <c r="TPK409" s="172"/>
      <c r="TPL409" s="172"/>
      <c r="TPM409" s="172"/>
      <c r="TPN409" s="172"/>
      <c r="TPO409" s="172"/>
      <c r="TPP409" s="172"/>
      <c r="TPQ409" s="172"/>
      <c r="TPR409" s="172"/>
      <c r="TPS409" s="172"/>
      <c r="TPT409" s="172"/>
      <c r="TPU409" s="172"/>
      <c r="TPV409" s="172"/>
      <c r="TPW409" s="172"/>
      <c r="TPX409" s="172"/>
      <c r="TPY409" s="172"/>
      <c r="TPZ409" s="172"/>
      <c r="TQA409" s="172"/>
      <c r="TQB409" s="172"/>
      <c r="TQC409" s="172"/>
      <c r="TQD409" s="172"/>
      <c r="TQE409" s="172"/>
      <c r="TQF409" s="172"/>
      <c r="TQG409" s="172"/>
      <c r="TQH409" s="172"/>
      <c r="TQI409" s="172"/>
      <c r="TQJ409" s="172"/>
      <c r="TQK409" s="172"/>
      <c r="TQL409" s="172"/>
      <c r="TQM409" s="172"/>
      <c r="TQN409" s="172"/>
      <c r="TQO409" s="172"/>
      <c r="TQP409" s="172"/>
      <c r="TQQ409" s="172"/>
      <c r="TQR409" s="172"/>
      <c r="TQS409" s="172"/>
      <c r="TQT409" s="172"/>
      <c r="TQU409" s="172"/>
      <c r="TQV409" s="172"/>
      <c r="TQW409" s="172"/>
      <c r="TQX409" s="172"/>
      <c r="TQY409" s="172"/>
      <c r="TQZ409" s="172"/>
      <c r="TRA409" s="172"/>
      <c r="TRB409" s="172"/>
      <c r="TRC409" s="172"/>
      <c r="TRD409" s="172"/>
      <c r="TRE409" s="172"/>
      <c r="TRF409" s="172"/>
      <c r="TRG409" s="172"/>
      <c r="TRH409" s="172"/>
      <c r="TRI409" s="172"/>
      <c r="TRJ409" s="172"/>
      <c r="TRK409" s="172"/>
      <c r="TRL409" s="172"/>
      <c r="TRM409" s="172"/>
      <c r="TRN409" s="172"/>
      <c r="TRO409" s="172"/>
      <c r="TRP409" s="172"/>
      <c r="TRQ409" s="172"/>
      <c r="TRR409" s="172"/>
      <c r="TRS409" s="172"/>
      <c r="TRT409" s="172"/>
      <c r="TRU409" s="172"/>
      <c r="TRV409" s="172"/>
      <c r="TRW409" s="172"/>
      <c r="TRX409" s="172"/>
      <c r="TRY409" s="172"/>
      <c r="TRZ409" s="172"/>
      <c r="TSA409" s="172"/>
      <c r="TSB409" s="172"/>
      <c r="TSC409" s="172"/>
      <c r="TSD409" s="172"/>
      <c r="TSE409" s="172"/>
      <c r="TSF409" s="172"/>
      <c r="TSG409" s="172"/>
      <c r="TSH409" s="172"/>
      <c r="TSI409" s="172"/>
      <c r="TSJ409" s="172"/>
      <c r="TSK409" s="172"/>
      <c r="TSL409" s="172"/>
      <c r="TSM409" s="172"/>
      <c r="TSN409" s="172"/>
      <c r="TSO409" s="172"/>
      <c r="TSP409" s="172"/>
      <c r="TSQ409" s="172"/>
      <c r="TSR409" s="172"/>
      <c r="TSS409" s="172"/>
      <c r="TST409" s="172"/>
      <c r="TSU409" s="172"/>
      <c r="TSV409" s="172"/>
      <c r="TSW409" s="172"/>
      <c r="TSX409" s="172"/>
      <c r="TSY409" s="172"/>
      <c r="TSZ409" s="172"/>
      <c r="TTA409" s="172"/>
      <c r="TTB409" s="172"/>
      <c r="TTC409" s="172"/>
      <c r="TTD409" s="172"/>
      <c r="TTE409" s="172"/>
      <c r="TTF409" s="172"/>
      <c r="TTG409" s="172"/>
      <c r="TTH409" s="172"/>
      <c r="TTI409" s="172"/>
      <c r="TTJ409" s="172"/>
      <c r="TTK409" s="172"/>
      <c r="TTL409" s="172"/>
      <c r="TTM409" s="172"/>
      <c r="TTN409" s="172"/>
      <c r="TTO409" s="172"/>
      <c r="TTP409" s="172"/>
      <c r="TTQ409" s="172"/>
      <c r="TTR409" s="172"/>
      <c r="TTS409" s="172"/>
      <c r="TTT409" s="172"/>
      <c r="TTU409" s="172"/>
      <c r="TTV409" s="172"/>
      <c r="TTW409" s="172"/>
      <c r="TTX409" s="172"/>
      <c r="TTY409" s="172"/>
      <c r="TTZ409" s="172"/>
      <c r="TUA409" s="172"/>
      <c r="TUB409" s="172"/>
      <c r="TUC409" s="172"/>
      <c r="TUD409" s="172"/>
      <c r="TUE409" s="172"/>
      <c r="TUF409" s="172"/>
      <c r="TUG409" s="172"/>
      <c r="TUH409" s="172"/>
      <c r="TUI409" s="172"/>
      <c r="TUJ409" s="172"/>
      <c r="TUK409" s="172"/>
      <c r="TUL409" s="172"/>
      <c r="TUM409" s="172"/>
      <c r="TUN409" s="172"/>
      <c r="TUO409" s="172"/>
      <c r="TUP409" s="172"/>
      <c r="TUQ409" s="172"/>
      <c r="TUR409" s="172"/>
      <c r="TUS409" s="172"/>
      <c r="TUT409" s="172"/>
      <c r="TUU409" s="172"/>
      <c r="TUV409" s="172"/>
      <c r="TUW409" s="172"/>
      <c r="TUX409" s="172"/>
      <c r="TUY409" s="172"/>
      <c r="TUZ409" s="172"/>
      <c r="TVA409" s="172"/>
      <c r="TVB409" s="172"/>
      <c r="TVC409" s="172"/>
      <c r="TVD409" s="172"/>
      <c r="TVE409" s="172"/>
      <c r="TVF409" s="172"/>
      <c r="TVG409" s="172"/>
      <c r="TVH409" s="172"/>
      <c r="TVI409" s="172"/>
      <c r="TVJ409" s="172"/>
      <c r="TVK409" s="172"/>
      <c r="TVL409" s="172"/>
      <c r="TVM409" s="172"/>
      <c r="TVN409" s="172"/>
      <c r="TVO409" s="172"/>
      <c r="TVP409" s="172"/>
      <c r="TVQ409" s="172"/>
      <c r="TVR409" s="172"/>
      <c r="TVS409" s="172"/>
      <c r="TVT409" s="172"/>
      <c r="TVU409" s="172"/>
      <c r="TVV409" s="172"/>
      <c r="TVW409" s="172"/>
      <c r="TVX409" s="172"/>
      <c r="TVY409" s="172"/>
      <c r="TVZ409" s="172"/>
      <c r="TWA409" s="172"/>
      <c r="TWB409" s="172"/>
      <c r="TWC409" s="172"/>
      <c r="TWD409" s="172"/>
      <c r="TWE409" s="172"/>
      <c r="TWF409" s="172"/>
      <c r="TWG409" s="172"/>
      <c r="TWH409" s="172"/>
      <c r="TWI409" s="172"/>
      <c r="TWJ409" s="172"/>
      <c r="TWK409" s="172"/>
      <c r="TWL409" s="172"/>
      <c r="TWM409" s="172"/>
      <c r="TWN409" s="172"/>
      <c r="TWO409" s="172"/>
      <c r="TWP409" s="172"/>
      <c r="TWQ409" s="172"/>
      <c r="TWR409" s="172"/>
      <c r="TWS409" s="172"/>
      <c r="TWT409" s="172"/>
      <c r="TWU409" s="172"/>
      <c r="TWV409" s="172"/>
      <c r="TWW409" s="172"/>
      <c r="TWX409" s="172"/>
      <c r="TWY409" s="172"/>
      <c r="TWZ409" s="172"/>
      <c r="TXA409" s="172"/>
      <c r="TXB409" s="172"/>
      <c r="TXC409" s="172"/>
      <c r="TXD409" s="172"/>
      <c r="TXE409" s="172"/>
      <c r="TXF409" s="172"/>
      <c r="TXG409" s="172"/>
      <c r="TXH409" s="172"/>
      <c r="TXI409" s="172"/>
      <c r="TXJ409" s="172"/>
      <c r="TXK409" s="172"/>
      <c r="TXL409" s="172"/>
      <c r="TXM409" s="172"/>
      <c r="TXN409" s="172"/>
      <c r="TXO409" s="172"/>
      <c r="TXP409" s="172"/>
      <c r="TXQ409" s="172"/>
      <c r="TXR409" s="172"/>
      <c r="TXS409" s="172"/>
      <c r="TXT409" s="172"/>
      <c r="TXU409" s="172"/>
      <c r="TXV409" s="172"/>
      <c r="TXW409" s="172"/>
      <c r="TXX409" s="172"/>
      <c r="TXY409" s="172"/>
      <c r="TXZ409" s="172"/>
      <c r="TYA409" s="172"/>
      <c r="TYB409" s="172"/>
      <c r="TYC409" s="172"/>
      <c r="TYD409" s="172"/>
      <c r="TYE409" s="172"/>
      <c r="TYF409" s="172"/>
      <c r="TYG409" s="172"/>
      <c r="TYH409" s="172"/>
      <c r="TYI409" s="172"/>
      <c r="TYJ409" s="172"/>
      <c r="TYK409" s="172"/>
      <c r="TYL409" s="172"/>
      <c r="TYM409" s="172"/>
      <c r="TYN409" s="172"/>
      <c r="TYO409" s="172"/>
      <c r="TYP409" s="172"/>
      <c r="TYQ409" s="172"/>
      <c r="TYR409" s="172"/>
      <c r="TYS409" s="172"/>
      <c r="TYT409" s="172"/>
      <c r="TYU409" s="172"/>
      <c r="TYV409" s="172"/>
      <c r="TYW409" s="172"/>
      <c r="TYX409" s="172"/>
      <c r="TYY409" s="172"/>
      <c r="TYZ409" s="172"/>
      <c r="TZA409" s="172"/>
      <c r="TZB409" s="172"/>
      <c r="TZC409" s="172"/>
      <c r="TZD409" s="172"/>
      <c r="TZE409" s="172"/>
      <c r="TZF409" s="172"/>
      <c r="TZG409" s="172"/>
      <c r="TZH409" s="172"/>
      <c r="TZI409" s="172"/>
      <c r="TZJ409" s="172"/>
      <c r="TZK409" s="172"/>
      <c r="TZL409" s="172"/>
      <c r="TZM409" s="172"/>
      <c r="TZN409" s="172"/>
      <c r="TZO409" s="172"/>
      <c r="TZP409" s="172"/>
      <c r="TZQ409" s="172"/>
      <c r="TZR409" s="172"/>
      <c r="TZS409" s="172"/>
      <c r="TZT409" s="172"/>
      <c r="TZU409" s="172"/>
      <c r="TZV409" s="172"/>
      <c r="TZW409" s="172"/>
      <c r="TZX409" s="172"/>
      <c r="TZY409" s="172"/>
      <c r="TZZ409" s="172"/>
      <c r="UAA409" s="172"/>
      <c r="UAB409" s="172"/>
      <c r="UAC409" s="172"/>
      <c r="UAD409" s="172"/>
      <c r="UAE409" s="172"/>
      <c r="UAF409" s="172"/>
      <c r="UAG409" s="172"/>
      <c r="UAH409" s="172"/>
      <c r="UAI409" s="172"/>
      <c r="UAJ409" s="172"/>
      <c r="UAK409" s="172"/>
      <c r="UAL409" s="172"/>
      <c r="UAM409" s="172"/>
      <c r="UAN409" s="172"/>
      <c r="UAO409" s="172"/>
      <c r="UAP409" s="172"/>
      <c r="UAQ409" s="172"/>
      <c r="UAR409" s="172"/>
      <c r="UAS409" s="172"/>
      <c r="UAT409" s="172"/>
      <c r="UAU409" s="172"/>
      <c r="UAV409" s="172"/>
      <c r="UAW409" s="172"/>
      <c r="UAX409" s="172"/>
      <c r="UAY409" s="172"/>
      <c r="UAZ409" s="172"/>
      <c r="UBA409" s="172"/>
      <c r="UBB409" s="172"/>
      <c r="UBC409" s="172"/>
      <c r="UBD409" s="172"/>
      <c r="UBE409" s="172"/>
      <c r="UBF409" s="172"/>
      <c r="UBG409" s="172"/>
      <c r="UBH409" s="172"/>
      <c r="UBI409" s="172"/>
      <c r="UBJ409" s="172"/>
      <c r="UBK409" s="172"/>
      <c r="UBL409" s="172"/>
      <c r="UBM409" s="172"/>
      <c r="UBN409" s="172"/>
      <c r="UBO409" s="172"/>
      <c r="UBP409" s="172"/>
      <c r="UBQ409" s="172"/>
      <c r="UBR409" s="172"/>
      <c r="UBS409" s="172"/>
      <c r="UBT409" s="172"/>
      <c r="UBU409" s="172"/>
      <c r="UBV409" s="172"/>
      <c r="UBW409" s="172"/>
      <c r="UBX409" s="172"/>
      <c r="UBY409" s="172"/>
      <c r="UBZ409" s="172"/>
      <c r="UCA409" s="172"/>
      <c r="UCB409" s="172"/>
      <c r="UCC409" s="172"/>
      <c r="UCD409" s="172"/>
      <c r="UCE409" s="172"/>
      <c r="UCF409" s="172"/>
      <c r="UCG409" s="172"/>
      <c r="UCH409" s="172"/>
      <c r="UCI409" s="172"/>
      <c r="UCJ409" s="172"/>
      <c r="UCK409" s="172"/>
      <c r="UCL409" s="172"/>
      <c r="UCM409" s="172"/>
      <c r="UCN409" s="172"/>
      <c r="UCO409" s="172"/>
      <c r="UCP409" s="172"/>
      <c r="UCQ409" s="172"/>
      <c r="UCR409" s="172"/>
      <c r="UCS409" s="172"/>
      <c r="UCT409" s="172"/>
      <c r="UCU409" s="172"/>
      <c r="UCV409" s="172"/>
      <c r="UCW409" s="172"/>
      <c r="UCX409" s="172"/>
      <c r="UCY409" s="172"/>
      <c r="UCZ409" s="172"/>
      <c r="UDA409" s="172"/>
      <c r="UDB409" s="172"/>
      <c r="UDC409" s="172"/>
      <c r="UDD409" s="172"/>
      <c r="UDE409" s="172"/>
      <c r="UDF409" s="172"/>
      <c r="UDG409" s="172"/>
      <c r="UDH409" s="172"/>
      <c r="UDI409" s="172"/>
      <c r="UDJ409" s="172"/>
      <c r="UDK409" s="172"/>
      <c r="UDL409" s="172"/>
      <c r="UDM409" s="172"/>
      <c r="UDN409" s="172"/>
      <c r="UDO409" s="172"/>
      <c r="UDP409" s="172"/>
      <c r="UDQ409" s="172"/>
      <c r="UDR409" s="172"/>
      <c r="UDS409" s="172"/>
      <c r="UDT409" s="172"/>
      <c r="UDU409" s="172"/>
      <c r="UDV409" s="172"/>
      <c r="UDW409" s="172"/>
      <c r="UDX409" s="172"/>
      <c r="UDY409" s="172"/>
      <c r="UDZ409" s="172"/>
      <c r="UEA409" s="172"/>
      <c r="UEB409" s="172"/>
      <c r="UEC409" s="172"/>
      <c r="UED409" s="172"/>
      <c r="UEE409" s="172"/>
      <c r="UEF409" s="172"/>
      <c r="UEG409" s="172"/>
      <c r="UEH409" s="172"/>
      <c r="UEI409" s="172"/>
      <c r="UEJ409" s="172"/>
      <c r="UEK409" s="172"/>
      <c r="UEL409" s="172"/>
      <c r="UEM409" s="172"/>
      <c r="UEN409" s="172"/>
      <c r="UEO409" s="172"/>
      <c r="UEP409" s="172"/>
      <c r="UEQ409" s="172"/>
      <c r="UER409" s="172"/>
      <c r="UES409" s="172"/>
      <c r="UET409" s="172"/>
      <c r="UEU409" s="172"/>
      <c r="UEV409" s="172"/>
      <c r="UEW409" s="172"/>
      <c r="UEX409" s="172"/>
      <c r="UEY409" s="172"/>
      <c r="UEZ409" s="172"/>
      <c r="UFA409" s="172"/>
      <c r="UFB409" s="172"/>
      <c r="UFC409" s="172"/>
      <c r="UFD409" s="172"/>
      <c r="UFE409" s="172"/>
      <c r="UFF409" s="172"/>
      <c r="UFG409" s="172"/>
      <c r="UFH409" s="172"/>
      <c r="UFI409" s="172"/>
      <c r="UFJ409" s="172"/>
      <c r="UFK409" s="172"/>
      <c r="UFL409" s="172"/>
      <c r="UFM409" s="172"/>
      <c r="UFN409" s="172"/>
      <c r="UFO409" s="172"/>
      <c r="UFP409" s="172"/>
      <c r="UFQ409" s="172"/>
      <c r="UFR409" s="172"/>
      <c r="UFS409" s="172"/>
      <c r="UFT409" s="172"/>
      <c r="UFU409" s="172"/>
      <c r="UFV409" s="172"/>
      <c r="UFW409" s="172"/>
      <c r="UFX409" s="172"/>
      <c r="UFY409" s="172"/>
      <c r="UFZ409" s="172"/>
      <c r="UGA409" s="172"/>
      <c r="UGB409" s="172"/>
      <c r="UGC409" s="172"/>
      <c r="UGD409" s="172"/>
      <c r="UGE409" s="172"/>
      <c r="UGF409" s="172"/>
      <c r="UGG409" s="172"/>
      <c r="UGH409" s="172"/>
      <c r="UGI409" s="172"/>
      <c r="UGJ409" s="172"/>
      <c r="UGK409" s="172"/>
      <c r="UGL409" s="172"/>
      <c r="UGM409" s="172"/>
      <c r="UGN409" s="172"/>
      <c r="UGO409" s="172"/>
      <c r="UGP409" s="172"/>
      <c r="UGQ409" s="172"/>
      <c r="UGR409" s="172"/>
      <c r="UGS409" s="172"/>
      <c r="UGT409" s="172"/>
      <c r="UGU409" s="172"/>
      <c r="UGV409" s="172"/>
      <c r="UGW409" s="172"/>
      <c r="UGX409" s="172"/>
      <c r="UGY409" s="172"/>
      <c r="UGZ409" s="172"/>
      <c r="UHA409" s="172"/>
      <c r="UHB409" s="172"/>
      <c r="UHC409" s="172"/>
      <c r="UHD409" s="172"/>
      <c r="UHE409" s="172"/>
      <c r="UHF409" s="172"/>
      <c r="UHG409" s="172"/>
      <c r="UHH409" s="172"/>
      <c r="UHI409" s="172"/>
      <c r="UHJ409" s="172"/>
      <c r="UHK409" s="172"/>
      <c r="UHL409" s="172"/>
      <c r="UHM409" s="172"/>
      <c r="UHN409" s="172"/>
      <c r="UHO409" s="172"/>
      <c r="UHP409" s="172"/>
      <c r="UHQ409" s="172"/>
      <c r="UHR409" s="172"/>
      <c r="UHS409" s="172"/>
      <c r="UHT409" s="172"/>
      <c r="UHU409" s="172"/>
      <c r="UHV409" s="172"/>
      <c r="UHW409" s="172"/>
      <c r="UHX409" s="172"/>
      <c r="UHY409" s="172"/>
      <c r="UHZ409" s="172"/>
      <c r="UIA409" s="172"/>
      <c r="UIB409" s="172"/>
      <c r="UIC409" s="172"/>
      <c r="UID409" s="172"/>
      <c r="UIE409" s="172"/>
      <c r="UIF409" s="172"/>
      <c r="UIG409" s="172"/>
      <c r="UIH409" s="172"/>
      <c r="UII409" s="172"/>
      <c r="UIJ409" s="172"/>
      <c r="UIK409" s="172"/>
      <c r="UIL409" s="172"/>
      <c r="UIM409" s="172"/>
      <c r="UIN409" s="172"/>
      <c r="UIO409" s="172"/>
      <c r="UIP409" s="172"/>
      <c r="UIQ409" s="172"/>
      <c r="UIR409" s="172"/>
      <c r="UIS409" s="172"/>
      <c r="UIT409" s="172"/>
      <c r="UIU409" s="172"/>
      <c r="UIV409" s="172"/>
      <c r="UIW409" s="172"/>
      <c r="UIX409" s="172"/>
      <c r="UIY409" s="172"/>
      <c r="UIZ409" s="172"/>
      <c r="UJA409" s="172"/>
      <c r="UJB409" s="172"/>
      <c r="UJC409" s="172"/>
      <c r="UJD409" s="172"/>
      <c r="UJE409" s="172"/>
      <c r="UJF409" s="172"/>
      <c r="UJG409" s="172"/>
      <c r="UJH409" s="172"/>
      <c r="UJI409" s="172"/>
      <c r="UJJ409" s="172"/>
      <c r="UJK409" s="172"/>
      <c r="UJL409" s="172"/>
      <c r="UJM409" s="172"/>
      <c r="UJN409" s="172"/>
      <c r="UJO409" s="172"/>
      <c r="UJP409" s="172"/>
      <c r="UJQ409" s="172"/>
      <c r="UJR409" s="172"/>
      <c r="UJS409" s="172"/>
      <c r="UJT409" s="172"/>
      <c r="UJU409" s="172"/>
      <c r="UJV409" s="172"/>
      <c r="UJW409" s="172"/>
      <c r="UJX409" s="172"/>
      <c r="UJY409" s="172"/>
      <c r="UJZ409" s="172"/>
      <c r="UKA409" s="172"/>
      <c r="UKB409" s="172"/>
      <c r="UKC409" s="172"/>
      <c r="UKD409" s="172"/>
      <c r="UKE409" s="172"/>
      <c r="UKF409" s="172"/>
      <c r="UKG409" s="172"/>
      <c r="UKH409" s="172"/>
      <c r="UKI409" s="172"/>
      <c r="UKJ409" s="172"/>
      <c r="UKK409" s="172"/>
      <c r="UKL409" s="172"/>
      <c r="UKM409" s="172"/>
      <c r="UKN409" s="172"/>
      <c r="UKO409" s="172"/>
      <c r="UKP409" s="172"/>
      <c r="UKQ409" s="172"/>
      <c r="UKR409" s="172"/>
      <c r="UKS409" s="172"/>
      <c r="UKT409" s="172"/>
      <c r="UKU409" s="172"/>
      <c r="UKV409" s="172"/>
      <c r="UKW409" s="172"/>
      <c r="UKX409" s="172"/>
      <c r="UKY409" s="172"/>
      <c r="UKZ409" s="172"/>
      <c r="ULA409" s="172"/>
      <c r="ULB409" s="172"/>
      <c r="ULC409" s="172"/>
      <c r="ULD409" s="172"/>
      <c r="ULE409" s="172"/>
      <c r="ULF409" s="172"/>
      <c r="ULG409" s="172"/>
      <c r="ULH409" s="172"/>
      <c r="ULI409" s="172"/>
      <c r="ULJ409" s="172"/>
      <c r="ULK409" s="172"/>
      <c r="ULL409" s="172"/>
      <c r="ULM409" s="172"/>
      <c r="ULN409" s="172"/>
      <c r="ULO409" s="172"/>
      <c r="ULP409" s="172"/>
      <c r="ULQ409" s="172"/>
      <c r="ULR409" s="172"/>
      <c r="ULS409" s="172"/>
      <c r="ULT409" s="172"/>
      <c r="ULU409" s="172"/>
      <c r="ULV409" s="172"/>
      <c r="ULW409" s="172"/>
      <c r="ULX409" s="172"/>
      <c r="ULY409" s="172"/>
      <c r="ULZ409" s="172"/>
      <c r="UMA409" s="172"/>
      <c r="UMB409" s="172"/>
      <c r="UMC409" s="172"/>
      <c r="UMD409" s="172"/>
      <c r="UME409" s="172"/>
      <c r="UMF409" s="172"/>
      <c r="UMG409" s="172"/>
      <c r="UMH409" s="172"/>
      <c r="UMI409" s="172"/>
      <c r="UMJ409" s="172"/>
      <c r="UMK409" s="172"/>
      <c r="UML409" s="172"/>
      <c r="UMM409" s="172"/>
      <c r="UMN409" s="172"/>
      <c r="UMO409" s="172"/>
      <c r="UMP409" s="172"/>
      <c r="UMQ409" s="172"/>
      <c r="UMR409" s="172"/>
      <c r="UMS409" s="172"/>
      <c r="UMT409" s="172"/>
      <c r="UMU409" s="172"/>
      <c r="UMV409" s="172"/>
      <c r="UMW409" s="172"/>
      <c r="UMX409" s="172"/>
      <c r="UMY409" s="172"/>
      <c r="UMZ409" s="172"/>
      <c r="UNA409" s="172"/>
      <c r="UNB409" s="172"/>
      <c r="UNC409" s="172"/>
      <c r="UND409" s="172"/>
      <c r="UNE409" s="172"/>
      <c r="UNF409" s="172"/>
      <c r="UNG409" s="172"/>
      <c r="UNH409" s="172"/>
      <c r="UNI409" s="172"/>
      <c r="UNJ409" s="172"/>
      <c r="UNK409" s="172"/>
      <c r="UNL409" s="172"/>
      <c r="UNM409" s="172"/>
      <c r="UNN409" s="172"/>
      <c r="UNO409" s="172"/>
      <c r="UNP409" s="172"/>
      <c r="UNQ409" s="172"/>
      <c r="UNR409" s="172"/>
      <c r="UNS409" s="172"/>
      <c r="UNT409" s="172"/>
      <c r="UNU409" s="172"/>
      <c r="UNV409" s="172"/>
      <c r="UNW409" s="172"/>
      <c r="UNX409" s="172"/>
      <c r="UNY409" s="172"/>
      <c r="UNZ409" s="172"/>
      <c r="UOA409" s="172"/>
      <c r="UOB409" s="172"/>
      <c r="UOC409" s="172"/>
      <c r="UOD409" s="172"/>
      <c r="UOE409" s="172"/>
      <c r="UOF409" s="172"/>
      <c r="UOG409" s="172"/>
      <c r="UOH409" s="172"/>
      <c r="UOI409" s="172"/>
      <c r="UOJ409" s="172"/>
      <c r="UOK409" s="172"/>
      <c r="UOL409" s="172"/>
      <c r="UOM409" s="172"/>
      <c r="UON409" s="172"/>
      <c r="UOO409" s="172"/>
      <c r="UOP409" s="172"/>
      <c r="UOQ409" s="172"/>
      <c r="UOR409" s="172"/>
      <c r="UOS409" s="172"/>
      <c r="UOT409" s="172"/>
      <c r="UOU409" s="172"/>
      <c r="UOV409" s="172"/>
      <c r="UOW409" s="172"/>
      <c r="UOX409" s="172"/>
      <c r="UOY409" s="172"/>
      <c r="UOZ409" s="172"/>
      <c r="UPA409" s="172"/>
      <c r="UPB409" s="172"/>
      <c r="UPC409" s="172"/>
      <c r="UPD409" s="172"/>
      <c r="UPE409" s="172"/>
      <c r="UPF409" s="172"/>
      <c r="UPG409" s="172"/>
      <c r="UPH409" s="172"/>
      <c r="UPI409" s="172"/>
      <c r="UPJ409" s="172"/>
      <c r="UPK409" s="172"/>
      <c r="UPL409" s="172"/>
      <c r="UPM409" s="172"/>
      <c r="UPN409" s="172"/>
      <c r="UPO409" s="172"/>
      <c r="UPP409" s="172"/>
      <c r="UPQ409" s="172"/>
      <c r="UPR409" s="172"/>
      <c r="UPS409" s="172"/>
      <c r="UPT409" s="172"/>
      <c r="UPU409" s="172"/>
      <c r="UPV409" s="172"/>
      <c r="UPW409" s="172"/>
      <c r="UPX409" s="172"/>
      <c r="UPY409" s="172"/>
      <c r="UPZ409" s="172"/>
      <c r="UQA409" s="172"/>
      <c r="UQB409" s="172"/>
      <c r="UQC409" s="172"/>
      <c r="UQD409" s="172"/>
      <c r="UQE409" s="172"/>
      <c r="UQF409" s="172"/>
      <c r="UQG409" s="172"/>
      <c r="UQH409" s="172"/>
      <c r="UQI409" s="172"/>
      <c r="UQJ409" s="172"/>
      <c r="UQK409" s="172"/>
      <c r="UQL409" s="172"/>
      <c r="UQM409" s="172"/>
      <c r="UQN409" s="172"/>
      <c r="UQO409" s="172"/>
      <c r="UQP409" s="172"/>
      <c r="UQQ409" s="172"/>
      <c r="UQR409" s="172"/>
      <c r="UQS409" s="172"/>
      <c r="UQT409" s="172"/>
      <c r="UQU409" s="172"/>
      <c r="UQV409" s="172"/>
      <c r="UQW409" s="172"/>
      <c r="UQX409" s="172"/>
      <c r="UQY409" s="172"/>
      <c r="UQZ409" s="172"/>
      <c r="URA409" s="172"/>
      <c r="URB409" s="172"/>
      <c r="URC409" s="172"/>
      <c r="URD409" s="172"/>
      <c r="URE409" s="172"/>
      <c r="URF409" s="172"/>
      <c r="URG409" s="172"/>
      <c r="URH409" s="172"/>
      <c r="URI409" s="172"/>
      <c r="URJ409" s="172"/>
      <c r="URK409" s="172"/>
      <c r="URL409" s="172"/>
      <c r="URM409" s="172"/>
      <c r="URN409" s="172"/>
      <c r="URO409" s="172"/>
      <c r="URP409" s="172"/>
      <c r="URQ409" s="172"/>
      <c r="URR409" s="172"/>
      <c r="URS409" s="172"/>
      <c r="URT409" s="172"/>
      <c r="URU409" s="172"/>
      <c r="URV409" s="172"/>
      <c r="URW409" s="172"/>
      <c r="URX409" s="172"/>
      <c r="URY409" s="172"/>
      <c r="URZ409" s="172"/>
      <c r="USA409" s="172"/>
      <c r="USB409" s="172"/>
      <c r="USC409" s="172"/>
      <c r="USD409" s="172"/>
      <c r="USE409" s="172"/>
      <c r="USF409" s="172"/>
      <c r="USG409" s="172"/>
      <c r="USH409" s="172"/>
      <c r="USI409" s="172"/>
      <c r="USJ409" s="172"/>
      <c r="USK409" s="172"/>
      <c r="USL409" s="172"/>
      <c r="USM409" s="172"/>
      <c r="USN409" s="172"/>
      <c r="USO409" s="172"/>
      <c r="USP409" s="172"/>
      <c r="USQ409" s="172"/>
      <c r="USR409" s="172"/>
      <c r="USS409" s="172"/>
      <c r="UST409" s="172"/>
      <c r="USU409" s="172"/>
      <c r="USV409" s="172"/>
      <c r="USW409" s="172"/>
      <c r="USX409" s="172"/>
      <c r="USY409" s="172"/>
      <c r="USZ409" s="172"/>
      <c r="UTA409" s="172"/>
      <c r="UTB409" s="172"/>
      <c r="UTC409" s="172"/>
      <c r="UTD409" s="172"/>
      <c r="UTE409" s="172"/>
      <c r="UTF409" s="172"/>
      <c r="UTG409" s="172"/>
      <c r="UTH409" s="172"/>
      <c r="UTI409" s="172"/>
      <c r="UTJ409" s="172"/>
      <c r="UTK409" s="172"/>
      <c r="UTL409" s="172"/>
      <c r="UTM409" s="172"/>
      <c r="UTN409" s="172"/>
      <c r="UTO409" s="172"/>
      <c r="UTP409" s="172"/>
      <c r="UTQ409" s="172"/>
      <c r="UTR409" s="172"/>
      <c r="UTS409" s="172"/>
      <c r="UTT409" s="172"/>
      <c r="UTU409" s="172"/>
      <c r="UTV409" s="172"/>
      <c r="UTW409" s="172"/>
      <c r="UTX409" s="172"/>
      <c r="UTY409" s="172"/>
      <c r="UTZ409" s="172"/>
      <c r="UUA409" s="172"/>
      <c r="UUB409" s="172"/>
      <c r="UUC409" s="172"/>
      <c r="UUD409" s="172"/>
      <c r="UUE409" s="172"/>
      <c r="UUF409" s="172"/>
      <c r="UUG409" s="172"/>
      <c r="UUH409" s="172"/>
      <c r="UUI409" s="172"/>
      <c r="UUJ409" s="172"/>
      <c r="UUK409" s="172"/>
      <c r="UUL409" s="172"/>
      <c r="UUM409" s="172"/>
      <c r="UUN409" s="172"/>
      <c r="UUO409" s="172"/>
      <c r="UUP409" s="172"/>
      <c r="UUQ409" s="172"/>
      <c r="UUR409" s="172"/>
      <c r="UUS409" s="172"/>
      <c r="UUT409" s="172"/>
      <c r="UUU409" s="172"/>
      <c r="UUV409" s="172"/>
      <c r="UUW409" s="172"/>
      <c r="UUX409" s="172"/>
      <c r="UUY409" s="172"/>
      <c r="UUZ409" s="172"/>
      <c r="UVA409" s="172"/>
      <c r="UVB409" s="172"/>
      <c r="UVC409" s="172"/>
      <c r="UVD409" s="172"/>
      <c r="UVE409" s="172"/>
      <c r="UVF409" s="172"/>
      <c r="UVG409" s="172"/>
      <c r="UVH409" s="172"/>
      <c r="UVI409" s="172"/>
      <c r="UVJ409" s="172"/>
      <c r="UVK409" s="172"/>
      <c r="UVL409" s="172"/>
      <c r="UVM409" s="172"/>
      <c r="UVN409" s="172"/>
      <c r="UVO409" s="172"/>
      <c r="UVP409" s="172"/>
      <c r="UVQ409" s="172"/>
      <c r="UVR409" s="172"/>
      <c r="UVS409" s="172"/>
      <c r="UVT409" s="172"/>
      <c r="UVU409" s="172"/>
      <c r="UVV409" s="172"/>
      <c r="UVW409" s="172"/>
      <c r="UVX409" s="172"/>
      <c r="UVY409" s="172"/>
      <c r="UVZ409" s="172"/>
      <c r="UWA409" s="172"/>
      <c r="UWB409" s="172"/>
      <c r="UWC409" s="172"/>
      <c r="UWD409" s="172"/>
      <c r="UWE409" s="172"/>
      <c r="UWF409" s="172"/>
      <c r="UWG409" s="172"/>
      <c r="UWH409" s="172"/>
      <c r="UWI409" s="172"/>
      <c r="UWJ409" s="172"/>
      <c r="UWK409" s="172"/>
      <c r="UWL409" s="172"/>
      <c r="UWM409" s="172"/>
      <c r="UWN409" s="172"/>
      <c r="UWO409" s="172"/>
      <c r="UWP409" s="172"/>
      <c r="UWQ409" s="172"/>
      <c r="UWR409" s="172"/>
      <c r="UWS409" s="172"/>
      <c r="UWT409" s="172"/>
      <c r="UWU409" s="172"/>
      <c r="UWV409" s="172"/>
      <c r="UWW409" s="172"/>
      <c r="UWX409" s="172"/>
      <c r="UWY409" s="172"/>
      <c r="UWZ409" s="172"/>
      <c r="UXA409" s="172"/>
      <c r="UXB409" s="172"/>
      <c r="UXC409" s="172"/>
      <c r="UXD409" s="172"/>
      <c r="UXE409" s="172"/>
      <c r="UXF409" s="172"/>
      <c r="UXG409" s="172"/>
      <c r="UXH409" s="172"/>
      <c r="UXI409" s="172"/>
      <c r="UXJ409" s="172"/>
      <c r="UXK409" s="172"/>
      <c r="UXL409" s="172"/>
      <c r="UXM409" s="172"/>
      <c r="UXN409" s="172"/>
      <c r="UXO409" s="172"/>
      <c r="UXP409" s="172"/>
      <c r="UXQ409" s="172"/>
      <c r="UXR409" s="172"/>
      <c r="UXS409" s="172"/>
      <c r="UXT409" s="172"/>
      <c r="UXU409" s="172"/>
      <c r="UXV409" s="172"/>
      <c r="UXW409" s="172"/>
      <c r="UXX409" s="172"/>
      <c r="UXY409" s="172"/>
      <c r="UXZ409" s="172"/>
      <c r="UYA409" s="172"/>
      <c r="UYB409" s="172"/>
      <c r="UYC409" s="172"/>
      <c r="UYD409" s="172"/>
      <c r="UYE409" s="172"/>
      <c r="UYF409" s="172"/>
      <c r="UYG409" s="172"/>
      <c r="UYH409" s="172"/>
      <c r="UYI409" s="172"/>
      <c r="UYJ409" s="172"/>
      <c r="UYK409" s="172"/>
      <c r="UYL409" s="172"/>
      <c r="UYM409" s="172"/>
      <c r="UYN409" s="172"/>
      <c r="UYO409" s="172"/>
      <c r="UYP409" s="172"/>
      <c r="UYQ409" s="172"/>
      <c r="UYR409" s="172"/>
      <c r="UYS409" s="172"/>
      <c r="UYT409" s="172"/>
      <c r="UYU409" s="172"/>
      <c r="UYV409" s="172"/>
      <c r="UYW409" s="172"/>
      <c r="UYX409" s="172"/>
      <c r="UYY409" s="172"/>
      <c r="UYZ409" s="172"/>
      <c r="UZA409" s="172"/>
      <c r="UZB409" s="172"/>
      <c r="UZC409" s="172"/>
      <c r="UZD409" s="172"/>
      <c r="UZE409" s="172"/>
      <c r="UZF409" s="172"/>
      <c r="UZG409" s="172"/>
      <c r="UZH409" s="172"/>
      <c r="UZI409" s="172"/>
      <c r="UZJ409" s="172"/>
      <c r="UZK409" s="172"/>
      <c r="UZL409" s="172"/>
      <c r="UZM409" s="172"/>
      <c r="UZN409" s="172"/>
      <c r="UZO409" s="172"/>
      <c r="UZP409" s="172"/>
      <c r="UZQ409" s="172"/>
      <c r="UZR409" s="172"/>
      <c r="UZS409" s="172"/>
      <c r="UZT409" s="172"/>
      <c r="UZU409" s="172"/>
      <c r="UZV409" s="172"/>
      <c r="UZW409" s="172"/>
      <c r="UZX409" s="172"/>
      <c r="UZY409" s="172"/>
      <c r="UZZ409" s="172"/>
      <c r="VAA409" s="172"/>
      <c r="VAB409" s="172"/>
      <c r="VAC409" s="172"/>
      <c r="VAD409" s="172"/>
      <c r="VAE409" s="172"/>
      <c r="VAF409" s="172"/>
      <c r="VAG409" s="172"/>
      <c r="VAH409" s="172"/>
      <c r="VAI409" s="172"/>
      <c r="VAJ409" s="172"/>
      <c r="VAK409" s="172"/>
      <c r="VAL409" s="172"/>
      <c r="VAM409" s="172"/>
      <c r="VAN409" s="172"/>
      <c r="VAO409" s="172"/>
      <c r="VAP409" s="172"/>
      <c r="VAQ409" s="172"/>
      <c r="VAR409" s="172"/>
      <c r="VAS409" s="172"/>
      <c r="VAT409" s="172"/>
      <c r="VAU409" s="172"/>
      <c r="VAV409" s="172"/>
      <c r="VAW409" s="172"/>
      <c r="VAX409" s="172"/>
      <c r="VAY409" s="172"/>
      <c r="VAZ409" s="172"/>
      <c r="VBA409" s="172"/>
      <c r="VBB409" s="172"/>
      <c r="VBC409" s="172"/>
      <c r="VBD409" s="172"/>
      <c r="VBE409" s="172"/>
      <c r="VBF409" s="172"/>
      <c r="VBG409" s="172"/>
      <c r="VBH409" s="172"/>
      <c r="VBI409" s="172"/>
      <c r="VBJ409" s="172"/>
      <c r="VBK409" s="172"/>
      <c r="VBL409" s="172"/>
      <c r="VBM409" s="172"/>
      <c r="VBN409" s="172"/>
      <c r="VBO409" s="172"/>
      <c r="VBP409" s="172"/>
      <c r="VBQ409" s="172"/>
      <c r="VBR409" s="172"/>
      <c r="VBS409" s="172"/>
      <c r="VBT409" s="172"/>
      <c r="VBU409" s="172"/>
      <c r="VBV409" s="172"/>
      <c r="VBW409" s="172"/>
      <c r="VBX409" s="172"/>
      <c r="VBY409" s="172"/>
      <c r="VBZ409" s="172"/>
      <c r="VCA409" s="172"/>
      <c r="VCB409" s="172"/>
      <c r="VCC409" s="172"/>
      <c r="VCD409" s="172"/>
      <c r="VCE409" s="172"/>
      <c r="VCF409" s="172"/>
      <c r="VCG409" s="172"/>
      <c r="VCH409" s="172"/>
      <c r="VCI409" s="172"/>
      <c r="VCJ409" s="172"/>
      <c r="VCK409" s="172"/>
      <c r="VCL409" s="172"/>
      <c r="VCM409" s="172"/>
      <c r="VCN409" s="172"/>
      <c r="VCO409" s="172"/>
      <c r="VCP409" s="172"/>
      <c r="VCQ409" s="172"/>
      <c r="VCR409" s="172"/>
      <c r="VCS409" s="172"/>
      <c r="VCT409" s="172"/>
      <c r="VCU409" s="172"/>
      <c r="VCV409" s="172"/>
      <c r="VCW409" s="172"/>
      <c r="VCX409" s="172"/>
      <c r="VCY409" s="172"/>
      <c r="VCZ409" s="172"/>
      <c r="VDA409" s="172"/>
      <c r="VDB409" s="172"/>
      <c r="VDC409" s="172"/>
      <c r="VDD409" s="172"/>
      <c r="VDE409" s="172"/>
      <c r="VDF409" s="172"/>
      <c r="VDG409" s="172"/>
      <c r="VDH409" s="172"/>
      <c r="VDI409" s="172"/>
      <c r="VDJ409" s="172"/>
      <c r="VDK409" s="172"/>
      <c r="VDL409" s="172"/>
      <c r="VDM409" s="172"/>
      <c r="VDN409" s="172"/>
      <c r="VDO409" s="172"/>
      <c r="VDP409" s="172"/>
      <c r="VDQ409" s="172"/>
      <c r="VDR409" s="172"/>
      <c r="VDS409" s="172"/>
      <c r="VDT409" s="172"/>
      <c r="VDU409" s="172"/>
      <c r="VDV409" s="172"/>
      <c r="VDW409" s="172"/>
      <c r="VDX409" s="172"/>
      <c r="VDY409" s="172"/>
      <c r="VDZ409" s="172"/>
      <c r="VEA409" s="172"/>
      <c r="VEB409" s="172"/>
      <c r="VEC409" s="172"/>
      <c r="VED409" s="172"/>
      <c r="VEE409" s="172"/>
      <c r="VEF409" s="172"/>
      <c r="VEG409" s="172"/>
      <c r="VEH409" s="172"/>
      <c r="VEI409" s="172"/>
      <c r="VEJ409" s="172"/>
      <c r="VEK409" s="172"/>
      <c r="VEL409" s="172"/>
      <c r="VEM409" s="172"/>
      <c r="VEN409" s="172"/>
      <c r="VEO409" s="172"/>
      <c r="VEP409" s="172"/>
      <c r="VEQ409" s="172"/>
      <c r="VER409" s="172"/>
      <c r="VES409" s="172"/>
      <c r="VET409" s="172"/>
      <c r="VEU409" s="172"/>
      <c r="VEV409" s="172"/>
      <c r="VEW409" s="172"/>
      <c r="VEX409" s="172"/>
      <c r="VEY409" s="172"/>
      <c r="VEZ409" s="172"/>
      <c r="VFA409" s="172"/>
      <c r="VFB409" s="172"/>
      <c r="VFC409" s="172"/>
      <c r="VFD409" s="172"/>
      <c r="VFE409" s="172"/>
      <c r="VFF409" s="172"/>
      <c r="VFG409" s="172"/>
      <c r="VFH409" s="172"/>
      <c r="VFI409" s="172"/>
      <c r="VFJ409" s="172"/>
      <c r="VFK409" s="172"/>
      <c r="VFL409" s="172"/>
      <c r="VFM409" s="172"/>
      <c r="VFN409" s="172"/>
      <c r="VFO409" s="172"/>
      <c r="VFP409" s="172"/>
      <c r="VFQ409" s="172"/>
      <c r="VFR409" s="172"/>
      <c r="VFS409" s="172"/>
      <c r="VFT409" s="172"/>
      <c r="VFU409" s="172"/>
      <c r="VFV409" s="172"/>
      <c r="VFW409" s="172"/>
      <c r="VFX409" s="172"/>
      <c r="VFY409" s="172"/>
      <c r="VFZ409" s="172"/>
      <c r="VGA409" s="172"/>
      <c r="VGB409" s="172"/>
      <c r="VGC409" s="172"/>
      <c r="VGD409" s="172"/>
      <c r="VGE409" s="172"/>
      <c r="VGF409" s="172"/>
      <c r="VGG409" s="172"/>
      <c r="VGH409" s="172"/>
      <c r="VGI409" s="172"/>
      <c r="VGJ409" s="172"/>
      <c r="VGK409" s="172"/>
      <c r="VGL409" s="172"/>
      <c r="VGM409" s="172"/>
      <c r="VGN409" s="172"/>
      <c r="VGO409" s="172"/>
      <c r="VGP409" s="172"/>
      <c r="VGQ409" s="172"/>
      <c r="VGR409" s="172"/>
      <c r="VGS409" s="172"/>
      <c r="VGT409" s="172"/>
      <c r="VGU409" s="172"/>
      <c r="VGV409" s="172"/>
      <c r="VGW409" s="172"/>
      <c r="VGX409" s="172"/>
      <c r="VGY409" s="172"/>
      <c r="VGZ409" s="172"/>
      <c r="VHA409" s="172"/>
      <c r="VHB409" s="172"/>
      <c r="VHC409" s="172"/>
      <c r="VHD409" s="172"/>
      <c r="VHE409" s="172"/>
      <c r="VHF409" s="172"/>
      <c r="VHG409" s="172"/>
      <c r="VHH409" s="172"/>
      <c r="VHI409" s="172"/>
      <c r="VHJ409" s="172"/>
      <c r="VHK409" s="172"/>
      <c r="VHL409" s="172"/>
      <c r="VHM409" s="172"/>
      <c r="VHN409" s="172"/>
      <c r="VHO409" s="172"/>
      <c r="VHP409" s="172"/>
      <c r="VHQ409" s="172"/>
      <c r="VHR409" s="172"/>
      <c r="VHS409" s="172"/>
      <c r="VHT409" s="172"/>
      <c r="VHU409" s="172"/>
      <c r="VHV409" s="172"/>
      <c r="VHW409" s="172"/>
      <c r="VHX409" s="172"/>
      <c r="VHY409" s="172"/>
      <c r="VHZ409" s="172"/>
      <c r="VIA409" s="172"/>
      <c r="VIB409" s="172"/>
      <c r="VIC409" s="172"/>
      <c r="VID409" s="172"/>
      <c r="VIE409" s="172"/>
      <c r="VIF409" s="172"/>
      <c r="VIG409" s="172"/>
      <c r="VIH409" s="172"/>
      <c r="VII409" s="172"/>
      <c r="VIJ409" s="172"/>
      <c r="VIK409" s="172"/>
      <c r="VIL409" s="172"/>
      <c r="VIM409" s="172"/>
      <c r="VIN409" s="172"/>
      <c r="VIO409" s="172"/>
      <c r="VIP409" s="172"/>
      <c r="VIQ409" s="172"/>
      <c r="VIR409" s="172"/>
      <c r="VIS409" s="172"/>
      <c r="VIT409" s="172"/>
      <c r="VIU409" s="172"/>
      <c r="VIV409" s="172"/>
      <c r="VIW409" s="172"/>
      <c r="VIX409" s="172"/>
      <c r="VIY409" s="172"/>
      <c r="VIZ409" s="172"/>
      <c r="VJA409" s="172"/>
      <c r="VJB409" s="172"/>
      <c r="VJC409" s="172"/>
      <c r="VJD409" s="172"/>
      <c r="VJE409" s="172"/>
      <c r="VJF409" s="172"/>
      <c r="VJG409" s="172"/>
      <c r="VJH409" s="172"/>
      <c r="VJI409" s="172"/>
      <c r="VJJ409" s="172"/>
      <c r="VJK409" s="172"/>
      <c r="VJL409" s="172"/>
      <c r="VJM409" s="172"/>
      <c r="VJN409" s="172"/>
      <c r="VJO409" s="172"/>
      <c r="VJP409" s="172"/>
      <c r="VJQ409" s="172"/>
      <c r="VJR409" s="172"/>
      <c r="VJS409" s="172"/>
      <c r="VJT409" s="172"/>
      <c r="VJU409" s="172"/>
      <c r="VJV409" s="172"/>
      <c r="VJW409" s="172"/>
      <c r="VJX409" s="172"/>
      <c r="VJY409" s="172"/>
      <c r="VJZ409" s="172"/>
      <c r="VKA409" s="172"/>
      <c r="VKB409" s="172"/>
      <c r="VKC409" s="172"/>
      <c r="VKD409" s="172"/>
      <c r="VKE409" s="172"/>
      <c r="VKF409" s="172"/>
      <c r="VKG409" s="172"/>
      <c r="VKH409" s="172"/>
      <c r="VKI409" s="172"/>
      <c r="VKJ409" s="172"/>
      <c r="VKK409" s="172"/>
      <c r="VKL409" s="172"/>
      <c r="VKM409" s="172"/>
      <c r="VKN409" s="172"/>
      <c r="VKO409" s="172"/>
      <c r="VKP409" s="172"/>
      <c r="VKQ409" s="172"/>
      <c r="VKR409" s="172"/>
      <c r="VKS409" s="172"/>
      <c r="VKT409" s="172"/>
      <c r="VKU409" s="172"/>
      <c r="VKV409" s="172"/>
      <c r="VKW409" s="172"/>
      <c r="VKX409" s="172"/>
      <c r="VKY409" s="172"/>
      <c r="VKZ409" s="172"/>
      <c r="VLA409" s="172"/>
      <c r="VLB409" s="172"/>
      <c r="VLC409" s="172"/>
      <c r="VLD409" s="172"/>
      <c r="VLE409" s="172"/>
      <c r="VLF409" s="172"/>
      <c r="VLG409" s="172"/>
      <c r="VLH409" s="172"/>
      <c r="VLI409" s="172"/>
      <c r="VLJ409" s="172"/>
      <c r="VLK409" s="172"/>
      <c r="VLL409" s="172"/>
      <c r="VLM409" s="172"/>
      <c r="VLN409" s="172"/>
      <c r="VLO409" s="172"/>
      <c r="VLP409" s="172"/>
      <c r="VLQ409" s="172"/>
      <c r="VLR409" s="172"/>
      <c r="VLS409" s="172"/>
      <c r="VLT409" s="172"/>
      <c r="VLU409" s="172"/>
      <c r="VLV409" s="172"/>
      <c r="VLW409" s="172"/>
      <c r="VLX409" s="172"/>
      <c r="VLY409" s="172"/>
      <c r="VLZ409" s="172"/>
      <c r="VMA409" s="172"/>
      <c r="VMB409" s="172"/>
      <c r="VMC409" s="172"/>
      <c r="VMD409" s="172"/>
      <c r="VME409" s="172"/>
      <c r="VMF409" s="172"/>
      <c r="VMG409" s="172"/>
      <c r="VMH409" s="172"/>
      <c r="VMI409" s="172"/>
      <c r="VMJ409" s="172"/>
      <c r="VMK409" s="172"/>
      <c r="VML409" s="172"/>
      <c r="VMM409" s="172"/>
      <c r="VMN409" s="172"/>
      <c r="VMO409" s="172"/>
      <c r="VMP409" s="172"/>
      <c r="VMQ409" s="172"/>
      <c r="VMR409" s="172"/>
      <c r="VMS409" s="172"/>
      <c r="VMT409" s="172"/>
      <c r="VMU409" s="172"/>
      <c r="VMV409" s="172"/>
      <c r="VMW409" s="172"/>
      <c r="VMX409" s="172"/>
      <c r="VMY409" s="172"/>
      <c r="VMZ409" s="172"/>
      <c r="VNA409" s="172"/>
      <c r="VNB409" s="172"/>
      <c r="VNC409" s="172"/>
      <c r="VND409" s="172"/>
      <c r="VNE409" s="172"/>
      <c r="VNF409" s="172"/>
      <c r="VNG409" s="172"/>
      <c r="VNH409" s="172"/>
      <c r="VNI409" s="172"/>
      <c r="VNJ409" s="172"/>
      <c r="VNK409" s="172"/>
      <c r="VNL409" s="172"/>
      <c r="VNM409" s="172"/>
      <c r="VNN409" s="172"/>
      <c r="VNO409" s="172"/>
      <c r="VNP409" s="172"/>
      <c r="VNQ409" s="172"/>
      <c r="VNR409" s="172"/>
      <c r="VNS409" s="172"/>
      <c r="VNT409" s="172"/>
      <c r="VNU409" s="172"/>
      <c r="VNV409" s="172"/>
      <c r="VNW409" s="172"/>
      <c r="VNX409" s="172"/>
      <c r="VNY409" s="172"/>
      <c r="VNZ409" s="172"/>
      <c r="VOA409" s="172"/>
      <c r="VOB409" s="172"/>
      <c r="VOC409" s="172"/>
      <c r="VOD409" s="172"/>
      <c r="VOE409" s="172"/>
      <c r="VOF409" s="172"/>
      <c r="VOG409" s="172"/>
      <c r="VOH409" s="172"/>
      <c r="VOI409" s="172"/>
      <c r="VOJ409" s="172"/>
      <c r="VOK409" s="172"/>
      <c r="VOL409" s="172"/>
      <c r="VOM409" s="172"/>
      <c r="VON409" s="172"/>
      <c r="VOO409" s="172"/>
      <c r="VOP409" s="172"/>
      <c r="VOQ409" s="172"/>
      <c r="VOR409" s="172"/>
      <c r="VOS409" s="172"/>
      <c r="VOT409" s="172"/>
      <c r="VOU409" s="172"/>
      <c r="VOV409" s="172"/>
      <c r="VOW409" s="172"/>
      <c r="VOX409" s="172"/>
      <c r="VOY409" s="172"/>
      <c r="VOZ409" s="172"/>
      <c r="VPA409" s="172"/>
      <c r="VPB409" s="172"/>
      <c r="VPC409" s="172"/>
      <c r="VPD409" s="172"/>
      <c r="VPE409" s="172"/>
      <c r="VPF409" s="172"/>
      <c r="VPG409" s="172"/>
      <c r="VPH409" s="172"/>
      <c r="VPI409" s="172"/>
      <c r="VPJ409" s="172"/>
      <c r="VPK409" s="172"/>
      <c r="VPL409" s="172"/>
      <c r="VPM409" s="172"/>
      <c r="VPN409" s="172"/>
      <c r="VPO409" s="172"/>
      <c r="VPP409" s="172"/>
      <c r="VPQ409" s="172"/>
      <c r="VPR409" s="172"/>
      <c r="VPS409" s="172"/>
      <c r="VPT409" s="172"/>
      <c r="VPU409" s="172"/>
      <c r="VPV409" s="172"/>
      <c r="VPW409" s="172"/>
      <c r="VPX409" s="172"/>
      <c r="VPY409" s="172"/>
      <c r="VPZ409" s="172"/>
      <c r="VQA409" s="172"/>
      <c r="VQB409" s="172"/>
      <c r="VQC409" s="172"/>
      <c r="VQD409" s="172"/>
      <c r="VQE409" s="172"/>
      <c r="VQF409" s="172"/>
      <c r="VQG409" s="172"/>
      <c r="VQH409" s="172"/>
      <c r="VQI409" s="172"/>
      <c r="VQJ409" s="172"/>
      <c r="VQK409" s="172"/>
      <c r="VQL409" s="172"/>
      <c r="VQM409" s="172"/>
      <c r="VQN409" s="172"/>
      <c r="VQO409" s="172"/>
      <c r="VQP409" s="172"/>
      <c r="VQQ409" s="172"/>
      <c r="VQR409" s="172"/>
      <c r="VQS409" s="172"/>
      <c r="VQT409" s="172"/>
      <c r="VQU409" s="172"/>
      <c r="VQV409" s="172"/>
      <c r="VQW409" s="172"/>
      <c r="VQX409" s="172"/>
      <c r="VQY409" s="172"/>
      <c r="VQZ409" s="172"/>
      <c r="VRA409" s="172"/>
      <c r="VRB409" s="172"/>
      <c r="VRC409" s="172"/>
      <c r="VRD409" s="172"/>
      <c r="VRE409" s="172"/>
      <c r="VRF409" s="172"/>
      <c r="VRG409" s="172"/>
      <c r="VRH409" s="172"/>
      <c r="VRI409" s="172"/>
      <c r="VRJ409" s="172"/>
      <c r="VRK409" s="172"/>
      <c r="VRL409" s="172"/>
      <c r="VRM409" s="172"/>
      <c r="VRN409" s="172"/>
      <c r="VRO409" s="172"/>
      <c r="VRP409" s="172"/>
      <c r="VRQ409" s="172"/>
      <c r="VRR409" s="172"/>
      <c r="VRS409" s="172"/>
      <c r="VRT409" s="172"/>
      <c r="VRU409" s="172"/>
      <c r="VRV409" s="172"/>
      <c r="VRW409" s="172"/>
      <c r="VRX409" s="172"/>
      <c r="VRY409" s="172"/>
      <c r="VRZ409" s="172"/>
      <c r="VSA409" s="172"/>
      <c r="VSB409" s="172"/>
      <c r="VSC409" s="172"/>
      <c r="VSD409" s="172"/>
      <c r="VSE409" s="172"/>
      <c r="VSF409" s="172"/>
      <c r="VSG409" s="172"/>
      <c r="VSH409" s="172"/>
      <c r="VSI409" s="172"/>
      <c r="VSJ409" s="172"/>
      <c r="VSK409" s="172"/>
      <c r="VSL409" s="172"/>
      <c r="VSM409" s="172"/>
      <c r="VSN409" s="172"/>
      <c r="VSO409" s="172"/>
      <c r="VSP409" s="172"/>
      <c r="VSQ409" s="172"/>
      <c r="VSR409" s="172"/>
      <c r="VSS409" s="172"/>
      <c r="VST409" s="172"/>
      <c r="VSU409" s="172"/>
      <c r="VSV409" s="172"/>
      <c r="VSW409" s="172"/>
      <c r="VSX409" s="172"/>
      <c r="VSY409" s="172"/>
      <c r="VSZ409" s="172"/>
      <c r="VTA409" s="172"/>
      <c r="VTB409" s="172"/>
      <c r="VTC409" s="172"/>
      <c r="VTD409" s="172"/>
      <c r="VTE409" s="172"/>
      <c r="VTF409" s="172"/>
      <c r="VTG409" s="172"/>
      <c r="VTH409" s="172"/>
      <c r="VTI409" s="172"/>
      <c r="VTJ409" s="172"/>
      <c r="VTK409" s="172"/>
      <c r="VTL409" s="172"/>
      <c r="VTM409" s="172"/>
      <c r="VTN409" s="172"/>
      <c r="VTO409" s="172"/>
      <c r="VTP409" s="172"/>
      <c r="VTQ409" s="172"/>
      <c r="VTR409" s="172"/>
      <c r="VTS409" s="172"/>
      <c r="VTT409" s="172"/>
      <c r="VTU409" s="172"/>
      <c r="VTV409" s="172"/>
      <c r="VTW409" s="172"/>
      <c r="VTX409" s="172"/>
      <c r="VTY409" s="172"/>
      <c r="VTZ409" s="172"/>
      <c r="VUA409" s="172"/>
      <c r="VUB409" s="172"/>
      <c r="VUC409" s="172"/>
      <c r="VUD409" s="172"/>
      <c r="VUE409" s="172"/>
      <c r="VUF409" s="172"/>
      <c r="VUG409" s="172"/>
      <c r="VUH409" s="172"/>
      <c r="VUI409" s="172"/>
      <c r="VUJ409" s="172"/>
      <c r="VUK409" s="172"/>
      <c r="VUL409" s="172"/>
      <c r="VUM409" s="172"/>
      <c r="VUN409" s="172"/>
      <c r="VUO409" s="172"/>
      <c r="VUP409" s="172"/>
      <c r="VUQ409" s="172"/>
      <c r="VUR409" s="172"/>
      <c r="VUS409" s="172"/>
      <c r="VUT409" s="172"/>
      <c r="VUU409" s="172"/>
      <c r="VUV409" s="172"/>
      <c r="VUW409" s="172"/>
      <c r="VUX409" s="172"/>
      <c r="VUY409" s="172"/>
      <c r="VUZ409" s="172"/>
      <c r="VVA409" s="172"/>
      <c r="VVB409" s="172"/>
      <c r="VVC409" s="172"/>
      <c r="VVD409" s="172"/>
      <c r="VVE409" s="172"/>
      <c r="VVF409" s="172"/>
      <c r="VVG409" s="172"/>
      <c r="VVH409" s="172"/>
      <c r="VVI409" s="172"/>
      <c r="VVJ409" s="172"/>
      <c r="VVK409" s="172"/>
      <c r="VVL409" s="172"/>
      <c r="VVM409" s="172"/>
      <c r="VVN409" s="172"/>
      <c r="VVO409" s="172"/>
      <c r="VVP409" s="172"/>
      <c r="VVQ409" s="172"/>
      <c r="VVR409" s="172"/>
      <c r="VVS409" s="172"/>
      <c r="VVT409" s="172"/>
      <c r="VVU409" s="172"/>
      <c r="VVV409" s="172"/>
      <c r="VVW409" s="172"/>
      <c r="VVX409" s="172"/>
      <c r="VVY409" s="172"/>
      <c r="VVZ409" s="172"/>
      <c r="VWA409" s="172"/>
      <c r="VWB409" s="172"/>
      <c r="VWC409" s="172"/>
      <c r="VWD409" s="172"/>
      <c r="VWE409" s="172"/>
      <c r="VWF409" s="172"/>
      <c r="VWG409" s="172"/>
      <c r="VWH409" s="172"/>
      <c r="VWI409" s="172"/>
      <c r="VWJ409" s="172"/>
      <c r="VWK409" s="172"/>
      <c r="VWL409" s="172"/>
      <c r="VWM409" s="172"/>
      <c r="VWN409" s="172"/>
      <c r="VWO409" s="172"/>
      <c r="VWP409" s="172"/>
      <c r="VWQ409" s="172"/>
      <c r="VWR409" s="172"/>
      <c r="VWS409" s="172"/>
      <c r="VWT409" s="172"/>
      <c r="VWU409" s="172"/>
      <c r="VWV409" s="172"/>
      <c r="VWW409" s="172"/>
      <c r="VWX409" s="172"/>
      <c r="VWY409" s="172"/>
      <c r="VWZ409" s="172"/>
      <c r="VXA409" s="172"/>
      <c r="VXB409" s="172"/>
      <c r="VXC409" s="172"/>
      <c r="VXD409" s="172"/>
      <c r="VXE409" s="172"/>
      <c r="VXF409" s="172"/>
      <c r="VXG409" s="172"/>
      <c r="VXH409" s="172"/>
      <c r="VXI409" s="172"/>
      <c r="VXJ409" s="172"/>
      <c r="VXK409" s="172"/>
      <c r="VXL409" s="172"/>
      <c r="VXM409" s="172"/>
      <c r="VXN409" s="172"/>
      <c r="VXO409" s="172"/>
      <c r="VXP409" s="172"/>
      <c r="VXQ409" s="172"/>
      <c r="VXR409" s="172"/>
      <c r="VXS409" s="172"/>
      <c r="VXT409" s="172"/>
      <c r="VXU409" s="172"/>
      <c r="VXV409" s="172"/>
      <c r="VXW409" s="172"/>
      <c r="VXX409" s="172"/>
      <c r="VXY409" s="172"/>
      <c r="VXZ409" s="172"/>
      <c r="VYA409" s="172"/>
      <c r="VYB409" s="172"/>
      <c r="VYC409" s="172"/>
      <c r="VYD409" s="172"/>
      <c r="VYE409" s="172"/>
      <c r="VYF409" s="172"/>
      <c r="VYG409" s="172"/>
      <c r="VYH409" s="172"/>
      <c r="VYI409" s="172"/>
      <c r="VYJ409" s="172"/>
      <c r="VYK409" s="172"/>
      <c r="VYL409" s="172"/>
      <c r="VYM409" s="172"/>
      <c r="VYN409" s="172"/>
      <c r="VYO409" s="172"/>
      <c r="VYP409" s="172"/>
      <c r="VYQ409" s="172"/>
      <c r="VYR409" s="172"/>
      <c r="VYS409" s="172"/>
      <c r="VYT409" s="172"/>
      <c r="VYU409" s="172"/>
      <c r="VYV409" s="172"/>
      <c r="VYW409" s="172"/>
      <c r="VYX409" s="172"/>
      <c r="VYY409" s="172"/>
      <c r="VYZ409" s="172"/>
      <c r="VZA409" s="172"/>
      <c r="VZB409" s="172"/>
      <c r="VZC409" s="172"/>
      <c r="VZD409" s="172"/>
      <c r="VZE409" s="172"/>
      <c r="VZF409" s="172"/>
      <c r="VZG409" s="172"/>
      <c r="VZH409" s="172"/>
      <c r="VZI409" s="172"/>
      <c r="VZJ409" s="172"/>
      <c r="VZK409" s="172"/>
      <c r="VZL409" s="172"/>
      <c r="VZM409" s="172"/>
      <c r="VZN409" s="172"/>
      <c r="VZO409" s="172"/>
      <c r="VZP409" s="172"/>
      <c r="VZQ409" s="172"/>
      <c r="VZR409" s="172"/>
      <c r="VZS409" s="172"/>
      <c r="VZT409" s="172"/>
      <c r="VZU409" s="172"/>
      <c r="VZV409" s="172"/>
      <c r="VZW409" s="172"/>
      <c r="VZX409" s="172"/>
      <c r="VZY409" s="172"/>
      <c r="VZZ409" s="172"/>
      <c r="WAA409" s="172"/>
      <c r="WAB409" s="172"/>
      <c r="WAC409" s="172"/>
      <c r="WAD409" s="172"/>
      <c r="WAE409" s="172"/>
      <c r="WAF409" s="172"/>
      <c r="WAG409" s="172"/>
      <c r="WAH409" s="172"/>
      <c r="WAI409" s="172"/>
      <c r="WAJ409" s="172"/>
      <c r="WAK409" s="172"/>
      <c r="WAL409" s="172"/>
      <c r="WAM409" s="172"/>
      <c r="WAN409" s="172"/>
      <c r="WAO409" s="172"/>
      <c r="WAP409" s="172"/>
      <c r="WAQ409" s="172"/>
      <c r="WAR409" s="172"/>
      <c r="WAS409" s="172"/>
      <c r="WAT409" s="172"/>
      <c r="WAU409" s="172"/>
      <c r="WAV409" s="172"/>
      <c r="WAW409" s="172"/>
      <c r="WAX409" s="172"/>
      <c r="WAY409" s="172"/>
      <c r="WAZ409" s="172"/>
      <c r="WBA409" s="172"/>
      <c r="WBB409" s="172"/>
      <c r="WBC409" s="172"/>
      <c r="WBD409" s="172"/>
      <c r="WBE409" s="172"/>
      <c r="WBF409" s="172"/>
      <c r="WBG409" s="172"/>
      <c r="WBH409" s="172"/>
      <c r="WBI409" s="172"/>
      <c r="WBJ409" s="172"/>
      <c r="WBK409" s="172"/>
      <c r="WBL409" s="172"/>
      <c r="WBM409" s="172"/>
      <c r="WBN409" s="172"/>
      <c r="WBO409" s="172"/>
      <c r="WBP409" s="172"/>
      <c r="WBQ409" s="172"/>
      <c r="WBR409" s="172"/>
      <c r="WBS409" s="172"/>
      <c r="WBT409" s="172"/>
      <c r="WBU409" s="172"/>
      <c r="WBV409" s="172"/>
      <c r="WBW409" s="172"/>
      <c r="WBX409" s="172"/>
      <c r="WBY409" s="172"/>
      <c r="WBZ409" s="172"/>
      <c r="WCA409" s="172"/>
      <c r="WCB409" s="172"/>
      <c r="WCC409" s="172"/>
      <c r="WCD409" s="172"/>
      <c r="WCE409" s="172"/>
      <c r="WCF409" s="172"/>
      <c r="WCG409" s="172"/>
      <c r="WCH409" s="172"/>
      <c r="WCI409" s="172"/>
      <c r="WCJ409" s="172"/>
      <c r="WCK409" s="172"/>
      <c r="WCL409" s="172"/>
      <c r="WCM409" s="172"/>
      <c r="WCN409" s="172"/>
      <c r="WCO409" s="172"/>
      <c r="WCP409" s="172"/>
      <c r="WCQ409" s="172"/>
      <c r="WCR409" s="172"/>
      <c r="WCS409" s="172"/>
      <c r="WCT409" s="172"/>
      <c r="WCU409" s="172"/>
      <c r="WCV409" s="172"/>
      <c r="WCW409" s="172"/>
      <c r="WCX409" s="172"/>
      <c r="WCY409" s="172"/>
      <c r="WCZ409" s="172"/>
      <c r="WDA409" s="172"/>
      <c r="WDB409" s="172"/>
      <c r="WDC409" s="172"/>
      <c r="WDD409" s="172"/>
      <c r="WDE409" s="172"/>
      <c r="WDF409" s="172"/>
      <c r="WDG409" s="172"/>
      <c r="WDH409" s="172"/>
      <c r="WDI409" s="172"/>
      <c r="WDJ409" s="172"/>
      <c r="WDK409" s="172"/>
      <c r="WDL409" s="172"/>
      <c r="WDM409" s="172"/>
      <c r="WDN409" s="172"/>
      <c r="WDO409" s="172"/>
      <c r="WDP409" s="172"/>
      <c r="WDQ409" s="172"/>
      <c r="WDR409" s="172"/>
      <c r="WDS409" s="172"/>
      <c r="WDT409" s="172"/>
      <c r="WDU409" s="172"/>
      <c r="WDV409" s="172"/>
      <c r="WDW409" s="172"/>
      <c r="WDX409" s="172"/>
      <c r="WDY409" s="172"/>
      <c r="WDZ409" s="172"/>
      <c r="WEA409" s="172"/>
      <c r="WEB409" s="172"/>
      <c r="WEC409" s="172"/>
      <c r="WED409" s="172"/>
      <c r="WEE409" s="172"/>
      <c r="WEF409" s="172"/>
      <c r="WEG409" s="172"/>
      <c r="WEH409" s="172"/>
      <c r="WEI409" s="172"/>
      <c r="WEJ409" s="172"/>
      <c r="WEK409" s="172"/>
      <c r="WEL409" s="172"/>
      <c r="WEM409" s="172"/>
      <c r="WEN409" s="172"/>
      <c r="WEO409" s="172"/>
      <c r="WEP409" s="172"/>
      <c r="WEQ409" s="172"/>
      <c r="WER409" s="172"/>
      <c r="WES409" s="172"/>
      <c r="WET409" s="172"/>
      <c r="WEU409" s="172"/>
      <c r="WEV409" s="172"/>
      <c r="WEW409" s="172"/>
      <c r="WEX409" s="172"/>
      <c r="WEY409" s="172"/>
      <c r="WEZ409" s="172"/>
      <c r="WFA409" s="172"/>
      <c r="WFB409" s="172"/>
      <c r="WFC409" s="172"/>
      <c r="WFD409" s="172"/>
      <c r="WFE409" s="172"/>
      <c r="WFF409" s="172"/>
      <c r="WFG409" s="172"/>
      <c r="WFH409" s="172"/>
      <c r="WFI409" s="172"/>
      <c r="WFJ409" s="172"/>
      <c r="WFK409" s="172"/>
      <c r="WFL409" s="172"/>
      <c r="WFM409" s="172"/>
      <c r="WFN409" s="172"/>
      <c r="WFO409" s="172"/>
      <c r="WFP409" s="172"/>
      <c r="WFQ409" s="172"/>
      <c r="WFR409" s="172"/>
      <c r="WFS409" s="172"/>
      <c r="WFT409" s="172"/>
      <c r="WFU409" s="172"/>
      <c r="WFV409" s="172"/>
      <c r="WFW409" s="172"/>
      <c r="WFX409" s="172"/>
      <c r="WFY409" s="172"/>
      <c r="WFZ409" s="172"/>
      <c r="WGA409" s="172"/>
      <c r="WGB409" s="172"/>
      <c r="WGC409" s="172"/>
      <c r="WGD409" s="172"/>
      <c r="WGE409" s="172"/>
      <c r="WGF409" s="172"/>
      <c r="WGG409" s="172"/>
      <c r="WGH409" s="172"/>
      <c r="WGI409" s="172"/>
      <c r="WGJ409" s="172"/>
      <c r="WGK409" s="172"/>
      <c r="WGL409" s="172"/>
      <c r="WGM409" s="172"/>
      <c r="WGN409" s="172"/>
      <c r="WGO409" s="172"/>
      <c r="WGP409" s="172"/>
      <c r="WGQ409" s="172"/>
      <c r="WGR409" s="172"/>
      <c r="WGS409" s="172"/>
      <c r="WGT409" s="172"/>
      <c r="WGU409" s="172"/>
      <c r="WGV409" s="172"/>
      <c r="WGW409" s="172"/>
      <c r="WGX409" s="172"/>
      <c r="WGY409" s="172"/>
      <c r="WGZ409" s="172"/>
      <c r="WHA409" s="172"/>
      <c r="WHB409" s="172"/>
      <c r="WHC409" s="172"/>
      <c r="WHD409" s="172"/>
      <c r="WHE409" s="172"/>
      <c r="WHF409" s="172"/>
      <c r="WHG409" s="172"/>
      <c r="WHH409" s="172"/>
      <c r="WHI409" s="172"/>
      <c r="WHJ409" s="172"/>
      <c r="WHK409" s="172"/>
      <c r="WHL409" s="172"/>
      <c r="WHM409" s="172"/>
      <c r="WHN409" s="172"/>
      <c r="WHO409" s="172"/>
      <c r="WHP409" s="172"/>
      <c r="WHQ409" s="172"/>
      <c r="WHR409" s="172"/>
      <c r="WHS409" s="172"/>
      <c r="WHT409" s="172"/>
      <c r="WHU409" s="172"/>
      <c r="WHV409" s="172"/>
      <c r="WHW409" s="172"/>
      <c r="WHX409" s="172"/>
      <c r="WHY409" s="172"/>
      <c r="WHZ409" s="172"/>
      <c r="WIA409" s="172"/>
      <c r="WIB409" s="172"/>
      <c r="WIC409" s="172"/>
      <c r="WID409" s="172"/>
      <c r="WIE409" s="172"/>
      <c r="WIF409" s="172"/>
      <c r="WIG409" s="172"/>
      <c r="WIH409" s="172"/>
      <c r="WII409" s="172"/>
      <c r="WIJ409" s="172"/>
      <c r="WIK409" s="172"/>
      <c r="WIL409" s="172"/>
      <c r="WIM409" s="172"/>
      <c r="WIN409" s="172"/>
      <c r="WIO409" s="172"/>
      <c r="WIP409" s="172"/>
      <c r="WIQ409" s="172"/>
      <c r="WIR409" s="172"/>
      <c r="WIS409" s="172"/>
      <c r="WIT409" s="172"/>
      <c r="WIU409" s="172"/>
      <c r="WIV409" s="172"/>
      <c r="WIW409" s="172"/>
      <c r="WIX409" s="172"/>
      <c r="WIY409" s="172"/>
      <c r="WIZ409" s="172"/>
      <c r="WJA409" s="172"/>
      <c r="WJB409" s="172"/>
      <c r="WJC409" s="172"/>
      <c r="WJD409" s="172"/>
      <c r="WJE409" s="172"/>
      <c r="WJF409" s="172"/>
      <c r="WJG409" s="172"/>
      <c r="WJH409" s="172"/>
      <c r="WJI409" s="172"/>
      <c r="WJJ409" s="172"/>
      <c r="WJK409" s="172"/>
      <c r="WJL409" s="172"/>
      <c r="WJM409" s="172"/>
      <c r="WJN409" s="172"/>
      <c r="WJO409" s="172"/>
      <c r="WJP409" s="172"/>
      <c r="WJQ409" s="172"/>
      <c r="WJR409" s="172"/>
      <c r="WJS409" s="172"/>
      <c r="WJT409" s="172"/>
      <c r="WJU409" s="172"/>
      <c r="WJV409" s="172"/>
      <c r="WJW409" s="172"/>
      <c r="WJX409" s="172"/>
      <c r="WJY409" s="172"/>
      <c r="WJZ409" s="172"/>
      <c r="WKA409" s="172"/>
      <c r="WKB409" s="172"/>
      <c r="WKC409" s="172"/>
      <c r="WKD409" s="172"/>
      <c r="WKE409" s="172"/>
      <c r="WKF409" s="172"/>
      <c r="WKG409" s="172"/>
      <c r="WKH409" s="172"/>
      <c r="WKI409" s="172"/>
      <c r="WKJ409" s="172"/>
      <c r="WKK409" s="172"/>
      <c r="WKL409" s="172"/>
      <c r="WKM409" s="172"/>
      <c r="WKN409" s="172"/>
      <c r="WKO409" s="172"/>
      <c r="WKP409" s="172"/>
      <c r="WKQ409" s="172"/>
      <c r="WKR409" s="172"/>
      <c r="WKS409" s="172"/>
      <c r="WKT409" s="172"/>
      <c r="WKU409" s="172"/>
      <c r="WKV409" s="172"/>
      <c r="WKW409" s="172"/>
      <c r="WKX409" s="172"/>
      <c r="WKY409" s="172"/>
      <c r="WKZ409" s="172"/>
      <c r="WLA409" s="172"/>
      <c r="WLB409" s="172"/>
      <c r="WLC409" s="172"/>
      <c r="WLD409" s="172"/>
      <c r="WLE409" s="172"/>
      <c r="WLF409" s="172"/>
      <c r="WLG409" s="172"/>
      <c r="WLH409" s="172"/>
      <c r="WLI409" s="172"/>
      <c r="WLJ409" s="172"/>
      <c r="WLK409" s="172"/>
      <c r="WLL409" s="172"/>
      <c r="WLM409" s="172"/>
      <c r="WLN409" s="172"/>
      <c r="WLO409" s="172"/>
      <c r="WLP409" s="172"/>
      <c r="WLQ409" s="172"/>
      <c r="WLR409" s="172"/>
      <c r="WLS409" s="172"/>
      <c r="WLT409" s="172"/>
      <c r="WLU409" s="172"/>
      <c r="WLV409" s="172"/>
      <c r="WLW409" s="172"/>
      <c r="WLX409" s="172"/>
      <c r="WLY409" s="172"/>
      <c r="WLZ409" s="172"/>
      <c r="WMA409" s="172"/>
      <c r="WMB409" s="172"/>
      <c r="WMC409" s="172"/>
      <c r="WMD409" s="172"/>
      <c r="WME409" s="172"/>
      <c r="WMF409" s="172"/>
      <c r="WMG409" s="172"/>
      <c r="WMH409" s="172"/>
      <c r="WMI409" s="172"/>
      <c r="WMJ409" s="172"/>
      <c r="WMK409" s="172"/>
      <c r="WML409" s="172"/>
      <c r="WMM409" s="172"/>
      <c r="WMN409" s="172"/>
      <c r="WMO409" s="172"/>
      <c r="WMP409" s="172"/>
      <c r="WMQ409" s="172"/>
      <c r="WMR409" s="172"/>
      <c r="WMS409" s="172"/>
      <c r="WMT409" s="172"/>
      <c r="WMU409" s="172"/>
      <c r="WMV409" s="172"/>
      <c r="WMW409" s="172"/>
      <c r="WMX409" s="172"/>
      <c r="WMY409" s="172"/>
      <c r="WMZ409" s="172"/>
      <c r="WNA409" s="172"/>
      <c r="WNB409" s="172"/>
      <c r="WNC409" s="172"/>
      <c r="WND409" s="172"/>
      <c r="WNE409" s="172"/>
      <c r="WNF409" s="172"/>
      <c r="WNG409" s="172"/>
      <c r="WNH409" s="172"/>
      <c r="WNI409" s="172"/>
      <c r="WNJ409" s="172"/>
      <c r="WNK409" s="172"/>
      <c r="WNL409" s="172"/>
      <c r="WNM409" s="172"/>
      <c r="WNN409" s="172"/>
      <c r="WNO409" s="172"/>
      <c r="WNP409" s="172"/>
      <c r="WNQ409" s="172"/>
      <c r="WNR409" s="172"/>
      <c r="WNS409" s="172"/>
      <c r="WNT409" s="172"/>
      <c r="WNU409" s="172"/>
      <c r="WNV409" s="172"/>
      <c r="WNW409" s="172"/>
      <c r="WNX409" s="172"/>
      <c r="WNY409" s="172"/>
      <c r="WNZ409" s="172"/>
      <c r="WOA409" s="172"/>
      <c r="WOB409" s="172"/>
      <c r="WOC409" s="172"/>
      <c r="WOD409" s="172"/>
      <c r="WOE409" s="172"/>
      <c r="WOF409" s="172"/>
      <c r="WOG409" s="172"/>
      <c r="WOH409" s="172"/>
      <c r="WOI409" s="172"/>
      <c r="WOJ409" s="172"/>
      <c r="WOK409" s="172"/>
      <c r="WOL409" s="172"/>
      <c r="WOM409" s="172"/>
      <c r="WON409" s="172"/>
      <c r="WOO409" s="172"/>
      <c r="WOP409" s="172"/>
      <c r="WOQ409" s="172"/>
      <c r="WOR409" s="172"/>
      <c r="WOS409" s="172"/>
      <c r="WOT409" s="172"/>
      <c r="WOU409" s="172"/>
      <c r="WOV409" s="172"/>
      <c r="WOW409" s="172"/>
      <c r="WOX409" s="172"/>
      <c r="WOY409" s="172"/>
      <c r="WOZ409" s="172"/>
      <c r="WPA409" s="172"/>
      <c r="WPB409" s="172"/>
      <c r="WPC409" s="172"/>
      <c r="WPD409" s="172"/>
      <c r="WPE409" s="172"/>
      <c r="WPF409" s="172"/>
      <c r="WPG409" s="172"/>
      <c r="WPH409" s="172"/>
      <c r="WPI409" s="172"/>
      <c r="WPJ409" s="172"/>
      <c r="WPK409" s="172"/>
      <c r="WPL409" s="172"/>
      <c r="WPM409" s="172"/>
      <c r="WPN409" s="172"/>
      <c r="WPO409" s="172"/>
      <c r="WPP409" s="172"/>
      <c r="WPQ409" s="172"/>
      <c r="WPR409" s="172"/>
      <c r="WPS409" s="172"/>
      <c r="WPT409" s="172"/>
      <c r="WPU409" s="172"/>
      <c r="WPV409" s="172"/>
      <c r="WPW409" s="172"/>
      <c r="WPX409" s="172"/>
      <c r="WPY409" s="172"/>
      <c r="WPZ409" s="172"/>
      <c r="WQA409" s="172"/>
      <c r="WQB409" s="172"/>
      <c r="WQC409" s="172"/>
      <c r="WQD409" s="172"/>
      <c r="WQE409" s="172"/>
      <c r="WQF409" s="172"/>
      <c r="WQG409" s="172"/>
      <c r="WQH409" s="172"/>
      <c r="WQI409" s="172"/>
      <c r="WQJ409" s="172"/>
      <c r="WQK409" s="172"/>
      <c r="WQL409" s="172"/>
      <c r="WQM409" s="172"/>
      <c r="WQN409" s="172"/>
      <c r="WQO409" s="172"/>
      <c r="WQP409" s="172"/>
      <c r="WQQ409" s="172"/>
      <c r="WQR409" s="172"/>
      <c r="WQS409" s="172"/>
      <c r="WQT409" s="172"/>
      <c r="WQU409" s="172"/>
      <c r="WQV409" s="172"/>
      <c r="WQW409" s="172"/>
      <c r="WQX409" s="172"/>
      <c r="WQY409" s="172"/>
      <c r="WQZ409" s="172"/>
      <c r="WRA409" s="172"/>
      <c r="WRB409" s="172"/>
      <c r="WRC409" s="172"/>
      <c r="WRD409" s="172"/>
      <c r="WRE409" s="172"/>
      <c r="WRF409" s="172"/>
      <c r="WRG409" s="172"/>
      <c r="WRH409" s="172"/>
      <c r="WRI409" s="172"/>
      <c r="WRJ409" s="172"/>
      <c r="WRK409" s="172"/>
      <c r="WRL409" s="172"/>
      <c r="WRM409" s="172"/>
      <c r="WRN409" s="172"/>
      <c r="WRO409" s="172"/>
      <c r="WRP409" s="172"/>
      <c r="WRQ409" s="172"/>
      <c r="WRR409" s="172"/>
      <c r="WRS409" s="172"/>
      <c r="WRT409" s="172"/>
      <c r="WRU409" s="172"/>
      <c r="WRV409" s="172"/>
      <c r="WRW409" s="172"/>
      <c r="WRX409" s="172"/>
      <c r="WRY409" s="172"/>
      <c r="WRZ409" s="172"/>
      <c r="WSA409" s="172"/>
      <c r="WSB409" s="172"/>
      <c r="WSC409" s="172"/>
      <c r="WSD409" s="172"/>
      <c r="WSE409" s="172"/>
      <c r="WSF409" s="172"/>
      <c r="WSG409" s="172"/>
      <c r="WSH409" s="172"/>
      <c r="WSI409" s="172"/>
      <c r="WSJ409" s="172"/>
      <c r="WSK409" s="172"/>
      <c r="WSL409" s="172"/>
      <c r="WSM409" s="172"/>
      <c r="WSN409" s="172"/>
      <c r="WSO409" s="172"/>
      <c r="WSP409" s="172"/>
      <c r="WSQ409" s="172"/>
      <c r="WSR409" s="172"/>
      <c r="WSS409" s="172"/>
      <c r="WST409" s="172"/>
      <c r="WSU409" s="172"/>
      <c r="WSV409" s="172"/>
      <c r="WSW409" s="172"/>
      <c r="WSX409" s="172"/>
      <c r="WSY409" s="172"/>
      <c r="WSZ409" s="172"/>
      <c r="WTA409" s="172"/>
      <c r="WTB409" s="172"/>
      <c r="WTC409" s="172"/>
      <c r="WTD409" s="172"/>
      <c r="WTE409" s="172"/>
      <c r="WTF409" s="172"/>
      <c r="WTG409" s="172"/>
      <c r="WTH409" s="172"/>
      <c r="WTI409" s="172"/>
      <c r="WTJ409" s="172"/>
      <c r="WTK409" s="172"/>
      <c r="WTL409" s="172"/>
      <c r="WTM409" s="172"/>
      <c r="WTN409" s="172"/>
      <c r="WTO409" s="172"/>
      <c r="WTP409" s="172"/>
      <c r="WTQ409" s="172"/>
      <c r="WTR409" s="172"/>
      <c r="WTS409" s="172"/>
      <c r="WTT409" s="172"/>
      <c r="WTU409" s="172"/>
      <c r="WTV409" s="172"/>
      <c r="WTW409" s="172"/>
      <c r="WTX409" s="172"/>
      <c r="WTY409" s="172"/>
      <c r="WTZ409" s="172"/>
      <c r="WUA409" s="172"/>
      <c r="WUB409" s="172"/>
      <c r="WUC409" s="172"/>
      <c r="WUD409" s="172"/>
      <c r="WUE409" s="172"/>
      <c r="WUF409" s="172"/>
      <c r="WUG409" s="172"/>
      <c r="WUH409" s="172"/>
      <c r="WUI409" s="172"/>
      <c r="WUJ409" s="172"/>
      <c r="WUK409" s="172"/>
      <c r="WUL409" s="172"/>
      <c r="WUM409" s="172"/>
      <c r="WUN409" s="172"/>
      <c r="WUO409" s="172"/>
      <c r="WUP409" s="172"/>
      <c r="WUQ409" s="172"/>
      <c r="WUR409" s="172"/>
      <c r="WUS409" s="172"/>
      <c r="WUT409" s="172"/>
      <c r="WUU409" s="172"/>
      <c r="WUV409" s="172"/>
      <c r="WUW409" s="172"/>
      <c r="WUX409" s="172"/>
      <c r="WUY409" s="172"/>
      <c r="WUZ409" s="172"/>
      <c r="WVA409" s="172"/>
      <c r="WVB409" s="172"/>
      <c r="WVC409" s="172"/>
      <c r="WVD409" s="172"/>
      <c r="WVE409" s="172"/>
      <c r="WVF409" s="172"/>
      <c r="WVG409" s="172"/>
      <c r="WVH409" s="172"/>
      <c r="WVI409" s="172"/>
      <c r="WVJ409" s="172"/>
      <c r="WVK409" s="172"/>
      <c r="WVL409" s="172"/>
      <c r="WVM409" s="172"/>
      <c r="WVN409" s="172"/>
      <c r="WVO409" s="172"/>
      <c r="WVP409" s="172"/>
      <c r="WVQ409" s="172"/>
      <c r="WVR409" s="172"/>
      <c r="WVS409" s="172"/>
      <c r="WVT409" s="172"/>
      <c r="WVU409" s="172"/>
      <c r="WVV409" s="172"/>
      <c r="WVW409" s="172"/>
      <c r="WVX409" s="172"/>
      <c r="WVY409" s="172"/>
      <c r="WVZ409" s="172"/>
      <c r="WWA409" s="172"/>
      <c r="WWB409" s="172"/>
      <c r="WWC409" s="172"/>
      <c r="WWD409" s="172"/>
      <c r="WWE409" s="172"/>
      <c r="WWF409" s="172"/>
      <c r="WWG409" s="172"/>
      <c r="WWH409" s="172"/>
      <c r="WWI409" s="172"/>
      <c r="WWJ409" s="172"/>
      <c r="WWK409" s="172"/>
      <c r="WWL409" s="172"/>
      <c r="WWM409" s="172"/>
      <c r="WWN409" s="172"/>
      <c r="WWO409" s="172"/>
      <c r="WWP409" s="172"/>
      <c r="WWQ409" s="172"/>
      <c r="WWR409" s="172"/>
      <c r="WWS409" s="172"/>
      <c r="WWT409" s="172"/>
      <c r="WWU409" s="172"/>
      <c r="WWV409" s="172"/>
      <c r="WWW409" s="172"/>
      <c r="WWX409" s="172"/>
      <c r="WWY409" s="172"/>
      <c r="WWZ409" s="172"/>
      <c r="WXA409" s="172"/>
      <c r="WXB409" s="172"/>
      <c r="WXC409" s="172"/>
      <c r="WXD409" s="172"/>
      <c r="WXE409" s="172"/>
      <c r="WXF409" s="172"/>
      <c r="WXG409" s="172"/>
      <c r="WXH409" s="172"/>
      <c r="WXI409" s="172"/>
      <c r="WXJ409" s="172"/>
      <c r="WXK409" s="172"/>
      <c r="WXL409" s="172"/>
      <c r="WXM409" s="172"/>
      <c r="WXN409" s="172"/>
      <c r="WXO409" s="172"/>
      <c r="WXP409" s="172"/>
      <c r="WXQ409" s="172"/>
      <c r="WXR409" s="172"/>
      <c r="WXS409" s="172"/>
      <c r="WXT409" s="172"/>
      <c r="WXU409" s="172"/>
      <c r="WXV409" s="172"/>
      <c r="WXW409" s="172"/>
      <c r="WXX409" s="172"/>
      <c r="WXY409" s="172"/>
      <c r="WXZ409" s="172"/>
      <c r="WYA409" s="172"/>
      <c r="WYB409" s="172"/>
      <c r="WYC409" s="172"/>
      <c r="WYD409" s="172"/>
      <c r="WYE409" s="172"/>
      <c r="WYF409" s="172"/>
      <c r="WYG409" s="172"/>
      <c r="WYH409" s="172"/>
      <c r="WYI409" s="172"/>
      <c r="WYJ409" s="172"/>
      <c r="WYK409" s="172"/>
      <c r="WYL409" s="172"/>
      <c r="WYM409" s="172"/>
      <c r="WYN409" s="172"/>
      <c r="WYO409" s="172"/>
      <c r="WYP409" s="172"/>
      <c r="WYQ409" s="172"/>
      <c r="WYR409" s="172"/>
      <c r="WYS409" s="172"/>
      <c r="WYT409" s="172"/>
      <c r="WYU409" s="172"/>
      <c r="WYV409" s="172"/>
      <c r="WYW409" s="172"/>
      <c r="WYX409" s="172"/>
      <c r="WYY409" s="172"/>
      <c r="WYZ409" s="172"/>
      <c r="WZA409" s="172"/>
      <c r="WZB409" s="172"/>
      <c r="WZC409" s="172"/>
      <c r="WZD409" s="172"/>
      <c r="WZE409" s="172"/>
      <c r="WZF409" s="172"/>
      <c r="WZG409" s="172"/>
      <c r="WZH409" s="172"/>
      <c r="WZI409" s="172"/>
      <c r="WZJ409" s="172"/>
      <c r="WZK409" s="172"/>
      <c r="WZL409" s="172"/>
      <c r="WZM409" s="172"/>
      <c r="WZN409" s="172"/>
      <c r="WZO409" s="172"/>
      <c r="WZP409" s="172"/>
      <c r="WZQ409" s="172"/>
      <c r="WZR409" s="172"/>
      <c r="WZS409" s="172"/>
      <c r="WZT409" s="172"/>
      <c r="WZU409" s="172"/>
      <c r="WZV409" s="172"/>
      <c r="WZW409" s="172"/>
      <c r="WZX409" s="172"/>
      <c r="WZY409" s="172"/>
      <c r="WZZ409" s="172"/>
      <c r="XAA409" s="172"/>
      <c r="XAB409" s="172"/>
      <c r="XAC409" s="172"/>
      <c r="XAD409" s="172"/>
      <c r="XAE409" s="172"/>
      <c r="XAF409" s="172"/>
      <c r="XAG409" s="172"/>
      <c r="XAH409" s="172"/>
      <c r="XAI409" s="172"/>
      <c r="XAJ409" s="172"/>
      <c r="XAK409" s="172"/>
      <c r="XAL409" s="172"/>
      <c r="XAM409" s="172"/>
      <c r="XAN409" s="172"/>
      <c r="XAO409" s="172"/>
      <c r="XAP409" s="172"/>
      <c r="XAQ409" s="172"/>
      <c r="XAR409" s="172"/>
      <c r="XAS409" s="172"/>
      <c r="XAT409" s="172"/>
      <c r="XAU409" s="172"/>
      <c r="XAV409" s="172"/>
      <c r="XAW409" s="172"/>
      <c r="XAX409" s="172"/>
      <c r="XAY409" s="172"/>
      <c r="XAZ409" s="172"/>
      <c r="XBA409" s="172"/>
      <c r="XBB409" s="172"/>
      <c r="XBC409" s="172"/>
      <c r="XBD409" s="172"/>
      <c r="XBE409" s="172"/>
      <c r="XBF409" s="172"/>
      <c r="XBG409" s="172"/>
      <c r="XBH409" s="172"/>
      <c r="XBI409" s="172"/>
      <c r="XBJ409" s="172"/>
      <c r="XBK409" s="172"/>
      <c r="XBL409" s="172"/>
      <c r="XBM409" s="172"/>
      <c r="XBN409" s="172"/>
      <c r="XBO409" s="172"/>
      <c r="XBP409" s="172"/>
      <c r="XBQ409" s="172"/>
      <c r="XBR409" s="172"/>
      <c r="XBS409" s="172"/>
      <c r="XBT409" s="172"/>
      <c r="XBU409" s="172"/>
      <c r="XBV409" s="172"/>
      <c r="XBW409" s="172"/>
      <c r="XBX409" s="172"/>
      <c r="XBY409" s="172"/>
      <c r="XBZ409" s="172"/>
      <c r="XCA409" s="172"/>
      <c r="XCB409" s="172"/>
      <c r="XCC409" s="172"/>
      <c r="XCD409" s="172"/>
      <c r="XCE409" s="172"/>
      <c r="XCF409" s="172"/>
      <c r="XCG409" s="172"/>
      <c r="XCH409" s="172"/>
      <c r="XCI409" s="172"/>
      <c r="XCJ409" s="172"/>
      <c r="XCK409" s="172"/>
      <c r="XCL409" s="172"/>
      <c r="XCM409" s="172"/>
      <c r="XCN409" s="172"/>
      <c r="XCO409" s="172"/>
      <c r="XCP409" s="172"/>
      <c r="XCQ409" s="172"/>
      <c r="XCR409" s="172"/>
      <c r="XCS409" s="172"/>
      <c r="XCT409" s="172"/>
      <c r="XCU409" s="172"/>
      <c r="XCV409" s="172"/>
      <c r="XCW409" s="172"/>
      <c r="XCX409" s="172"/>
      <c r="XCY409" s="172"/>
      <c r="XCZ409" s="172"/>
      <c r="XDA409" s="172"/>
      <c r="XDB409" s="172"/>
      <c r="XDC409" s="172"/>
      <c r="XDD409" s="172"/>
      <c r="XDE409" s="172"/>
      <c r="XDF409" s="172"/>
      <c r="XDG409" s="172"/>
      <c r="XDH409" s="172"/>
      <c r="XDI409" s="172"/>
      <c r="XDJ409" s="172"/>
      <c r="XDK409" s="172"/>
      <c r="XDL409" s="172"/>
      <c r="XDM409" s="172"/>
      <c r="XDN409" s="172"/>
      <c r="XDO409" s="172"/>
      <c r="XDP409" s="172"/>
      <c r="XDQ409" s="172"/>
      <c r="XDR409" s="172"/>
      <c r="XDS409" s="172"/>
      <c r="XDT409" s="172"/>
      <c r="XDU409" s="172"/>
      <c r="XDV409" s="172"/>
      <c r="XDW409" s="172"/>
      <c r="XDX409" s="172"/>
      <c r="XDY409" s="172"/>
      <c r="XDZ409" s="172"/>
      <c r="XEA409" s="172"/>
      <c r="XEB409" s="172"/>
      <c r="XEC409" s="172"/>
      <c r="XED409" s="172"/>
      <c r="XEE409" s="172"/>
      <c r="XEF409" s="172"/>
      <c r="XEG409" s="172"/>
      <c r="XEH409" s="172"/>
      <c r="XEI409" s="172"/>
      <c r="XEJ409" s="172"/>
      <c r="XEK409" s="172"/>
      <c r="XEL409" s="172"/>
      <c r="XEM409" s="172"/>
      <c r="XEN409" s="172"/>
      <c r="XEO409" s="172"/>
      <c r="XEP409" s="172"/>
      <c r="XEQ409" s="172"/>
      <c r="XER409" s="172"/>
      <c r="XES409" s="172"/>
      <c r="XET409" s="172"/>
      <c r="XEU409" s="172"/>
      <c r="XEV409" s="172"/>
      <c r="XEW409" s="172"/>
      <c r="XEX409" s="172"/>
    </row>
    <row r="410" spans="1:16378" s="166" customFormat="1">
      <c r="A410" s="171" t="s">
        <v>677</v>
      </c>
      <c r="B410" s="172"/>
      <c r="C410" s="172"/>
      <c r="D410" s="171" t="s">
        <v>403</v>
      </c>
      <c r="E410" s="173" t="s">
        <v>679</v>
      </c>
      <c r="F410" s="173">
        <v>2048000</v>
      </c>
      <c r="G410" s="173">
        <v>1536000</v>
      </c>
      <c r="H410" s="173">
        <v>566272</v>
      </c>
      <c r="I410" s="174">
        <v>0.74</v>
      </c>
      <c r="J410" s="172"/>
      <c r="K410" s="172"/>
      <c r="L410" s="172"/>
      <c r="M410" s="172" t="s">
        <v>662</v>
      </c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  <c r="AN410" s="172"/>
      <c r="AO410" s="172"/>
      <c r="AP410" s="172"/>
      <c r="AQ410" s="172"/>
      <c r="AR410" s="172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2"/>
      <c r="BZ410" s="172"/>
      <c r="CA410" s="172"/>
      <c r="CB410" s="172"/>
      <c r="CC410" s="172"/>
      <c r="CD410" s="172"/>
      <c r="CE410" s="172"/>
      <c r="CF410" s="172"/>
      <c r="CG410" s="172"/>
      <c r="CH410" s="172"/>
      <c r="CI410" s="172"/>
      <c r="CJ410" s="172"/>
      <c r="CK410" s="172"/>
      <c r="CL410" s="172"/>
      <c r="CM410" s="172"/>
      <c r="CN410" s="172"/>
      <c r="CO410" s="172"/>
      <c r="CP410" s="172"/>
      <c r="CQ410" s="172"/>
      <c r="CR410" s="172"/>
      <c r="CS410" s="172"/>
      <c r="CT410" s="172"/>
      <c r="CU410" s="172"/>
      <c r="CV410" s="172"/>
      <c r="CW410" s="172"/>
      <c r="CX410" s="172"/>
      <c r="CY410" s="172"/>
      <c r="CZ410" s="172"/>
      <c r="DA410" s="172"/>
      <c r="DB410" s="172"/>
      <c r="DC410" s="172"/>
      <c r="DD410" s="172"/>
      <c r="DE410" s="172"/>
      <c r="DF410" s="172"/>
      <c r="DG410" s="172"/>
      <c r="DH410" s="172"/>
      <c r="DI410" s="172"/>
      <c r="DJ410" s="172"/>
      <c r="DK410" s="172"/>
      <c r="DL410" s="172"/>
      <c r="DM410" s="172"/>
      <c r="DN410" s="172"/>
      <c r="DO410" s="172"/>
      <c r="DP410" s="172"/>
      <c r="DQ410" s="172"/>
      <c r="DR410" s="172"/>
      <c r="DS410" s="172"/>
      <c r="DT410" s="172"/>
      <c r="DU410" s="172"/>
      <c r="DV410" s="172"/>
      <c r="DW410" s="172"/>
      <c r="DX410" s="172"/>
      <c r="DY410" s="172"/>
      <c r="DZ410" s="172"/>
      <c r="EA410" s="172"/>
      <c r="EB410" s="172"/>
      <c r="EC410" s="172"/>
      <c r="ED410" s="172"/>
      <c r="EE410" s="172"/>
      <c r="EF410" s="172"/>
      <c r="EG410" s="172"/>
      <c r="EH410" s="172"/>
      <c r="EI410" s="172"/>
      <c r="EJ410" s="172"/>
      <c r="EK410" s="172"/>
      <c r="EL410" s="172"/>
      <c r="EM410" s="172"/>
      <c r="EN410" s="172"/>
      <c r="EO410" s="172"/>
      <c r="EP410" s="172"/>
      <c r="EQ410" s="172"/>
      <c r="ER410" s="172"/>
      <c r="ES410" s="172"/>
      <c r="ET410" s="172"/>
      <c r="EU410" s="172"/>
      <c r="EV410" s="172"/>
      <c r="EW410" s="172"/>
      <c r="EX410" s="172"/>
      <c r="EY410" s="172"/>
      <c r="EZ410" s="172"/>
      <c r="FA410" s="172"/>
      <c r="FB410" s="172"/>
      <c r="FC410" s="172"/>
      <c r="FD410" s="172"/>
      <c r="FE410" s="172"/>
      <c r="FF410" s="172"/>
      <c r="FG410" s="172"/>
      <c r="FH410" s="172"/>
      <c r="FI410" s="172"/>
      <c r="FJ410" s="172"/>
      <c r="FK410" s="172"/>
      <c r="FL410" s="172"/>
      <c r="FM410" s="172"/>
      <c r="FN410" s="172"/>
      <c r="FO410" s="172"/>
      <c r="FP410" s="172"/>
      <c r="FQ410" s="172"/>
      <c r="FR410" s="172"/>
      <c r="FS410" s="172"/>
      <c r="FT410" s="172"/>
      <c r="FU410" s="172"/>
      <c r="FV410" s="172"/>
      <c r="FW410" s="172"/>
      <c r="FX410" s="172"/>
      <c r="FY410" s="172"/>
      <c r="FZ410" s="172"/>
      <c r="GA410" s="172"/>
      <c r="GB410" s="172"/>
      <c r="GC410" s="172"/>
      <c r="GD410" s="172"/>
      <c r="GE410" s="172"/>
      <c r="GF410" s="172"/>
      <c r="GG410" s="172"/>
      <c r="GH410" s="172"/>
      <c r="GI410" s="172"/>
      <c r="GJ410" s="172"/>
      <c r="GK410" s="172"/>
      <c r="GL410" s="172"/>
      <c r="GM410" s="172"/>
      <c r="GN410" s="172"/>
      <c r="GO410" s="172"/>
      <c r="GP410" s="172"/>
      <c r="GQ410" s="172"/>
      <c r="GR410" s="172"/>
      <c r="GS410" s="172"/>
      <c r="GT410" s="172"/>
      <c r="GU410" s="172"/>
      <c r="GV410" s="172"/>
      <c r="GW410" s="172"/>
      <c r="GX410" s="172"/>
      <c r="GY410" s="172"/>
      <c r="GZ410" s="172"/>
      <c r="HA410" s="172"/>
      <c r="HB410" s="172"/>
      <c r="HC410" s="172"/>
      <c r="HD410" s="172"/>
      <c r="HE410" s="172"/>
      <c r="HF410" s="172"/>
      <c r="HG410" s="172"/>
      <c r="HH410" s="172"/>
      <c r="HI410" s="172"/>
      <c r="HJ410" s="172"/>
      <c r="HK410" s="172"/>
      <c r="HL410" s="172"/>
      <c r="HM410" s="172"/>
      <c r="HN410" s="172"/>
      <c r="HO410" s="172"/>
      <c r="HP410" s="172"/>
      <c r="HQ410" s="172"/>
      <c r="HR410" s="172"/>
      <c r="HS410" s="172"/>
      <c r="HT410" s="172"/>
      <c r="HU410" s="172"/>
      <c r="HV410" s="172"/>
      <c r="HW410" s="172"/>
      <c r="HX410" s="172"/>
      <c r="HY410" s="172"/>
      <c r="HZ410" s="172"/>
      <c r="IA410" s="172"/>
      <c r="IB410" s="172"/>
      <c r="IC410" s="172"/>
      <c r="ID410" s="172"/>
      <c r="IE410" s="172"/>
      <c r="IF410" s="172"/>
      <c r="IG410" s="172"/>
      <c r="IH410" s="172"/>
      <c r="II410" s="172"/>
      <c r="IJ410" s="172"/>
      <c r="IK410" s="172"/>
      <c r="IL410" s="172"/>
      <c r="IM410" s="172"/>
      <c r="IN410" s="172"/>
      <c r="IO410" s="172"/>
      <c r="IP410" s="172"/>
      <c r="IQ410" s="172"/>
      <c r="IR410" s="172"/>
      <c r="IS410" s="172"/>
      <c r="IT410" s="172"/>
      <c r="IU410" s="172"/>
      <c r="IV410" s="172"/>
      <c r="IW410" s="172"/>
      <c r="IX410" s="172"/>
      <c r="IY410" s="172"/>
      <c r="IZ410" s="172"/>
      <c r="JA410" s="172"/>
      <c r="JB410" s="172"/>
      <c r="JC410" s="172"/>
      <c r="JD410" s="172"/>
      <c r="JE410" s="172"/>
      <c r="JF410" s="172"/>
      <c r="JG410" s="172"/>
      <c r="JH410" s="172"/>
      <c r="JI410" s="172"/>
      <c r="JJ410" s="172"/>
      <c r="JK410" s="172"/>
      <c r="JL410" s="172"/>
      <c r="JM410" s="172"/>
      <c r="JN410" s="172"/>
      <c r="JO410" s="172"/>
      <c r="JP410" s="172"/>
      <c r="JQ410" s="172"/>
      <c r="JR410" s="172"/>
      <c r="JS410" s="172"/>
      <c r="JT410" s="172"/>
      <c r="JU410" s="172"/>
      <c r="JV410" s="172"/>
      <c r="JW410" s="172"/>
      <c r="JX410" s="172"/>
      <c r="JY410" s="172"/>
      <c r="JZ410" s="172"/>
      <c r="KA410" s="172"/>
      <c r="KB410" s="172"/>
      <c r="KC410" s="172"/>
      <c r="KD410" s="172"/>
      <c r="KE410" s="172"/>
      <c r="KF410" s="172"/>
      <c r="KG410" s="172"/>
      <c r="KH410" s="172"/>
      <c r="KI410" s="172"/>
      <c r="KJ410" s="172"/>
      <c r="KK410" s="172"/>
      <c r="KL410" s="172"/>
      <c r="KM410" s="172"/>
      <c r="KN410" s="172"/>
      <c r="KO410" s="172"/>
      <c r="KP410" s="172"/>
      <c r="KQ410" s="172"/>
      <c r="KR410" s="172"/>
      <c r="KS410" s="172"/>
      <c r="KT410" s="172"/>
      <c r="KU410" s="172"/>
      <c r="KV410" s="172"/>
      <c r="KW410" s="172"/>
      <c r="KX410" s="172"/>
      <c r="KY410" s="172"/>
      <c r="KZ410" s="172"/>
      <c r="LA410" s="172"/>
      <c r="LB410" s="172"/>
      <c r="LC410" s="172"/>
      <c r="LD410" s="172"/>
      <c r="LE410" s="172"/>
      <c r="LF410" s="172"/>
      <c r="LG410" s="172"/>
      <c r="LH410" s="172"/>
      <c r="LI410" s="172"/>
      <c r="LJ410" s="172"/>
      <c r="LK410" s="172"/>
      <c r="LL410" s="172"/>
      <c r="LM410" s="172"/>
      <c r="LN410" s="172"/>
      <c r="LO410" s="172"/>
      <c r="LP410" s="172"/>
      <c r="LQ410" s="172"/>
      <c r="LR410" s="172"/>
      <c r="LS410" s="172"/>
      <c r="LT410" s="172"/>
      <c r="LU410" s="172"/>
      <c r="LV410" s="172"/>
      <c r="LW410" s="172"/>
      <c r="LX410" s="172"/>
      <c r="LY410" s="172"/>
      <c r="LZ410" s="172"/>
      <c r="MA410" s="172"/>
      <c r="MB410" s="172"/>
      <c r="MC410" s="172"/>
      <c r="MD410" s="172"/>
      <c r="ME410" s="172"/>
      <c r="MF410" s="172"/>
      <c r="MG410" s="172"/>
      <c r="MH410" s="172"/>
      <c r="MI410" s="172"/>
      <c r="MJ410" s="172"/>
      <c r="MK410" s="172"/>
      <c r="ML410" s="172"/>
      <c r="MM410" s="172"/>
      <c r="MN410" s="172"/>
      <c r="MO410" s="172"/>
      <c r="MP410" s="172"/>
      <c r="MQ410" s="172"/>
      <c r="MR410" s="172"/>
      <c r="MS410" s="172"/>
      <c r="MT410" s="172"/>
      <c r="MU410" s="172"/>
      <c r="MV410" s="172"/>
      <c r="MW410" s="172"/>
      <c r="MX410" s="172"/>
      <c r="MY410" s="172"/>
      <c r="MZ410" s="172"/>
      <c r="NA410" s="172"/>
      <c r="NB410" s="172"/>
      <c r="NC410" s="172"/>
      <c r="ND410" s="172"/>
      <c r="NE410" s="172"/>
      <c r="NF410" s="172"/>
      <c r="NG410" s="172"/>
      <c r="NH410" s="172"/>
      <c r="NI410" s="172"/>
      <c r="NJ410" s="172"/>
      <c r="NK410" s="172"/>
      <c r="NL410" s="172"/>
      <c r="NM410" s="172"/>
      <c r="NN410" s="172"/>
      <c r="NO410" s="172"/>
      <c r="NP410" s="172"/>
      <c r="NQ410" s="172"/>
      <c r="NR410" s="172"/>
      <c r="NS410" s="172"/>
      <c r="NT410" s="172"/>
      <c r="NU410" s="172"/>
      <c r="NV410" s="172"/>
      <c r="NW410" s="172"/>
      <c r="NX410" s="172"/>
      <c r="NY410" s="172"/>
      <c r="NZ410" s="172"/>
      <c r="OA410" s="172"/>
      <c r="OB410" s="172"/>
      <c r="OC410" s="172"/>
      <c r="OD410" s="172"/>
      <c r="OE410" s="172"/>
      <c r="OF410" s="172"/>
      <c r="OG410" s="172"/>
      <c r="OH410" s="172"/>
      <c r="OI410" s="172"/>
      <c r="OJ410" s="172"/>
      <c r="OK410" s="172"/>
      <c r="OL410" s="172"/>
      <c r="OM410" s="172"/>
      <c r="ON410" s="172"/>
      <c r="OO410" s="172"/>
      <c r="OP410" s="172"/>
      <c r="OQ410" s="172"/>
      <c r="OR410" s="172"/>
      <c r="OS410" s="172"/>
      <c r="OT410" s="172"/>
      <c r="OU410" s="172"/>
      <c r="OV410" s="172"/>
      <c r="OW410" s="172"/>
      <c r="OX410" s="172"/>
      <c r="OY410" s="172"/>
      <c r="OZ410" s="172"/>
      <c r="PA410" s="172"/>
      <c r="PB410" s="172"/>
      <c r="PC410" s="172"/>
      <c r="PD410" s="172"/>
      <c r="PE410" s="172"/>
      <c r="PF410" s="172"/>
      <c r="PG410" s="172"/>
      <c r="PH410" s="172"/>
      <c r="PI410" s="172"/>
      <c r="PJ410" s="172"/>
      <c r="PK410" s="172"/>
      <c r="PL410" s="172"/>
      <c r="PM410" s="172"/>
      <c r="PN410" s="172"/>
      <c r="PO410" s="172"/>
      <c r="PP410" s="172"/>
      <c r="PQ410" s="172"/>
      <c r="PR410" s="172"/>
      <c r="PS410" s="172"/>
      <c r="PT410" s="172"/>
      <c r="PU410" s="172"/>
      <c r="PV410" s="172"/>
      <c r="PW410" s="172"/>
      <c r="PX410" s="172"/>
      <c r="PY410" s="172"/>
      <c r="PZ410" s="172"/>
      <c r="QA410" s="172"/>
      <c r="QB410" s="172"/>
      <c r="QC410" s="172"/>
      <c r="QD410" s="172"/>
      <c r="QE410" s="172"/>
      <c r="QF410" s="172"/>
      <c r="QG410" s="172"/>
      <c r="QH410" s="172"/>
      <c r="QI410" s="172"/>
      <c r="QJ410" s="172"/>
      <c r="QK410" s="172"/>
      <c r="QL410" s="172"/>
      <c r="QM410" s="172"/>
      <c r="QN410" s="172"/>
      <c r="QO410" s="172"/>
      <c r="QP410" s="172"/>
      <c r="QQ410" s="172"/>
      <c r="QR410" s="172"/>
      <c r="QS410" s="172"/>
      <c r="QT410" s="172"/>
      <c r="QU410" s="172"/>
      <c r="QV410" s="172"/>
      <c r="QW410" s="172"/>
      <c r="QX410" s="172"/>
      <c r="QY410" s="172"/>
      <c r="QZ410" s="172"/>
      <c r="RA410" s="172"/>
      <c r="RB410" s="172"/>
      <c r="RC410" s="172"/>
      <c r="RD410" s="172"/>
      <c r="RE410" s="172"/>
      <c r="RF410" s="172"/>
      <c r="RG410" s="172"/>
      <c r="RH410" s="172"/>
      <c r="RI410" s="172"/>
      <c r="RJ410" s="172"/>
      <c r="RK410" s="172"/>
      <c r="RL410" s="172"/>
      <c r="RM410" s="172"/>
      <c r="RN410" s="172"/>
      <c r="RO410" s="172"/>
      <c r="RP410" s="172"/>
      <c r="RQ410" s="172"/>
      <c r="RR410" s="172"/>
      <c r="RS410" s="172"/>
      <c r="RT410" s="172"/>
      <c r="RU410" s="172"/>
      <c r="RV410" s="172"/>
      <c r="RW410" s="172"/>
      <c r="RX410" s="172"/>
      <c r="RY410" s="172"/>
      <c r="RZ410" s="172"/>
      <c r="SA410" s="172"/>
      <c r="SB410" s="172"/>
      <c r="SC410" s="172"/>
      <c r="SD410" s="172"/>
      <c r="SE410" s="172"/>
      <c r="SF410" s="172"/>
      <c r="SG410" s="172"/>
      <c r="SH410" s="172"/>
      <c r="SI410" s="172"/>
      <c r="SJ410" s="172"/>
      <c r="SK410" s="172"/>
      <c r="SL410" s="172"/>
      <c r="SM410" s="172"/>
      <c r="SN410" s="172"/>
      <c r="SO410" s="172"/>
      <c r="SP410" s="172"/>
      <c r="SQ410" s="172"/>
      <c r="SR410" s="172"/>
      <c r="SS410" s="172"/>
      <c r="ST410" s="172"/>
      <c r="SU410" s="172"/>
      <c r="SV410" s="172"/>
      <c r="SW410" s="172"/>
      <c r="SX410" s="172"/>
      <c r="SY410" s="172"/>
      <c r="SZ410" s="172"/>
      <c r="TA410" s="172"/>
      <c r="TB410" s="172"/>
      <c r="TC410" s="172"/>
      <c r="TD410" s="172"/>
      <c r="TE410" s="172"/>
      <c r="TF410" s="172"/>
      <c r="TG410" s="172"/>
      <c r="TH410" s="172"/>
      <c r="TI410" s="172"/>
      <c r="TJ410" s="172"/>
      <c r="TK410" s="172"/>
      <c r="TL410" s="172"/>
      <c r="TM410" s="172"/>
      <c r="TN410" s="172"/>
      <c r="TO410" s="172"/>
      <c r="TP410" s="172"/>
      <c r="TQ410" s="172"/>
      <c r="TR410" s="172"/>
      <c r="TS410" s="172"/>
      <c r="TT410" s="172"/>
      <c r="TU410" s="172"/>
      <c r="TV410" s="172"/>
      <c r="TW410" s="172"/>
      <c r="TX410" s="172"/>
      <c r="TY410" s="172"/>
      <c r="TZ410" s="172"/>
      <c r="UA410" s="172"/>
      <c r="UB410" s="172"/>
      <c r="UC410" s="172"/>
      <c r="UD410" s="172"/>
      <c r="UE410" s="172"/>
      <c r="UF410" s="172"/>
      <c r="UG410" s="172"/>
      <c r="UH410" s="172"/>
      <c r="UI410" s="172"/>
      <c r="UJ410" s="172"/>
      <c r="UK410" s="172"/>
      <c r="UL410" s="172"/>
      <c r="UM410" s="172"/>
      <c r="UN410" s="172"/>
      <c r="UO410" s="172"/>
      <c r="UP410" s="172"/>
      <c r="UQ410" s="172"/>
      <c r="UR410" s="172"/>
      <c r="US410" s="172"/>
      <c r="UT410" s="172"/>
      <c r="UU410" s="172"/>
      <c r="UV410" s="172"/>
      <c r="UW410" s="172"/>
      <c r="UX410" s="172"/>
      <c r="UY410" s="172"/>
      <c r="UZ410" s="172"/>
      <c r="VA410" s="172"/>
      <c r="VB410" s="172"/>
      <c r="VC410" s="172"/>
      <c r="VD410" s="172"/>
      <c r="VE410" s="172"/>
      <c r="VF410" s="172"/>
      <c r="VG410" s="172"/>
      <c r="VH410" s="172"/>
      <c r="VI410" s="172"/>
      <c r="VJ410" s="172"/>
      <c r="VK410" s="172"/>
      <c r="VL410" s="172"/>
      <c r="VM410" s="172"/>
      <c r="VN410" s="172"/>
      <c r="VO410" s="172"/>
      <c r="VP410" s="172"/>
      <c r="VQ410" s="172"/>
      <c r="VR410" s="172"/>
      <c r="VS410" s="172"/>
      <c r="VT410" s="172"/>
      <c r="VU410" s="172"/>
      <c r="VV410" s="172"/>
      <c r="VW410" s="172"/>
      <c r="VX410" s="172"/>
      <c r="VY410" s="172"/>
      <c r="VZ410" s="172"/>
      <c r="WA410" s="172"/>
      <c r="WB410" s="172"/>
      <c r="WC410" s="172"/>
      <c r="WD410" s="172"/>
      <c r="WE410" s="172"/>
      <c r="WF410" s="172"/>
      <c r="WG410" s="172"/>
      <c r="WH410" s="172"/>
      <c r="WI410" s="172"/>
      <c r="WJ410" s="172"/>
      <c r="WK410" s="172"/>
      <c r="WL410" s="172"/>
      <c r="WM410" s="172"/>
      <c r="WN410" s="172"/>
      <c r="WO410" s="172"/>
      <c r="WP410" s="172"/>
      <c r="WQ410" s="172"/>
      <c r="WR410" s="172"/>
      <c r="WS410" s="172"/>
      <c r="WT410" s="172"/>
      <c r="WU410" s="172"/>
      <c r="WV410" s="172"/>
      <c r="WW410" s="172"/>
      <c r="WX410" s="172"/>
      <c r="WY410" s="172"/>
      <c r="WZ410" s="172"/>
      <c r="XA410" s="172"/>
      <c r="XB410" s="172"/>
      <c r="XC410" s="172"/>
      <c r="XD410" s="172"/>
      <c r="XE410" s="172"/>
      <c r="XF410" s="172"/>
      <c r="XG410" s="172"/>
      <c r="XH410" s="172"/>
      <c r="XI410" s="172"/>
      <c r="XJ410" s="172"/>
      <c r="XK410" s="172"/>
      <c r="XL410" s="172"/>
      <c r="XM410" s="172"/>
      <c r="XN410" s="172"/>
      <c r="XO410" s="172"/>
      <c r="XP410" s="172"/>
      <c r="XQ410" s="172"/>
      <c r="XR410" s="172"/>
      <c r="XS410" s="172"/>
      <c r="XT410" s="172"/>
      <c r="XU410" s="172"/>
      <c r="XV410" s="172"/>
      <c r="XW410" s="172"/>
      <c r="XX410" s="172"/>
      <c r="XY410" s="172"/>
      <c r="XZ410" s="172"/>
      <c r="YA410" s="172"/>
      <c r="YB410" s="172"/>
      <c r="YC410" s="172"/>
      <c r="YD410" s="172"/>
      <c r="YE410" s="172"/>
      <c r="YF410" s="172"/>
      <c r="YG410" s="172"/>
      <c r="YH410" s="172"/>
      <c r="YI410" s="172"/>
      <c r="YJ410" s="172"/>
      <c r="YK410" s="172"/>
      <c r="YL410" s="172"/>
      <c r="YM410" s="172"/>
      <c r="YN410" s="172"/>
      <c r="YO410" s="172"/>
      <c r="YP410" s="172"/>
      <c r="YQ410" s="172"/>
      <c r="YR410" s="172"/>
      <c r="YS410" s="172"/>
      <c r="YT410" s="172"/>
      <c r="YU410" s="172"/>
      <c r="YV410" s="172"/>
      <c r="YW410" s="172"/>
      <c r="YX410" s="172"/>
      <c r="YY410" s="172"/>
      <c r="YZ410" s="172"/>
      <c r="ZA410" s="172"/>
      <c r="ZB410" s="172"/>
      <c r="ZC410" s="172"/>
      <c r="ZD410" s="172"/>
      <c r="ZE410" s="172"/>
      <c r="ZF410" s="172"/>
      <c r="ZG410" s="172"/>
      <c r="ZH410" s="172"/>
      <c r="ZI410" s="172"/>
      <c r="ZJ410" s="172"/>
      <c r="ZK410" s="172"/>
      <c r="ZL410" s="172"/>
      <c r="ZM410" s="172"/>
      <c r="ZN410" s="172"/>
      <c r="ZO410" s="172"/>
      <c r="ZP410" s="172"/>
      <c r="ZQ410" s="172"/>
      <c r="ZR410" s="172"/>
      <c r="ZS410" s="172"/>
      <c r="ZT410" s="172"/>
      <c r="ZU410" s="172"/>
      <c r="ZV410" s="172"/>
      <c r="ZW410" s="172"/>
      <c r="ZX410" s="172"/>
      <c r="ZY410" s="172"/>
      <c r="ZZ410" s="172"/>
      <c r="AAA410" s="172"/>
      <c r="AAB410" s="172"/>
      <c r="AAC410" s="172"/>
      <c r="AAD410" s="172"/>
      <c r="AAE410" s="172"/>
      <c r="AAF410" s="172"/>
      <c r="AAG410" s="172"/>
      <c r="AAH410" s="172"/>
      <c r="AAI410" s="172"/>
      <c r="AAJ410" s="172"/>
      <c r="AAK410" s="172"/>
      <c r="AAL410" s="172"/>
      <c r="AAM410" s="172"/>
      <c r="AAN410" s="172"/>
      <c r="AAO410" s="172"/>
      <c r="AAP410" s="172"/>
      <c r="AAQ410" s="172"/>
      <c r="AAR410" s="172"/>
      <c r="AAS410" s="172"/>
      <c r="AAT410" s="172"/>
      <c r="AAU410" s="172"/>
      <c r="AAV410" s="172"/>
      <c r="AAW410" s="172"/>
      <c r="AAX410" s="172"/>
      <c r="AAY410" s="172"/>
      <c r="AAZ410" s="172"/>
      <c r="ABA410" s="172"/>
      <c r="ABB410" s="172"/>
      <c r="ABC410" s="172"/>
      <c r="ABD410" s="172"/>
      <c r="ABE410" s="172"/>
      <c r="ABF410" s="172"/>
      <c r="ABG410" s="172"/>
      <c r="ABH410" s="172"/>
      <c r="ABI410" s="172"/>
      <c r="ABJ410" s="172"/>
      <c r="ABK410" s="172"/>
      <c r="ABL410" s="172"/>
      <c r="ABM410" s="172"/>
      <c r="ABN410" s="172"/>
      <c r="ABO410" s="172"/>
      <c r="ABP410" s="172"/>
      <c r="ABQ410" s="172"/>
      <c r="ABR410" s="172"/>
      <c r="ABS410" s="172"/>
      <c r="ABT410" s="172"/>
      <c r="ABU410" s="172"/>
      <c r="ABV410" s="172"/>
      <c r="ABW410" s="172"/>
      <c r="ABX410" s="172"/>
      <c r="ABY410" s="172"/>
      <c r="ABZ410" s="172"/>
      <c r="ACA410" s="172"/>
      <c r="ACB410" s="172"/>
      <c r="ACC410" s="172"/>
      <c r="ACD410" s="172"/>
      <c r="ACE410" s="172"/>
      <c r="ACF410" s="172"/>
      <c r="ACG410" s="172"/>
      <c r="ACH410" s="172"/>
      <c r="ACI410" s="172"/>
      <c r="ACJ410" s="172"/>
      <c r="ACK410" s="172"/>
      <c r="ACL410" s="172"/>
      <c r="ACM410" s="172"/>
      <c r="ACN410" s="172"/>
      <c r="ACO410" s="172"/>
      <c r="ACP410" s="172"/>
      <c r="ACQ410" s="172"/>
      <c r="ACR410" s="172"/>
      <c r="ACS410" s="172"/>
      <c r="ACT410" s="172"/>
      <c r="ACU410" s="172"/>
      <c r="ACV410" s="172"/>
      <c r="ACW410" s="172"/>
      <c r="ACX410" s="172"/>
      <c r="ACY410" s="172"/>
      <c r="ACZ410" s="172"/>
      <c r="ADA410" s="172"/>
      <c r="ADB410" s="172"/>
      <c r="ADC410" s="172"/>
      <c r="ADD410" s="172"/>
      <c r="ADE410" s="172"/>
      <c r="ADF410" s="172"/>
      <c r="ADG410" s="172"/>
      <c r="ADH410" s="172"/>
      <c r="ADI410" s="172"/>
      <c r="ADJ410" s="172"/>
      <c r="ADK410" s="172"/>
      <c r="ADL410" s="172"/>
      <c r="ADM410" s="172"/>
      <c r="ADN410" s="172"/>
      <c r="ADO410" s="172"/>
      <c r="ADP410" s="172"/>
      <c r="ADQ410" s="172"/>
      <c r="ADR410" s="172"/>
      <c r="ADS410" s="172"/>
      <c r="ADT410" s="172"/>
      <c r="ADU410" s="172"/>
      <c r="ADV410" s="172"/>
      <c r="ADW410" s="172"/>
      <c r="ADX410" s="172"/>
      <c r="ADY410" s="172"/>
      <c r="ADZ410" s="172"/>
      <c r="AEA410" s="172"/>
      <c r="AEB410" s="172"/>
      <c r="AEC410" s="172"/>
      <c r="AED410" s="172"/>
      <c r="AEE410" s="172"/>
      <c r="AEF410" s="172"/>
      <c r="AEG410" s="172"/>
      <c r="AEH410" s="172"/>
      <c r="AEI410" s="172"/>
      <c r="AEJ410" s="172"/>
      <c r="AEK410" s="172"/>
      <c r="AEL410" s="172"/>
      <c r="AEM410" s="172"/>
      <c r="AEN410" s="172"/>
      <c r="AEO410" s="172"/>
      <c r="AEP410" s="172"/>
      <c r="AEQ410" s="172"/>
      <c r="AER410" s="172"/>
      <c r="AES410" s="172"/>
      <c r="AET410" s="172"/>
      <c r="AEU410" s="172"/>
      <c r="AEV410" s="172"/>
      <c r="AEW410" s="172"/>
      <c r="AEX410" s="172"/>
      <c r="AEY410" s="172"/>
      <c r="AEZ410" s="172"/>
      <c r="AFA410" s="172"/>
      <c r="AFB410" s="172"/>
      <c r="AFC410" s="172"/>
      <c r="AFD410" s="172"/>
      <c r="AFE410" s="172"/>
      <c r="AFF410" s="172"/>
      <c r="AFG410" s="172"/>
      <c r="AFH410" s="172"/>
      <c r="AFI410" s="172"/>
      <c r="AFJ410" s="172"/>
      <c r="AFK410" s="172"/>
      <c r="AFL410" s="172"/>
      <c r="AFM410" s="172"/>
      <c r="AFN410" s="172"/>
      <c r="AFO410" s="172"/>
      <c r="AFP410" s="172"/>
      <c r="AFQ410" s="172"/>
      <c r="AFR410" s="172"/>
      <c r="AFS410" s="172"/>
      <c r="AFT410" s="172"/>
      <c r="AFU410" s="172"/>
      <c r="AFV410" s="172"/>
      <c r="AFW410" s="172"/>
      <c r="AFX410" s="172"/>
      <c r="AFY410" s="172"/>
      <c r="AFZ410" s="172"/>
      <c r="AGA410" s="172"/>
      <c r="AGB410" s="172"/>
      <c r="AGC410" s="172"/>
      <c r="AGD410" s="172"/>
      <c r="AGE410" s="172"/>
      <c r="AGF410" s="172"/>
      <c r="AGG410" s="172"/>
      <c r="AGH410" s="172"/>
      <c r="AGI410" s="172"/>
      <c r="AGJ410" s="172"/>
      <c r="AGK410" s="172"/>
      <c r="AGL410" s="172"/>
      <c r="AGM410" s="172"/>
      <c r="AGN410" s="172"/>
      <c r="AGO410" s="172"/>
      <c r="AGP410" s="172"/>
      <c r="AGQ410" s="172"/>
      <c r="AGR410" s="172"/>
      <c r="AGS410" s="172"/>
      <c r="AGT410" s="172"/>
      <c r="AGU410" s="172"/>
      <c r="AGV410" s="172"/>
      <c r="AGW410" s="172"/>
      <c r="AGX410" s="172"/>
      <c r="AGY410" s="172"/>
      <c r="AGZ410" s="172"/>
      <c r="AHA410" s="172"/>
      <c r="AHB410" s="172"/>
      <c r="AHC410" s="172"/>
      <c r="AHD410" s="172"/>
      <c r="AHE410" s="172"/>
      <c r="AHF410" s="172"/>
      <c r="AHG410" s="172"/>
      <c r="AHH410" s="172"/>
      <c r="AHI410" s="172"/>
      <c r="AHJ410" s="172"/>
      <c r="AHK410" s="172"/>
      <c r="AHL410" s="172"/>
      <c r="AHM410" s="172"/>
      <c r="AHN410" s="172"/>
      <c r="AHO410" s="172"/>
      <c r="AHP410" s="172"/>
      <c r="AHQ410" s="172"/>
      <c r="AHR410" s="172"/>
      <c r="AHS410" s="172"/>
      <c r="AHT410" s="172"/>
      <c r="AHU410" s="172"/>
      <c r="AHV410" s="172"/>
      <c r="AHW410" s="172"/>
      <c r="AHX410" s="172"/>
      <c r="AHY410" s="172"/>
      <c r="AHZ410" s="172"/>
      <c r="AIA410" s="172"/>
      <c r="AIB410" s="172"/>
      <c r="AIC410" s="172"/>
      <c r="AID410" s="172"/>
      <c r="AIE410" s="172"/>
      <c r="AIF410" s="172"/>
      <c r="AIG410" s="172"/>
      <c r="AIH410" s="172"/>
      <c r="AII410" s="172"/>
      <c r="AIJ410" s="172"/>
      <c r="AIK410" s="172"/>
      <c r="AIL410" s="172"/>
      <c r="AIM410" s="172"/>
      <c r="AIN410" s="172"/>
      <c r="AIO410" s="172"/>
      <c r="AIP410" s="172"/>
      <c r="AIQ410" s="172"/>
      <c r="AIR410" s="172"/>
      <c r="AIS410" s="172"/>
      <c r="AIT410" s="172"/>
      <c r="AIU410" s="172"/>
      <c r="AIV410" s="172"/>
      <c r="AIW410" s="172"/>
      <c r="AIX410" s="172"/>
      <c r="AIY410" s="172"/>
      <c r="AIZ410" s="172"/>
      <c r="AJA410" s="172"/>
      <c r="AJB410" s="172"/>
      <c r="AJC410" s="172"/>
      <c r="AJD410" s="172"/>
      <c r="AJE410" s="172"/>
      <c r="AJF410" s="172"/>
      <c r="AJG410" s="172"/>
      <c r="AJH410" s="172"/>
      <c r="AJI410" s="172"/>
      <c r="AJJ410" s="172"/>
      <c r="AJK410" s="172"/>
      <c r="AJL410" s="172"/>
      <c r="AJM410" s="172"/>
      <c r="AJN410" s="172"/>
      <c r="AJO410" s="172"/>
      <c r="AJP410" s="172"/>
      <c r="AJQ410" s="172"/>
      <c r="AJR410" s="172"/>
      <c r="AJS410" s="172"/>
      <c r="AJT410" s="172"/>
      <c r="AJU410" s="172"/>
      <c r="AJV410" s="172"/>
      <c r="AJW410" s="172"/>
      <c r="AJX410" s="172"/>
      <c r="AJY410" s="172"/>
      <c r="AJZ410" s="172"/>
      <c r="AKA410" s="172"/>
      <c r="AKB410" s="172"/>
      <c r="AKC410" s="172"/>
      <c r="AKD410" s="172"/>
      <c r="AKE410" s="172"/>
      <c r="AKF410" s="172"/>
      <c r="AKG410" s="172"/>
      <c r="AKH410" s="172"/>
      <c r="AKI410" s="172"/>
      <c r="AKJ410" s="172"/>
      <c r="AKK410" s="172"/>
      <c r="AKL410" s="172"/>
      <c r="AKM410" s="172"/>
      <c r="AKN410" s="172"/>
      <c r="AKO410" s="172"/>
      <c r="AKP410" s="172"/>
      <c r="AKQ410" s="172"/>
      <c r="AKR410" s="172"/>
      <c r="AKS410" s="172"/>
      <c r="AKT410" s="172"/>
      <c r="AKU410" s="172"/>
      <c r="AKV410" s="172"/>
      <c r="AKW410" s="172"/>
      <c r="AKX410" s="172"/>
      <c r="AKY410" s="172"/>
      <c r="AKZ410" s="172"/>
      <c r="ALA410" s="172"/>
      <c r="ALB410" s="172"/>
      <c r="ALC410" s="172"/>
      <c r="ALD410" s="172"/>
      <c r="ALE410" s="172"/>
      <c r="ALF410" s="172"/>
      <c r="ALG410" s="172"/>
      <c r="ALH410" s="172"/>
      <c r="ALI410" s="172"/>
      <c r="ALJ410" s="172"/>
      <c r="ALK410" s="172"/>
      <c r="ALL410" s="172"/>
      <c r="ALM410" s="172"/>
      <c r="ALN410" s="172"/>
      <c r="ALO410" s="172"/>
      <c r="ALP410" s="172"/>
      <c r="ALQ410" s="172"/>
      <c r="ALR410" s="172"/>
      <c r="ALS410" s="172"/>
      <c r="ALT410" s="172"/>
      <c r="ALU410" s="172"/>
      <c r="ALV410" s="172"/>
      <c r="ALW410" s="172"/>
      <c r="ALX410" s="172"/>
      <c r="ALY410" s="172"/>
      <c r="ALZ410" s="172"/>
      <c r="AMA410" s="172"/>
      <c r="AMB410" s="172"/>
      <c r="AMC410" s="172"/>
      <c r="AMD410" s="172"/>
      <c r="AME410" s="172"/>
      <c r="AMF410" s="172"/>
      <c r="AMG410" s="172"/>
      <c r="AMH410" s="172"/>
      <c r="AMI410" s="172"/>
      <c r="AMJ410" s="172"/>
      <c r="AMK410" s="172"/>
      <c r="AML410" s="172"/>
      <c r="AMM410" s="172"/>
      <c r="AMN410" s="172"/>
      <c r="AMO410" s="172"/>
      <c r="AMP410" s="172"/>
      <c r="AMQ410" s="172"/>
      <c r="AMR410" s="172"/>
      <c r="AMS410" s="172"/>
      <c r="AMT410" s="172"/>
      <c r="AMU410" s="172"/>
      <c r="AMV410" s="172"/>
      <c r="AMW410" s="172"/>
      <c r="AMX410" s="172"/>
      <c r="AMY410" s="172"/>
      <c r="AMZ410" s="172"/>
      <c r="ANA410" s="172"/>
      <c r="ANB410" s="172"/>
      <c r="ANC410" s="172"/>
      <c r="AND410" s="172"/>
      <c r="ANE410" s="172"/>
      <c r="ANF410" s="172"/>
      <c r="ANG410" s="172"/>
      <c r="ANH410" s="172"/>
      <c r="ANI410" s="172"/>
      <c r="ANJ410" s="172"/>
      <c r="ANK410" s="172"/>
      <c r="ANL410" s="172"/>
      <c r="ANM410" s="172"/>
      <c r="ANN410" s="172"/>
      <c r="ANO410" s="172"/>
      <c r="ANP410" s="172"/>
      <c r="ANQ410" s="172"/>
      <c r="ANR410" s="172"/>
      <c r="ANS410" s="172"/>
      <c r="ANT410" s="172"/>
      <c r="ANU410" s="172"/>
      <c r="ANV410" s="172"/>
      <c r="ANW410" s="172"/>
      <c r="ANX410" s="172"/>
      <c r="ANY410" s="172"/>
      <c r="ANZ410" s="172"/>
      <c r="AOA410" s="172"/>
      <c r="AOB410" s="172"/>
      <c r="AOC410" s="172"/>
      <c r="AOD410" s="172"/>
      <c r="AOE410" s="172"/>
      <c r="AOF410" s="172"/>
      <c r="AOG410" s="172"/>
      <c r="AOH410" s="172"/>
      <c r="AOI410" s="172"/>
      <c r="AOJ410" s="172"/>
      <c r="AOK410" s="172"/>
      <c r="AOL410" s="172"/>
      <c r="AOM410" s="172"/>
      <c r="AON410" s="172"/>
      <c r="AOO410" s="172"/>
      <c r="AOP410" s="172"/>
      <c r="AOQ410" s="172"/>
      <c r="AOR410" s="172"/>
      <c r="AOS410" s="172"/>
      <c r="AOT410" s="172"/>
      <c r="AOU410" s="172"/>
      <c r="AOV410" s="172"/>
      <c r="AOW410" s="172"/>
      <c r="AOX410" s="172"/>
      <c r="AOY410" s="172"/>
      <c r="AOZ410" s="172"/>
      <c r="APA410" s="172"/>
      <c r="APB410" s="172"/>
      <c r="APC410" s="172"/>
      <c r="APD410" s="172"/>
      <c r="APE410" s="172"/>
      <c r="APF410" s="172"/>
      <c r="APG410" s="172"/>
      <c r="APH410" s="172"/>
      <c r="API410" s="172"/>
      <c r="APJ410" s="172"/>
      <c r="APK410" s="172"/>
      <c r="APL410" s="172"/>
      <c r="APM410" s="172"/>
      <c r="APN410" s="172"/>
      <c r="APO410" s="172"/>
      <c r="APP410" s="172"/>
      <c r="APQ410" s="172"/>
      <c r="APR410" s="172"/>
      <c r="APS410" s="172"/>
      <c r="APT410" s="172"/>
      <c r="APU410" s="172"/>
      <c r="APV410" s="172"/>
      <c r="APW410" s="172"/>
      <c r="APX410" s="172"/>
      <c r="APY410" s="172"/>
      <c r="APZ410" s="172"/>
      <c r="AQA410" s="172"/>
      <c r="AQB410" s="172"/>
      <c r="AQC410" s="172"/>
      <c r="AQD410" s="172"/>
      <c r="AQE410" s="172"/>
      <c r="AQF410" s="172"/>
      <c r="AQG410" s="172"/>
      <c r="AQH410" s="172"/>
      <c r="AQI410" s="172"/>
      <c r="AQJ410" s="172"/>
      <c r="AQK410" s="172"/>
      <c r="AQL410" s="172"/>
      <c r="AQM410" s="172"/>
      <c r="AQN410" s="172"/>
      <c r="AQO410" s="172"/>
      <c r="AQP410" s="172"/>
      <c r="AQQ410" s="172"/>
      <c r="AQR410" s="172"/>
      <c r="AQS410" s="172"/>
      <c r="AQT410" s="172"/>
      <c r="AQU410" s="172"/>
      <c r="AQV410" s="172"/>
      <c r="AQW410" s="172"/>
      <c r="AQX410" s="172"/>
      <c r="AQY410" s="172"/>
      <c r="AQZ410" s="172"/>
      <c r="ARA410" s="172"/>
      <c r="ARB410" s="172"/>
      <c r="ARC410" s="172"/>
      <c r="ARD410" s="172"/>
      <c r="ARE410" s="172"/>
      <c r="ARF410" s="172"/>
      <c r="ARG410" s="172"/>
      <c r="ARH410" s="172"/>
      <c r="ARI410" s="172"/>
      <c r="ARJ410" s="172"/>
      <c r="ARK410" s="172"/>
      <c r="ARL410" s="172"/>
      <c r="ARM410" s="172"/>
      <c r="ARN410" s="172"/>
      <c r="ARO410" s="172"/>
      <c r="ARP410" s="172"/>
      <c r="ARQ410" s="172"/>
      <c r="ARR410" s="172"/>
      <c r="ARS410" s="172"/>
      <c r="ART410" s="172"/>
      <c r="ARU410" s="172"/>
      <c r="ARV410" s="172"/>
      <c r="ARW410" s="172"/>
      <c r="ARX410" s="172"/>
      <c r="ARY410" s="172"/>
      <c r="ARZ410" s="172"/>
      <c r="ASA410" s="172"/>
      <c r="ASB410" s="172"/>
      <c r="ASC410" s="172"/>
      <c r="ASD410" s="172"/>
      <c r="ASE410" s="172"/>
      <c r="ASF410" s="172"/>
      <c r="ASG410" s="172"/>
      <c r="ASH410" s="172"/>
      <c r="ASI410" s="172"/>
      <c r="ASJ410" s="172"/>
      <c r="ASK410" s="172"/>
      <c r="ASL410" s="172"/>
      <c r="ASM410" s="172"/>
      <c r="ASN410" s="172"/>
      <c r="ASO410" s="172"/>
      <c r="ASP410" s="172"/>
      <c r="ASQ410" s="172"/>
      <c r="ASR410" s="172"/>
      <c r="ASS410" s="172"/>
      <c r="AST410" s="172"/>
      <c r="ASU410" s="172"/>
      <c r="ASV410" s="172"/>
      <c r="ASW410" s="172"/>
      <c r="ASX410" s="172"/>
      <c r="ASY410" s="172"/>
      <c r="ASZ410" s="172"/>
      <c r="ATA410" s="172"/>
      <c r="ATB410" s="172"/>
      <c r="ATC410" s="172"/>
      <c r="ATD410" s="172"/>
      <c r="ATE410" s="172"/>
      <c r="ATF410" s="172"/>
      <c r="ATG410" s="172"/>
      <c r="ATH410" s="172"/>
      <c r="ATI410" s="172"/>
      <c r="ATJ410" s="172"/>
      <c r="ATK410" s="172"/>
      <c r="ATL410" s="172"/>
      <c r="ATM410" s="172"/>
      <c r="ATN410" s="172"/>
      <c r="ATO410" s="172"/>
      <c r="ATP410" s="172"/>
      <c r="ATQ410" s="172"/>
      <c r="ATR410" s="172"/>
      <c r="ATS410" s="172"/>
      <c r="ATT410" s="172"/>
      <c r="ATU410" s="172"/>
      <c r="ATV410" s="172"/>
      <c r="ATW410" s="172"/>
      <c r="ATX410" s="172"/>
      <c r="ATY410" s="172"/>
      <c r="ATZ410" s="172"/>
      <c r="AUA410" s="172"/>
      <c r="AUB410" s="172"/>
      <c r="AUC410" s="172"/>
      <c r="AUD410" s="172"/>
      <c r="AUE410" s="172"/>
      <c r="AUF410" s="172"/>
      <c r="AUG410" s="172"/>
      <c r="AUH410" s="172"/>
      <c r="AUI410" s="172"/>
      <c r="AUJ410" s="172"/>
      <c r="AUK410" s="172"/>
      <c r="AUL410" s="172"/>
      <c r="AUM410" s="172"/>
      <c r="AUN410" s="172"/>
      <c r="AUO410" s="172"/>
      <c r="AUP410" s="172"/>
      <c r="AUQ410" s="172"/>
      <c r="AUR410" s="172"/>
      <c r="AUS410" s="172"/>
      <c r="AUT410" s="172"/>
      <c r="AUU410" s="172"/>
      <c r="AUV410" s="172"/>
      <c r="AUW410" s="172"/>
      <c r="AUX410" s="172"/>
      <c r="AUY410" s="172"/>
      <c r="AUZ410" s="172"/>
      <c r="AVA410" s="172"/>
      <c r="AVB410" s="172"/>
      <c r="AVC410" s="172"/>
      <c r="AVD410" s="172"/>
      <c r="AVE410" s="172"/>
      <c r="AVF410" s="172"/>
      <c r="AVG410" s="172"/>
      <c r="AVH410" s="172"/>
      <c r="AVI410" s="172"/>
      <c r="AVJ410" s="172"/>
      <c r="AVK410" s="172"/>
      <c r="AVL410" s="172"/>
      <c r="AVM410" s="172"/>
      <c r="AVN410" s="172"/>
      <c r="AVO410" s="172"/>
      <c r="AVP410" s="172"/>
      <c r="AVQ410" s="172"/>
      <c r="AVR410" s="172"/>
      <c r="AVS410" s="172"/>
      <c r="AVT410" s="172"/>
      <c r="AVU410" s="172"/>
      <c r="AVV410" s="172"/>
      <c r="AVW410" s="172"/>
      <c r="AVX410" s="172"/>
      <c r="AVY410" s="172"/>
      <c r="AVZ410" s="172"/>
      <c r="AWA410" s="172"/>
      <c r="AWB410" s="172"/>
      <c r="AWC410" s="172"/>
      <c r="AWD410" s="172"/>
      <c r="AWE410" s="172"/>
      <c r="AWF410" s="172"/>
      <c r="AWG410" s="172"/>
      <c r="AWH410" s="172"/>
      <c r="AWI410" s="172"/>
      <c r="AWJ410" s="172"/>
      <c r="AWK410" s="172"/>
      <c r="AWL410" s="172"/>
      <c r="AWM410" s="172"/>
      <c r="AWN410" s="172"/>
      <c r="AWO410" s="172"/>
      <c r="AWP410" s="172"/>
      <c r="AWQ410" s="172"/>
      <c r="AWR410" s="172"/>
      <c r="AWS410" s="172"/>
      <c r="AWT410" s="172"/>
      <c r="AWU410" s="172"/>
      <c r="AWV410" s="172"/>
      <c r="AWW410" s="172"/>
      <c r="AWX410" s="172"/>
      <c r="AWY410" s="172"/>
      <c r="AWZ410" s="172"/>
      <c r="AXA410" s="172"/>
      <c r="AXB410" s="172"/>
      <c r="AXC410" s="172"/>
      <c r="AXD410" s="172"/>
      <c r="AXE410" s="172"/>
      <c r="AXF410" s="172"/>
      <c r="AXG410" s="172"/>
      <c r="AXH410" s="172"/>
      <c r="AXI410" s="172"/>
      <c r="AXJ410" s="172"/>
      <c r="AXK410" s="172"/>
      <c r="AXL410" s="172"/>
      <c r="AXM410" s="172"/>
      <c r="AXN410" s="172"/>
      <c r="AXO410" s="172"/>
      <c r="AXP410" s="172"/>
      <c r="AXQ410" s="172"/>
      <c r="AXR410" s="172"/>
      <c r="AXS410" s="172"/>
      <c r="AXT410" s="172"/>
      <c r="AXU410" s="172"/>
      <c r="AXV410" s="172"/>
      <c r="AXW410" s="172"/>
      <c r="AXX410" s="172"/>
      <c r="AXY410" s="172"/>
      <c r="AXZ410" s="172"/>
      <c r="AYA410" s="172"/>
      <c r="AYB410" s="172"/>
      <c r="AYC410" s="172"/>
      <c r="AYD410" s="172"/>
      <c r="AYE410" s="172"/>
      <c r="AYF410" s="172"/>
      <c r="AYG410" s="172"/>
      <c r="AYH410" s="172"/>
      <c r="AYI410" s="172"/>
      <c r="AYJ410" s="172"/>
      <c r="AYK410" s="172"/>
      <c r="AYL410" s="172"/>
      <c r="AYM410" s="172"/>
      <c r="AYN410" s="172"/>
      <c r="AYO410" s="172"/>
      <c r="AYP410" s="172"/>
      <c r="AYQ410" s="172"/>
      <c r="AYR410" s="172"/>
      <c r="AYS410" s="172"/>
      <c r="AYT410" s="172"/>
      <c r="AYU410" s="172"/>
      <c r="AYV410" s="172"/>
      <c r="AYW410" s="172"/>
      <c r="AYX410" s="172"/>
      <c r="AYY410" s="172"/>
      <c r="AYZ410" s="172"/>
      <c r="AZA410" s="172"/>
      <c r="AZB410" s="172"/>
      <c r="AZC410" s="172"/>
      <c r="AZD410" s="172"/>
      <c r="AZE410" s="172"/>
      <c r="AZF410" s="172"/>
      <c r="AZG410" s="172"/>
      <c r="AZH410" s="172"/>
      <c r="AZI410" s="172"/>
      <c r="AZJ410" s="172"/>
      <c r="AZK410" s="172"/>
      <c r="AZL410" s="172"/>
      <c r="AZM410" s="172"/>
      <c r="AZN410" s="172"/>
      <c r="AZO410" s="172"/>
      <c r="AZP410" s="172"/>
      <c r="AZQ410" s="172"/>
      <c r="AZR410" s="172"/>
      <c r="AZS410" s="172"/>
      <c r="AZT410" s="172"/>
      <c r="AZU410" s="172"/>
      <c r="AZV410" s="172"/>
      <c r="AZW410" s="172"/>
      <c r="AZX410" s="172"/>
      <c r="AZY410" s="172"/>
      <c r="AZZ410" s="172"/>
      <c r="BAA410" s="172"/>
      <c r="BAB410" s="172"/>
      <c r="BAC410" s="172"/>
      <c r="BAD410" s="172"/>
      <c r="BAE410" s="172"/>
      <c r="BAF410" s="172"/>
      <c r="BAG410" s="172"/>
      <c r="BAH410" s="172"/>
      <c r="BAI410" s="172"/>
      <c r="BAJ410" s="172"/>
      <c r="BAK410" s="172"/>
      <c r="BAL410" s="172"/>
      <c r="BAM410" s="172"/>
      <c r="BAN410" s="172"/>
      <c r="BAO410" s="172"/>
      <c r="BAP410" s="172"/>
      <c r="BAQ410" s="172"/>
      <c r="BAR410" s="172"/>
      <c r="BAS410" s="172"/>
      <c r="BAT410" s="172"/>
      <c r="BAU410" s="172"/>
      <c r="BAV410" s="172"/>
      <c r="BAW410" s="172"/>
      <c r="BAX410" s="172"/>
      <c r="BAY410" s="172"/>
      <c r="BAZ410" s="172"/>
      <c r="BBA410" s="172"/>
      <c r="BBB410" s="172"/>
      <c r="BBC410" s="172"/>
      <c r="BBD410" s="172"/>
      <c r="BBE410" s="172"/>
      <c r="BBF410" s="172"/>
      <c r="BBG410" s="172"/>
      <c r="BBH410" s="172"/>
      <c r="BBI410" s="172"/>
      <c r="BBJ410" s="172"/>
      <c r="BBK410" s="172"/>
      <c r="BBL410" s="172"/>
      <c r="BBM410" s="172"/>
      <c r="BBN410" s="172"/>
      <c r="BBO410" s="172"/>
      <c r="BBP410" s="172"/>
      <c r="BBQ410" s="172"/>
      <c r="BBR410" s="172"/>
      <c r="BBS410" s="172"/>
      <c r="BBT410" s="172"/>
      <c r="BBU410" s="172"/>
      <c r="BBV410" s="172"/>
      <c r="BBW410" s="172"/>
      <c r="BBX410" s="172"/>
      <c r="BBY410" s="172"/>
      <c r="BBZ410" s="172"/>
      <c r="BCA410" s="172"/>
      <c r="BCB410" s="172"/>
      <c r="BCC410" s="172"/>
      <c r="BCD410" s="172"/>
      <c r="BCE410" s="172"/>
      <c r="BCF410" s="172"/>
      <c r="BCG410" s="172"/>
      <c r="BCH410" s="172"/>
      <c r="BCI410" s="172"/>
      <c r="BCJ410" s="172"/>
      <c r="BCK410" s="172"/>
      <c r="BCL410" s="172"/>
      <c r="BCM410" s="172"/>
      <c r="BCN410" s="172"/>
      <c r="BCO410" s="172"/>
      <c r="BCP410" s="172"/>
      <c r="BCQ410" s="172"/>
      <c r="BCR410" s="172"/>
      <c r="BCS410" s="172"/>
      <c r="BCT410" s="172"/>
      <c r="BCU410" s="172"/>
      <c r="BCV410" s="172"/>
      <c r="BCW410" s="172"/>
      <c r="BCX410" s="172"/>
      <c r="BCY410" s="172"/>
      <c r="BCZ410" s="172"/>
      <c r="BDA410" s="172"/>
      <c r="BDB410" s="172"/>
      <c r="BDC410" s="172"/>
      <c r="BDD410" s="172"/>
      <c r="BDE410" s="172"/>
      <c r="BDF410" s="172"/>
      <c r="BDG410" s="172"/>
      <c r="BDH410" s="172"/>
      <c r="BDI410" s="172"/>
      <c r="BDJ410" s="172"/>
      <c r="BDK410" s="172"/>
      <c r="BDL410" s="172"/>
      <c r="BDM410" s="172"/>
      <c r="BDN410" s="172"/>
      <c r="BDO410" s="172"/>
      <c r="BDP410" s="172"/>
      <c r="BDQ410" s="172"/>
      <c r="BDR410" s="172"/>
      <c r="BDS410" s="172"/>
      <c r="BDT410" s="172"/>
      <c r="BDU410" s="172"/>
      <c r="BDV410" s="172"/>
      <c r="BDW410" s="172"/>
      <c r="BDX410" s="172"/>
      <c r="BDY410" s="172"/>
      <c r="BDZ410" s="172"/>
      <c r="BEA410" s="172"/>
      <c r="BEB410" s="172"/>
      <c r="BEC410" s="172"/>
      <c r="BED410" s="172"/>
      <c r="BEE410" s="172"/>
      <c r="BEF410" s="172"/>
      <c r="BEG410" s="172"/>
      <c r="BEH410" s="172"/>
      <c r="BEI410" s="172"/>
      <c r="BEJ410" s="172"/>
      <c r="BEK410" s="172"/>
      <c r="BEL410" s="172"/>
      <c r="BEM410" s="172"/>
      <c r="BEN410" s="172"/>
      <c r="BEO410" s="172"/>
      <c r="BEP410" s="172"/>
      <c r="BEQ410" s="172"/>
      <c r="BER410" s="172"/>
      <c r="BES410" s="172"/>
      <c r="BET410" s="172"/>
      <c r="BEU410" s="172"/>
      <c r="BEV410" s="172"/>
      <c r="BEW410" s="172"/>
      <c r="BEX410" s="172"/>
      <c r="BEY410" s="172"/>
      <c r="BEZ410" s="172"/>
      <c r="BFA410" s="172"/>
      <c r="BFB410" s="172"/>
      <c r="BFC410" s="172"/>
      <c r="BFD410" s="172"/>
      <c r="BFE410" s="172"/>
      <c r="BFF410" s="172"/>
      <c r="BFG410" s="172"/>
      <c r="BFH410" s="172"/>
      <c r="BFI410" s="172"/>
      <c r="BFJ410" s="172"/>
      <c r="BFK410" s="172"/>
      <c r="BFL410" s="172"/>
      <c r="BFM410" s="172"/>
      <c r="BFN410" s="172"/>
      <c r="BFO410" s="172"/>
      <c r="BFP410" s="172"/>
      <c r="BFQ410" s="172"/>
      <c r="BFR410" s="172"/>
      <c r="BFS410" s="172"/>
      <c r="BFT410" s="172"/>
      <c r="BFU410" s="172"/>
      <c r="BFV410" s="172"/>
      <c r="BFW410" s="172"/>
      <c r="BFX410" s="172"/>
      <c r="BFY410" s="172"/>
      <c r="BFZ410" s="172"/>
      <c r="BGA410" s="172"/>
      <c r="BGB410" s="172"/>
      <c r="BGC410" s="172"/>
      <c r="BGD410" s="172"/>
      <c r="BGE410" s="172"/>
      <c r="BGF410" s="172"/>
      <c r="BGG410" s="172"/>
      <c r="BGH410" s="172"/>
      <c r="BGI410" s="172"/>
      <c r="BGJ410" s="172"/>
      <c r="BGK410" s="172"/>
      <c r="BGL410" s="172"/>
      <c r="BGM410" s="172"/>
      <c r="BGN410" s="172"/>
      <c r="BGO410" s="172"/>
      <c r="BGP410" s="172"/>
      <c r="BGQ410" s="172"/>
      <c r="BGR410" s="172"/>
      <c r="BGS410" s="172"/>
      <c r="BGT410" s="172"/>
      <c r="BGU410" s="172"/>
      <c r="BGV410" s="172"/>
      <c r="BGW410" s="172"/>
      <c r="BGX410" s="172"/>
      <c r="BGY410" s="172"/>
      <c r="BGZ410" s="172"/>
      <c r="BHA410" s="172"/>
      <c r="BHB410" s="172"/>
      <c r="BHC410" s="172"/>
      <c r="BHD410" s="172"/>
      <c r="BHE410" s="172"/>
      <c r="BHF410" s="172"/>
      <c r="BHG410" s="172"/>
      <c r="BHH410" s="172"/>
      <c r="BHI410" s="172"/>
      <c r="BHJ410" s="172"/>
      <c r="BHK410" s="172"/>
      <c r="BHL410" s="172"/>
      <c r="BHM410" s="172"/>
      <c r="BHN410" s="172"/>
      <c r="BHO410" s="172"/>
      <c r="BHP410" s="172"/>
      <c r="BHQ410" s="172"/>
      <c r="BHR410" s="172"/>
      <c r="BHS410" s="172"/>
      <c r="BHT410" s="172"/>
      <c r="BHU410" s="172"/>
      <c r="BHV410" s="172"/>
      <c r="BHW410" s="172"/>
      <c r="BHX410" s="172"/>
      <c r="BHY410" s="172"/>
      <c r="BHZ410" s="172"/>
      <c r="BIA410" s="172"/>
      <c r="BIB410" s="172"/>
      <c r="BIC410" s="172"/>
      <c r="BID410" s="172"/>
      <c r="BIE410" s="172"/>
      <c r="BIF410" s="172"/>
      <c r="BIG410" s="172"/>
      <c r="BIH410" s="172"/>
      <c r="BII410" s="172"/>
      <c r="BIJ410" s="172"/>
      <c r="BIK410" s="172"/>
      <c r="BIL410" s="172"/>
      <c r="BIM410" s="172"/>
      <c r="BIN410" s="172"/>
      <c r="BIO410" s="172"/>
      <c r="BIP410" s="172"/>
      <c r="BIQ410" s="172"/>
      <c r="BIR410" s="172"/>
      <c r="BIS410" s="172"/>
      <c r="BIT410" s="172"/>
      <c r="BIU410" s="172"/>
      <c r="BIV410" s="172"/>
      <c r="BIW410" s="172"/>
      <c r="BIX410" s="172"/>
      <c r="BIY410" s="172"/>
      <c r="BIZ410" s="172"/>
      <c r="BJA410" s="172"/>
      <c r="BJB410" s="172"/>
      <c r="BJC410" s="172"/>
      <c r="BJD410" s="172"/>
      <c r="BJE410" s="172"/>
      <c r="BJF410" s="172"/>
      <c r="BJG410" s="172"/>
      <c r="BJH410" s="172"/>
      <c r="BJI410" s="172"/>
      <c r="BJJ410" s="172"/>
      <c r="BJK410" s="172"/>
      <c r="BJL410" s="172"/>
      <c r="BJM410" s="172"/>
      <c r="BJN410" s="172"/>
      <c r="BJO410" s="172"/>
      <c r="BJP410" s="172"/>
      <c r="BJQ410" s="172"/>
      <c r="BJR410" s="172"/>
      <c r="BJS410" s="172"/>
      <c r="BJT410" s="172"/>
      <c r="BJU410" s="172"/>
      <c r="BJV410" s="172"/>
      <c r="BJW410" s="172"/>
      <c r="BJX410" s="172"/>
      <c r="BJY410" s="172"/>
      <c r="BJZ410" s="172"/>
      <c r="BKA410" s="172"/>
      <c r="BKB410" s="172"/>
      <c r="BKC410" s="172"/>
      <c r="BKD410" s="172"/>
      <c r="BKE410" s="172"/>
      <c r="BKF410" s="172"/>
      <c r="BKG410" s="172"/>
      <c r="BKH410" s="172"/>
      <c r="BKI410" s="172"/>
      <c r="BKJ410" s="172"/>
      <c r="BKK410" s="172"/>
      <c r="BKL410" s="172"/>
      <c r="BKM410" s="172"/>
      <c r="BKN410" s="172"/>
      <c r="BKO410" s="172"/>
      <c r="BKP410" s="172"/>
      <c r="BKQ410" s="172"/>
      <c r="BKR410" s="172"/>
      <c r="BKS410" s="172"/>
      <c r="BKT410" s="172"/>
      <c r="BKU410" s="172"/>
      <c r="BKV410" s="172"/>
      <c r="BKW410" s="172"/>
      <c r="BKX410" s="172"/>
      <c r="BKY410" s="172"/>
      <c r="BKZ410" s="172"/>
      <c r="BLA410" s="172"/>
      <c r="BLB410" s="172"/>
      <c r="BLC410" s="172"/>
      <c r="BLD410" s="172"/>
      <c r="BLE410" s="172"/>
      <c r="BLF410" s="172"/>
      <c r="BLG410" s="172"/>
      <c r="BLH410" s="172"/>
      <c r="BLI410" s="172"/>
      <c r="BLJ410" s="172"/>
      <c r="BLK410" s="172"/>
      <c r="BLL410" s="172"/>
      <c r="BLM410" s="172"/>
      <c r="BLN410" s="172"/>
      <c r="BLO410" s="172"/>
      <c r="BLP410" s="172"/>
      <c r="BLQ410" s="172"/>
      <c r="BLR410" s="172"/>
      <c r="BLS410" s="172"/>
      <c r="BLT410" s="172"/>
      <c r="BLU410" s="172"/>
      <c r="BLV410" s="172"/>
      <c r="BLW410" s="172"/>
      <c r="BLX410" s="172"/>
      <c r="BLY410" s="172"/>
      <c r="BLZ410" s="172"/>
      <c r="BMA410" s="172"/>
      <c r="BMB410" s="172"/>
      <c r="BMC410" s="172"/>
      <c r="BMD410" s="172"/>
      <c r="BME410" s="172"/>
      <c r="BMF410" s="172"/>
      <c r="BMG410" s="172"/>
      <c r="BMH410" s="172"/>
      <c r="BMI410" s="172"/>
      <c r="BMJ410" s="172"/>
      <c r="BMK410" s="172"/>
      <c r="BML410" s="172"/>
      <c r="BMM410" s="172"/>
      <c r="BMN410" s="172"/>
      <c r="BMO410" s="172"/>
      <c r="BMP410" s="172"/>
      <c r="BMQ410" s="172"/>
      <c r="BMR410" s="172"/>
      <c r="BMS410" s="172"/>
      <c r="BMT410" s="172"/>
      <c r="BMU410" s="172"/>
      <c r="BMV410" s="172"/>
      <c r="BMW410" s="172"/>
      <c r="BMX410" s="172"/>
      <c r="BMY410" s="172"/>
      <c r="BMZ410" s="172"/>
      <c r="BNA410" s="172"/>
      <c r="BNB410" s="172"/>
      <c r="BNC410" s="172"/>
      <c r="BND410" s="172"/>
      <c r="BNE410" s="172"/>
      <c r="BNF410" s="172"/>
      <c r="BNG410" s="172"/>
      <c r="BNH410" s="172"/>
      <c r="BNI410" s="172"/>
      <c r="BNJ410" s="172"/>
      <c r="BNK410" s="172"/>
      <c r="BNL410" s="172"/>
      <c r="BNM410" s="172"/>
      <c r="BNN410" s="172"/>
      <c r="BNO410" s="172"/>
      <c r="BNP410" s="172"/>
      <c r="BNQ410" s="172"/>
      <c r="BNR410" s="172"/>
      <c r="BNS410" s="172"/>
      <c r="BNT410" s="172"/>
      <c r="BNU410" s="172"/>
      <c r="BNV410" s="172"/>
      <c r="BNW410" s="172"/>
      <c r="BNX410" s="172"/>
      <c r="BNY410" s="172"/>
      <c r="BNZ410" s="172"/>
      <c r="BOA410" s="172"/>
      <c r="BOB410" s="172"/>
      <c r="BOC410" s="172"/>
      <c r="BOD410" s="172"/>
      <c r="BOE410" s="172"/>
      <c r="BOF410" s="172"/>
      <c r="BOG410" s="172"/>
      <c r="BOH410" s="172"/>
      <c r="BOI410" s="172"/>
      <c r="BOJ410" s="172"/>
      <c r="BOK410" s="172"/>
      <c r="BOL410" s="172"/>
      <c r="BOM410" s="172"/>
      <c r="BON410" s="172"/>
      <c r="BOO410" s="172"/>
      <c r="BOP410" s="172"/>
      <c r="BOQ410" s="172"/>
      <c r="BOR410" s="172"/>
      <c r="BOS410" s="172"/>
      <c r="BOT410" s="172"/>
      <c r="BOU410" s="172"/>
      <c r="BOV410" s="172"/>
      <c r="BOW410" s="172"/>
      <c r="BOX410" s="172"/>
      <c r="BOY410" s="172"/>
      <c r="BOZ410" s="172"/>
      <c r="BPA410" s="172"/>
      <c r="BPB410" s="172"/>
      <c r="BPC410" s="172"/>
      <c r="BPD410" s="172"/>
      <c r="BPE410" s="172"/>
      <c r="BPF410" s="172"/>
      <c r="BPG410" s="172"/>
      <c r="BPH410" s="172"/>
      <c r="BPI410" s="172"/>
      <c r="BPJ410" s="172"/>
      <c r="BPK410" s="172"/>
      <c r="BPL410" s="172"/>
      <c r="BPM410" s="172"/>
      <c r="BPN410" s="172"/>
      <c r="BPO410" s="172"/>
      <c r="BPP410" s="172"/>
      <c r="BPQ410" s="172"/>
      <c r="BPR410" s="172"/>
      <c r="BPS410" s="172"/>
      <c r="BPT410" s="172"/>
      <c r="BPU410" s="172"/>
      <c r="BPV410" s="172"/>
      <c r="BPW410" s="172"/>
      <c r="BPX410" s="172"/>
      <c r="BPY410" s="172"/>
      <c r="BPZ410" s="172"/>
      <c r="BQA410" s="172"/>
      <c r="BQB410" s="172"/>
      <c r="BQC410" s="172"/>
      <c r="BQD410" s="172"/>
      <c r="BQE410" s="172"/>
      <c r="BQF410" s="172"/>
      <c r="BQG410" s="172"/>
      <c r="BQH410" s="172"/>
      <c r="BQI410" s="172"/>
      <c r="BQJ410" s="172"/>
      <c r="BQK410" s="172"/>
      <c r="BQL410" s="172"/>
      <c r="BQM410" s="172"/>
      <c r="BQN410" s="172"/>
      <c r="BQO410" s="172"/>
      <c r="BQP410" s="172"/>
      <c r="BQQ410" s="172"/>
      <c r="BQR410" s="172"/>
      <c r="BQS410" s="172"/>
      <c r="BQT410" s="172"/>
      <c r="BQU410" s="172"/>
      <c r="BQV410" s="172"/>
      <c r="BQW410" s="172"/>
      <c r="BQX410" s="172"/>
      <c r="BQY410" s="172"/>
      <c r="BQZ410" s="172"/>
      <c r="BRA410" s="172"/>
      <c r="BRB410" s="172"/>
      <c r="BRC410" s="172"/>
      <c r="BRD410" s="172"/>
      <c r="BRE410" s="172"/>
      <c r="BRF410" s="172"/>
      <c r="BRG410" s="172"/>
      <c r="BRH410" s="172"/>
      <c r="BRI410" s="172"/>
      <c r="BRJ410" s="172"/>
      <c r="BRK410" s="172"/>
      <c r="BRL410" s="172"/>
      <c r="BRM410" s="172"/>
      <c r="BRN410" s="172"/>
      <c r="BRO410" s="172"/>
      <c r="BRP410" s="172"/>
      <c r="BRQ410" s="172"/>
      <c r="BRR410" s="172"/>
      <c r="BRS410" s="172"/>
      <c r="BRT410" s="172"/>
      <c r="BRU410" s="172"/>
      <c r="BRV410" s="172"/>
      <c r="BRW410" s="172"/>
      <c r="BRX410" s="172"/>
      <c r="BRY410" s="172"/>
      <c r="BRZ410" s="172"/>
      <c r="BSA410" s="172"/>
      <c r="BSB410" s="172"/>
      <c r="BSC410" s="172"/>
      <c r="BSD410" s="172"/>
      <c r="BSE410" s="172"/>
      <c r="BSF410" s="172"/>
      <c r="BSG410" s="172"/>
      <c r="BSH410" s="172"/>
      <c r="BSI410" s="172"/>
      <c r="BSJ410" s="172"/>
      <c r="BSK410" s="172"/>
      <c r="BSL410" s="172"/>
      <c r="BSM410" s="172"/>
      <c r="BSN410" s="172"/>
      <c r="BSO410" s="172"/>
      <c r="BSP410" s="172"/>
      <c r="BSQ410" s="172"/>
      <c r="BSR410" s="172"/>
      <c r="BSS410" s="172"/>
      <c r="BST410" s="172"/>
      <c r="BSU410" s="172"/>
      <c r="BSV410" s="172"/>
      <c r="BSW410" s="172"/>
      <c r="BSX410" s="172"/>
      <c r="BSY410" s="172"/>
      <c r="BSZ410" s="172"/>
      <c r="BTA410" s="172"/>
      <c r="BTB410" s="172"/>
      <c r="BTC410" s="172"/>
      <c r="BTD410" s="172"/>
      <c r="BTE410" s="172"/>
      <c r="BTF410" s="172"/>
      <c r="BTG410" s="172"/>
      <c r="BTH410" s="172"/>
      <c r="BTI410" s="172"/>
      <c r="BTJ410" s="172"/>
      <c r="BTK410" s="172"/>
      <c r="BTL410" s="172"/>
      <c r="BTM410" s="172"/>
      <c r="BTN410" s="172"/>
      <c r="BTO410" s="172"/>
      <c r="BTP410" s="172"/>
      <c r="BTQ410" s="172"/>
      <c r="BTR410" s="172"/>
      <c r="BTS410" s="172"/>
      <c r="BTT410" s="172"/>
      <c r="BTU410" s="172"/>
      <c r="BTV410" s="172"/>
      <c r="BTW410" s="172"/>
      <c r="BTX410" s="172"/>
      <c r="BTY410" s="172"/>
      <c r="BTZ410" s="172"/>
      <c r="BUA410" s="172"/>
      <c r="BUB410" s="172"/>
      <c r="BUC410" s="172"/>
      <c r="BUD410" s="172"/>
      <c r="BUE410" s="172"/>
      <c r="BUF410" s="172"/>
      <c r="BUG410" s="172"/>
      <c r="BUH410" s="172"/>
      <c r="BUI410" s="172"/>
      <c r="BUJ410" s="172"/>
      <c r="BUK410" s="172"/>
      <c r="BUL410" s="172"/>
      <c r="BUM410" s="172"/>
      <c r="BUN410" s="172"/>
      <c r="BUO410" s="172"/>
      <c r="BUP410" s="172"/>
      <c r="BUQ410" s="172"/>
      <c r="BUR410" s="172"/>
      <c r="BUS410" s="172"/>
      <c r="BUT410" s="172"/>
      <c r="BUU410" s="172"/>
      <c r="BUV410" s="172"/>
      <c r="BUW410" s="172"/>
      <c r="BUX410" s="172"/>
      <c r="BUY410" s="172"/>
      <c r="BUZ410" s="172"/>
      <c r="BVA410" s="172"/>
      <c r="BVB410" s="172"/>
      <c r="BVC410" s="172"/>
      <c r="BVD410" s="172"/>
      <c r="BVE410" s="172"/>
      <c r="BVF410" s="172"/>
      <c r="BVG410" s="172"/>
      <c r="BVH410" s="172"/>
      <c r="BVI410" s="172"/>
      <c r="BVJ410" s="172"/>
      <c r="BVK410" s="172"/>
      <c r="BVL410" s="172"/>
      <c r="BVM410" s="172"/>
      <c r="BVN410" s="172"/>
      <c r="BVO410" s="172"/>
      <c r="BVP410" s="172"/>
      <c r="BVQ410" s="172"/>
      <c r="BVR410" s="172"/>
      <c r="BVS410" s="172"/>
      <c r="BVT410" s="172"/>
      <c r="BVU410" s="172"/>
      <c r="BVV410" s="172"/>
      <c r="BVW410" s="172"/>
      <c r="BVX410" s="172"/>
      <c r="BVY410" s="172"/>
      <c r="BVZ410" s="172"/>
      <c r="BWA410" s="172"/>
      <c r="BWB410" s="172"/>
      <c r="BWC410" s="172"/>
      <c r="BWD410" s="172"/>
      <c r="BWE410" s="172"/>
      <c r="BWF410" s="172"/>
      <c r="BWG410" s="172"/>
      <c r="BWH410" s="172"/>
      <c r="BWI410" s="172"/>
      <c r="BWJ410" s="172"/>
      <c r="BWK410" s="172"/>
      <c r="BWL410" s="172"/>
      <c r="BWM410" s="172"/>
      <c r="BWN410" s="172"/>
      <c r="BWO410" s="172"/>
      <c r="BWP410" s="172"/>
      <c r="BWQ410" s="172"/>
      <c r="BWR410" s="172"/>
      <c r="BWS410" s="172"/>
      <c r="BWT410" s="172"/>
      <c r="BWU410" s="172"/>
      <c r="BWV410" s="172"/>
      <c r="BWW410" s="172"/>
      <c r="BWX410" s="172"/>
      <c r="BWY410" s="172"/>
      <c r="BWZ410" s="172"/>
      <c r="BXA410" s="172"/>
      <c r="BXB410" s="172"/>
      <c r="BXC410" s="172"/>
      <c r="BXD410" s="172"/>
      <c r="BXE410" s="172"/>
      <c r="BXF410" s="172"/>
      <c r="BXG410" s="172"/>
      <c r="BXH410" s="172"/>
      <c r="BXI410" s="172"/>
      <c r="BXJ410" s="172"/>
      <c r="BXK410" s="172"/>
      <c r="BXL410" s="172"/>
      <c r="BXM410" s="172"/>
      <c r="BXN410" s="172"/>
      <c r="BXO410" s="172"/>
      <c r="BXP410" s="172"/>
      <c r="BXQ410" s="172"/>
      <c r="BXR410" s="172"/>
      <c r="BXS410" s="172"/>
      <c r="BXT410" s="172"/>
      <c r="BXU410" s="172"/>
      <c r="BXV410" s="172"/>
      <c r="BXW410" s="172"/>
      <c r="BXX410" s="172"/>
      <c r="BXY410" s="172"/>
      <c r="BXZ410" s="172"/>
      <c r="BYA410" s="172"/>
      <c r="BYB410" s="172"/>
      <c r="BYC410" s="172"/>
      <c r="BYD410" s="172"/>
      <c r="BYE410" s="172"/>
      <c r="BYF410" s="172"/>
      <c r="BYG410" s="172"/>
      <c r="BYH410" s="172"/>
      <c r="BYI410" s="172"/>
      <c r="BYJ410" s="172"/>
      <c r="BYK410" s="172"/>
      <c r="BYL410" s="172"/>
      <c r="BYM410" s="172"/>
      <c r="BYN410" s="172"/>
      <c r="BYO410" s="172"/>
      <c r="BYP410" s="172"/>
      <c r="BYQ410" s="172"/>
      <c r="BYR410" s="172"/>
      <c r="BYS410" s="172"/>
      <c r="BYT410" s="172"/>
      <c r="BYU410" s="172"/>
      <c r="BYV410" s="172"/>
      <c r="BYW410" s="172"/>
      <c r="BYX410" s="172"/>
      <c r="BYY410" s="172"/>
      <c r="BYZ410" s="172"/>
      <c r="BZA410" s="172"/>
      <c r="BZB410" s="172"/>
      <c r="BZC410" s="172"/>
      <c r="BZD410" s="172"/>
      <c r="BZE410" s="172"/>
      <c r="BZF410" s="172"/>
      <c r="BZG410" s="172"/>
      <c r="BZH410" s="172"/>
      <c r="BZI410" s="172"/>
      <c r="BZJ410" s="172"/>
      <c r="BZK410" s="172"/>
      <c r="BZL410" s="172"/>
      <c r="BZM410" s="172"/>
      <c r="BZN410" s="172"/>
      <c r="BZO410" s="172"/>
      <c r="BZP410" s="172"/>
      <c r="BZQ410" s="172"/>
      <c r="BZR410" s="172"/>
      <c r="BZS410" s="172"/>
      <c r="BZT410" s="172"/>
      <c r="BZU410" s="172"/>
      <c r="BZV410" s="172"/>
      <c r="BZW410" s="172"/>
      <c r="BZX410" s="172"/>
      <c r="BZY410" s="172"/>
      <c r="BZZ410" s="172"/>
      <c r="CAA410" s="172"/>
      <c r="CAB410" s="172"/>
      <c r="CAC410" s="172"/>
      <c r="CAD410" s="172"/>
      <c r="CAE410" s="172"/>
      <c r="CAF410" s="172"/>
      <c r="CAG410" s="172"/>
      <c r="CAH410" s="172"/>
      <c r="CAI410" s="172"/>
      <c r="CAJ410" s="172"/>
      <c r="CAK410" s="172"/>
      <c r="CAL410" s="172"/>
      <c r="CAM410" s="172"/>
      <c r="CAN410" s="172"/>
      <c r="CAO410" s="172"/>
      <c r="CAP410" s="172"/>
      <c r="CAQ410" s="172"/>
      <c r="CAR410" s="172"/>
      <c r="CAS410" s="172"/>
      <c r="CAT410" s="172"/>
      <c r="CAU410" s="172"/>
      <c r="CAV410" s="172"/>
      <c r="CAW410" s="172"/>
      <c r="CAX410" s="172"/>
      <c r="CAY410" s="172"/>
      <c r="CAZ410" s="172"/>
      <c r="CBA410" s="172"/>
      <c r="CBB410" s="172"/>
      <c r="CBC410" s="172"/>
      <c r="CBD410" s="172"/>
      <c r="CBE410" s="172"/>
      <c r="CBF410" s="172"/>
      <c r="CBG410" s="172"/>
      <c r="CBH410" s="172"/>
      <c r="CBI410" s="172"/>
      <c r="CBJ410" s="172"/>
      <c r="CBK410" s="172"/>
      <c r="CBL410" s="172"/>
      <c r="CBM410" s="172"/>
      <c r="CBN410" s="172"/>
      <c r="CBO410" s="172"/>
      <c r="CBP410" s="172"/>
      <c r="CBQ410" s="172"/>
      <c r="CBR410" s="172"/>
      <c r="CBS410" s="172"/>
      <c r="CBT410" s="172"/>
      <c r="CBU410" s="172"/>
      <c r="CBV410" s="172"/>
      <c r="CBW410" s="172"/>
      <c r="CBX410" s="172"/>
      <c r="CBY410" s="172"/>
      <c r="CBZ410" s="172"/>
      <c r="CCA410" s="172"/>
      <c r="CCB410" s="172"/>
      <c r="CCC410" s="172"/>
      <c r="CCD410" s="172"/>
      <c r="CCE410" s="172"/>
      <c r="CCF410" s="172"/>
      <c r="CCG410" s="172"/>
      <c r="CCH410" s="172"/>
      <c r="CCI410" s="172"/>
      <c r="CCJ410" s="172"/>
      <c r="CCK410" s="172"/>
      <c r="CCL410" s="172"/>
      <c r="CCM410" s="172"/>
      <c r="CCN410" s="172"/>
      <c r="CCO410" s="172"/>
      <c r="CCP410" s="172"/>
      <c r="CCQ410" s="172"/>
      <c r="CCR410" s="172"/>
      <c r="CCS410" s="172"/>
      <c r="CCT410" s="172"/>
      <c r="CCU410" s="172"/>
      <c r="CCV410" s="172"/>
      <c r="CCW410" s="172"/>
      <c r="CCX410" s="172"/>
      <c r="CCY410" s="172"/>
      <c r="CCZ410" s="172"/>
      <c r="CDA410" s="172"/>
      <c r="CDB410" s="172"/>
      <c r="CDC410" s="172"/>
      <c r="CDD410" s="172"/>
      <c r="CDE410" s="172"/>
      <c r="CDF410" s="172"/>
      <c r="CDG410" s="172"/>
      <c r="CDH410" s="172"/>
      <c r="CDI410" s="172"/>
      <c r="CDJ410" s="172"/>
      <c r="CDK410" s="172"/>
      <c r="CDL410" s="172"/>
      <c r="CDM410" s="172"/>
      <c r="CDN410" s="172"/>
      <c r="CDO410" s="172"/>
      <c r="CDP410" s="172"/>
      <c r="CDQ410" s="172"/>
      <c r="CDR410" s="172"/>
      <c r="CDS410" s="172"/>
      <c r="CDT410" s="172"/>
      <c r="CDU410" s="172"/>
      <c r="CDV410" s="172"/>
      <c r="CDW410" s="172"/>
      <c r="CDX410" s="172"/>
      <c r="CDY410" s="172"/>
      <c r="CDZ410" s="172"/>
      <c r="CEA410" s="172"/>
      <c r="CEB410" s="172"/>
      <c r="CEC410" s="172"/>
      <c r="CED410" s="172"/>
      <c r="CEE410" s="172"/>
      <c r="CEF410" s="172"/>
      <c r="CEG410" s="172"/>
      <c r="CEH410" s="172"/>
      <c r="CEI410" s="172"/>
      <c r="CEJ410" s="172"/>
      <c r="CEK410" s="172"/>
      <c r="CEL410" s="172"/>
      <c r="CEM410" s="172"/>
      <c r="CEN410" s="172"/>
      <c r="CEO410" s="172"/>
      <c r="CEP410" s="172"/>
      <c r="CEQ410" s="172"/>
      <c r="CER410" s="172"/>
      <c r="CES410" s="172"/>
      <c r="CET410" s="172"/>
      <c r="CEU410" s="172"/>
      <c r="CEV410" s="172"/>
      <c r="CEW410" s="172"/>
      <c r="CEX410" s="172"/>
      <c r="CEY410" s="172"/>
      <c r="CEZ410" s="172"/>
      <c r="CFA410" s="172"/>
      <c r="CFB410" s="172"/>
      <c r="CFC410" s="172"/>
      <c r="CFD410" s="172"/>
      <c r="CFE410" s="172"/>
      <c r="CFF410" s="172"/>
      <c r="CFG410" s="172"/>
      <c r="CFH410" s="172"/>
      <c r="CFI410" s="172"/>
      <c r="CFJ410" s="172"/>
      <c r="CFK410" s="172"/>
      <c r="CFL410" s="172"/>
      <c r="CFM410" s="172"/>
      <c r="CFN410" s="172"/>
      <c r="CFO410" s="172"/>
      <c r="CFP410" s="172"/>
      <c r="CFQ410" s="172"/>
      <c r="CFR410" s="172"/>
      <c r="CFS410" s="172"/>
      <c r="CFT410" s="172"/>
      <c r="CFU410" s="172"/>
      <c r="CFV410" s="172"/>
      <c r="CFW410" s="172"/>
      <c r="CFX410" s="172"/>
      <c r="CFY410" s="172"/>
      <c r="CFZ410" s="172"/>
      <c r="CGA410" s="172"/>
      <c r="CGB410" s="172"/>
      <c r="CGC410" s="172"/>
      <c r="CGD410" s="172"/>
      <c r="CGE410" s="172"/>
      <c r="CGF410" s="172"/>
      <c r="CGG410" s="172"/>
      <c r="CGH410" s="172"/>
      <c r="CGI410" s="172"/>
      <c r="CGJ410" s="172"/>
      <c r="CGK410" s="172"/>
      <c r="CGL410" s="172"/>
      <c r="CGM410" s="172"/>
      <c r="CGN410" s="172"/>
      <c r="CGO410" s="172"/>
      <c r="CGP410" s="172"/>
      <c r="CGQ410" s="172"/>
      <c r="CGR410" s="172"/>
      <c r="CGS410" s="172"/>
      <c r="CGT410" s="172"/>
      <c r="CGU410" s="172"/>
      <c r="CGV410" s="172"/>
      <c r="CGW410" s="172"/>
      <c r="CGX410" s="172"/>
      <c r="CGY410" s="172"/>
      <c r="CGZ410" s="172"/>
      <c r="CHA410" s="172"/>
      <c r="CHB410" s="172"/>
      <c r="CHC410" s="172"/>
      <c r="CHD410" s="172"/>
      <c r="CHE410" s="172"/>
      <c r="CHF410" s="172"/>
      <c r="CHG410" s="172"/>
      <c r="CHH410" s="172"/>
      <c r="CHI410" s="172"/>
      <c r="CHJ410" s="172"/>
      <c r="CHK410" s="172"/>
      <c r="CHL410" s="172"/>
      <c r="CHM410" s="172"/>
      <c r="CHN410" s="172"/>
      <c r="CHO410" s="172"/>
      <c r="CHP410" s="172"/>
      <c r="CHQ410" s="172"/>
      <c r="CHR410" s="172"/>
      <c r="CHS410" s="172"/>
      <c r="CHT410" s="172"/>
      <c r="CHU410" s="172"/>
      <c r="CHV410" s="172"/>
      <c r="CHW410" s="172"/>
      <c r="CHX410" s="172"/>
      <c r="CHY410" s="172"/>
      <c r="CHZ410" s="172"/>
      <c r="CIA410" s="172"/>
      <c r="CIB410" s="172"/>
      <c r="CIC410" s="172"/>
      <c r="CID410" s="172"/>
      <c r="CIE410" s="172"/>
      <c r="CIF410" s="172"/>
      <c r="CIG410" s="172"/>
      <c r="CIH410" s="172"/>
      <c r="CII410" s="172"/>
      <c r="CIJ410" s="172"/>
      <c r="CIK410" s="172"/>
      <c r="CIL410" s="172"/>
      <c r="CIM410" s="172"/>
      <c r="CIN410" s="172"/>
      <c r="CIO410" s="172"/>
      <c r="CIP410" s="172"/>
      <c r="CIQ410" s="172"/>
      <c r="CIR410" s="172"/>
      <c r="CIS410" s="172"/>
      <c r="CIT410" s="172"/>
      <c r="CIU410" s="172"/>
      <c r="CIV410" s="172"/>
      <c r="CIW410" s="172"/>
      <c r="CIX410" s="172"/>
      <c r="CIY410" s="172"/>
      <c r="CIZ410" s="172"/>
      <c r="CJA410" s="172"/>
      <c r="CJB410" s="172"/>
      <c r="CJC410" s="172"/>
      <c r="CJD410" s="172"/>
      <c r="CJE410" s="172"/>
      <c r="CJF410" s="172"/>
      <c r="CJG410" s="172"/>
      <c r="CJH410" s="172"/>
      <c r="CJI410" s="172"/>
      <c r="CJJ410" s="172"/>
      <c r="CJK410" s="172"/>
      <c r="CJL410" s="172"/>
      <c r="CJM410" s="172"/>
      <c r="CJN410" s="172"/>
      <c r="CJO410" s="172"/>
      <c r="CJP410" s="172"/>
      <c r="CJQ410" s="172"/>
      <c r="CJR410" s="172"/>
      <c r="CJS410" s="172"/>
      <c r="CJT410" s="172"/>
      <c r="CJU410" s="172"/>
      <c r="CJV410" s="172"/>
      <c r="CJW410" s="172"/>
      <c r="CJX410" s="172"/>
      <c r="CJY410" s="172"/>
      <c r="CJZ410" s="172"/>
      <c r="CKA410" s="172"/>
      <c r="CKB410" s="172"/>
      <c r="CKC410" s="172"/>
      <c r="CKD410" s="172"/>
      <c r="CKE410" s="172"/>
      <c r="CKF410" s="172"/>
      <c r="CKG410" s="172"/>
      <c r="CKH410" s="172"/>
      <c r="CKI410" s="172"/>
      <c r="CKJ410" s="172"/>
      <c r="CKK410" s="172"/>
      <c r="CKL410" s="172"/>
      <c r="CKM410" s="172"/>
      <c r="CKN410" s="172"/>
      <c r="CKO410" s="172"/>
      <c r="CKP410" s="172"/>
      <c r="CKQ410" s="172"/>
      <c r="CKR410" s="172"/>
      <c r="CKS410" s="172"/>
      <c r="CKT410" s="172"/>
      <c r="CKU410" s="172"/>
      <c r="CKV410" s="172"/>
      <c r="CKW410" s="172"/>
      <c r="CKX410" s="172"/>
      <c r="CKY410" s="172"/>
      <c r="CKZ410" s="172"/>
      <c r="CLA410" s="172"/>
      <c r="CLB410" s="172"/>
      <c r="CLC410" s="172"/>
      <c r="CLD410" s="172"/>
      <c r="CLE410" s="172"/>
      <c r="CLF410" s="172"/>
      <c r="CLG410" s="172"/>
      <c r="CLH410" s="172"/>
      <c r="CLI410" s="172"/>
      <c r="CLJ410" s="172"/>
      <c r="CLK410" s="172"/>
      <c r="CLL410" s="172"/>
      <c r="CLM410" s="172"/>
      <c r="CLN410" s="172"/>
      <c r="CLO410" s="172"/>
      <c r="CLP410" s="172"/>
      <c r="CLQ410" s="172"/>
      <c r="CLR410" s="172"/>
      <c r="CLS410" s="172"/>
      <c r="CLT410" s="172"/>
      <c r="CLU410" s="172"/>
      <c r="CLV410" s="172"/>
      <c r="CLW410" s="172"/>
      <c r="CLX410" s="172"/>
      <c r="CLY410" s="172"/>
      <c r="CLZ410" s="172"/>
      <c r="CMA410" s="172"/>
      <c r="CMB410" s="172"/>
      <c r="CMC410" s="172"/>
      <c r="CMD410" s="172"/>
      <c r="CME410" s="172"/>
      <c r="CMF410" s="172"/>
      <c r="CMG410" s="172"/>
      <c r="CMH410" s="172"/>
      <c r="CMI410" s="172"/>
      <c r="CMJ410" s="172"/>
      <c r="CMK410" s="172"/>
      <c r="CML410" s="172"/>
      <c r="CMM410" s="172"/>
      <c r="CMN410" s="172"/>
      <c r="CMO410" s="172"/>
      <c r="CMP410" s="172"/>
      <c r="CMQ410" s="172"/>
      <c r="CMR410" s="172"/>
      <c r="CMS410" s="172"/>
      <c r="CMT410" s="172"/>
      <c r="CMU410" s="172"/>
      <c r="CMV410" s="172"/>
      <c r="CMW410" s="172"/>
      <c r="CMX410" s="172"/>
      <c r="CMY410" s="172"/>
      <c r="CMZ410" s="172"/>
      <c r="CNA410" s="172"/>
      <c r="CNB410" s="172"/>
      <c r="CNC410" s="172"/>
      <c r="CND410" s="172"/>
      <c r="CNE410" s="172"/>
      <c r="CNF410" s="172"/>
      <c r="CNG410" s="172"/>
      <c r="CNH410" s="172"/>
      <c r="CNI410" s="172"/>
      <c r="CNJ410" s="172"/>
      <c r="CNK410" s="172"/>
      <c r="CNL410" s="172"/>
      <c r="CNM410" s="172"/>
      <c r="CNN410" s="172"/>
      <c r="CNO410" s="172"/>
      <c r="CNP410" s="172"/>
      <c r="CNQ410" s="172"/>
      <c r="CNR410" s="172"/>
      <c r="CNS410" s="172"/>
      <c r="CNT410" s="172"/>
      <c r="CNU410" s="172"/>
      <c r="CNV410" s="172"/>
      <c r="CNW410" s="172"/>
      <c r="CNX410" s="172"/>
      <c r="CNY410" s="172"/>
      <c r="CNZ410" s="172"/>
      <c r="COA410" s="172"/>
      <c r="COB410" s="172"/>
      <c r="COC410" s="172"/>
      <c r="COD410" s="172"/>
      <c r="COE410" s="172"/>
      <c r="COF410" s="172"/>
      <c r="COG410" s="172"/>
      <c r="COH410" s="172"/>
      <c r="COI410" s="172"/>
      <c r="COJ410" s="172"/>
      <c r="COK410" s="172"/>
      <c r="COL410" s="172"/>
      <c r="COM410" s="172"/>
      <c r="CON410" s="172"/>
      <c r="COO410" s="172"/>
      <c r="COP410" s="172"/>
      <c r="COQ410" s="172"/>
      <c r="COR410" s="172"/>
      <c r="COS410" s="172"/>
      <c r="COT410" s="172"/>
      <c r="COU410" s="172"/>
      <c r="COV410" s="172"/>
      <c r="COW410" s="172"/>
      <c r="COX410" s="172"/>
      <c r="COY410" s="172"/>
      <c r="COZ410" s="172"/>
      <c r="CPA410" s="172"/>
      <c r="CPB410" s="172"/>
      <c r="CPC410" s="172"/>
      <c r="CPD410" s="172"/>
      <c r="CPE410" s="172"/>
      <c r="CPF410" s="172"/>
      <c r="CPG410" s="172"/>
      <c r="CPH410" s="172"/>
      <c r="CPI410" s="172"/>
      <c r="CPJ410" s="172"/>
      <c r="CPK410" s="172"/>
      <c r="CPL410" s="172"/>
      <c r="CPM410" s="172"/>
      <c r="CPN410" s="172"/>
      <c r="CPO410" s="172"/>
      <c r="CPP410" s="172"/>
      <c r="CPQ410" s="172"/>
      <c r="CPR410" s="172"/>
      <c r="CPS410" s="172"/>
      <c r="CPT410" s="172"/>
      <c r="CPU410" s="172"/>
      <c r="CPV410" s="172"/>
      <c r="CPW410" s="172"/>
      <c r="CPX410" s="172"/>
      <c r="CPY410" s="172"/>
      <c r="CPZ410" s="172"/>
      <c r="CQA410" s="172"/>
      <c r="CQB410" s="172"/>
      <c r="CQC410" s="172"/>
      <c r="CQD410" s="172"/>
      <c r="CQE410" s="172"/>
      <c r="CQF410" s="172"/>
      <c r="CQG410" s="172"/>
      <c r="CQH410" s="172"/>
      <c r="CQI410" s="172"/>
      <c r="CQJ410" s="172"/>
      <c r="CQK410" s="172"/>
      <c r="CQL410" s="172"/>
      <c r="CQM410" s="172"/>
      <c r="CQN410" s="172"/>
      <c r="CQO410" s="172"/>
      <c r="CQP410" s="172"/>
      <c r="CQQ410" s="172"/>
      <c r="CQR410" s="172"/>
      <c r="CQS410" s="172"/>
      <c r="CQT410" s="172"/>
      <c r="CQU410" s="172"/>
      <c r="CQV410" s="172"/>
      <c r="CQW410" s="172"/>
      <c r="CQX410" s="172"/>
      <c r="CQY410" s="172"/>
      <c r="CQZ410" s="172"/>
      <c r="CRA410" s="172"/>
      <c r="CRB410" s="172"/>
      <c r="CRC410" s="172"/>
      <c r="CRD410" s="172"/>
      <c r="CRE410" s="172"/>
      <c r="CRF410" s="172"/>
      <c r="CRG410" s="172"/>
      <c r="CRH410" s="172"/>
      <c r="CRI410" s="172"/>
      <c r="CRJ410" s="172"/>
      <c r="CRK410" s="172"/>
      <c r="CRL410" s="172"/>
      <c r="CRM410" s="172"/>
      <c r="CRN410" s="172"/>
      <c r="CRO410" s="172"/>
      <c r="CRP410" s="172"/>
      <c r="CRQ410" s="172"/>
      <c r="CRR410" s="172"/>
      <c r="CRS410" s="172"/>
      <c r="CRT410" s="172"/>
      <c r="CRU410" s="172"/>
      <c r="CRV410" s="172"/>
      <c r="CRW410" s="172"/>
      <c r="CRX410" s="172"/>
      <c r="CRY410" s="172"/>
      <c r="CRZ410" s="172"/>
      <c r="CSA410" s="172"/>
      <c r="CSB410" s="172"/>
      <c r="CSC410" s="172"/>
      <c r="CSD410" s="172"/>
      <c r="CSE410" s="172"/>
      <c r="CSF410" s="172"/>
      <c r="CSG410" s="172"/>
      <c r="CSH410" s="172"/>
      <c r="CSI410" s="172"/>
      <c r="CSJ410" s="172"/>
      <c r="CSK410" s="172"/>
      <c r="CSL410" s="172"/>
      <c r="CSM410" s="172"/>
      <c r="CSN410" s="172"/>
      <c r="CSO410" s="172"/>
      <c r="CSP410" s="172"/>
      <c r="CSQ410" s="172"/>
      <c r="CSR410" s="172"/>
      <c r="CSS410" s="172"/>
      <c r="CST410" s="172"/>
      <c r="CSU410" s="172"/>
      <c r="CSV410" s="172"/>
      <c r="CSW410" s="172"/>
      <c r="CSX410" s="172"/>
      <c r="CSY410" s="172"/>
      <c r="CSZ410" s="172"/>
      <c r="CTA410" s="172"/>
      <c r="CTB410" s="172"/>
      <c r="CTC410" s="172"/>
      <c r="CTD410" s="172"/>
      <c r="CTE410" s="172"/>
      <c r="CTF410" s="172"/>
      <c r="CTG410" s="172"/>
      <c r="CTH410" s="172"/>
      <c r="CTI410" s="172"/>
      <c r="CTJ410" s="172"/>
      <c r="CTK410" s="172"/>
      <c r="CTL410" s="172"/>
      <c r="CTM410" s="172"/>
      <c r="CTN410" s="172"/>
      <c r="CTO410" s="172"/>
      <c r="CTP410" s="172"/>
      <c r="CTQ410" s="172"/>
      <c r="CTR410" s="172"/>
      <c r="CTS410" s="172"/>
      <c r="CTT410" s="172"/>
      <c r="CTU410" s="172"/>
      <c r="CTV410" s="172"/>
      <c r="CTW410" s="172"/>
      <c r="CTX410" s="172"/>
      <c r="CTY410" s="172"/>
      <c r="CTZ410" s="172"/>
      <c r="CUA410" s="172"/>
      <c r="CUB410" s="172"/>
      <c r="CUC410" s="172"/>
      <c r="CUD410" s="172"/>
      <c r="CUE410" s="172"/>
      <c r="CUF410" s="172"/>
      <c r="CUG410" s="172"/>
      <c r="CUH410" s="172"/>
      <c r="CUI410" s="172"/>
      <c r="CUJ410" s="172"/>
      <c r="CUK410" s="172"/>
      <c r="CUL410" s="172"/>
      <c r="CUM410" s="172"/>
      <c r="CUN410" s="172"/>
      <c r="CUO410" s="172"/>
      <c r="CUP410" s="172"/>
      <c r="CUQ410" s="172"/>
      <c r="CUR410" s="172"/>
      <c r="CUS410" s="172"/>
      <c r="CUT410" s="172"/>
      <c r="CUU410" s="172"/>
      <c r="CUV410" s="172"/>
      <c r="CUW410" s="172"/>
      <c r="CUX410" s="172"/>
      <c r="CUY410" s="172"/>
      <c r="CUZ410" s="172"/>
      <c r="CVA410" s="172"/>
      <c r="CVB410" s="172"/>
      <c r="CVC410" s="172"/>
      <c r="CVD410" s="172"/>
      <c r="CVE410" s="172"/>
      <c r="CVF410" s="172"/>
      <c r="CVG410" s="172"/>
      <c r="CVH410" s="172"/>
      <c r="CVI410" s="172"/>
      <c r="CVJ410" s="172"/>
      <c r="CVK410" s="172"/>
      <c r="CVL410" s="172"/>
      <c r="CVM410" s="172"/>
      <c r="CVN410" s="172"/>
      <c r="CVO410" s="172"/>
      <c r="CVP410" s="172"/>
      <c r="CVQ410" s="172"/>
      <c r="CVR410" s="172"/>
      <c r="CVS410" s="172"/>
      <c r="CVT410" s="172"/>
      <c r="CVU410" s="172"/>
      <c r="CVV410" s="172"/>
      <c r="CVW410" s="172"/>
      <c r="CVX410" s="172"/>
      <c r="CVY410" s="172"/>
      <c r="CVZ410" s="172"/>
      <c r="CWA410" s="172"/>
      <c r="CWB410" s="172"/>
      <c r="CWC410" s="172"/>
      <c r="CWD410" s="172"/>
      <c r="CWE410" s="172"/>
      <c r="CWF410" s="172"/>
      <c r="CWG410" s="172"/>
      <c r="CWH410" s="172"/>
      <c r="CWI410" s="172"/>
      <c r="CWJ410" s="172"/>
      <c r="CWK410" s="172"/>
      <c r="CWL410" s="172"/>
      <c r="CWM410" s="172"/>
      <c r="CWN410" s="172"/>
      <c r="CWO410" s="172"/>
      <c r="CWP410" s="172"/>
      <c r="CWQ410" s="172"/>
      <c r="CWR410" s="172"/>
      <c r="CWS410" s="172"/>
      <c r="CWT410" s="172"/>
      <c r="CWU410" s="172"/>
      <c r="CWV410" s="172"/>
      <c r="CWW410" s="172"/>
      <c r="CWX410" s="172"/>
      <c r="CWY410" s="172"/>
      <c r="CWZ410" s="172"/>
      <c r="CXA410" s="172"/>
      <c r="CXB410" s="172"/>
      <c r="CXC410" s="172"/>
      <c r="CXD410" s="172"/>
      <c r="CXE410" s="172"/>
      <c r="CXF410" s="172"/>
      <c r="CXG410" s="172"/>
      <c r="CXH410" s="172"/>
      <c r="CXI410" s="172"/>
      <c r="CXJ410" s="172"/>
      <c r="CXK410" s="172"/>
      <c r="CXL410" s="172"/>
      <c r="CXM410" s="172"/>
      <c r="CXN410" s="172"/>
      <c r="CXO410" s="172"/>
      <c r="CXP410" s="172"/>
      <c r="CXQ410" s="172"/>
      <c r="CXR410" s="172"/>
      <c r="CXS410" s="172"/>
      <c r="CXT410" s="172"/>
      <c r="CXU410" s="172"/>
      <c r="CXV410" s="172"/>
      <c r="CXW410" s="172"/>
      <c r="CXX410" s="172"/>
      <c r="CXY410" s="172"/>
      <c r="CXZ410" s="172"/>
      <c r="CYA410" s="172"/>
      <c r="CYB410" s="172"/>
      <c r="CYC410" s="172"/>
      <c r="CYD410" s="172"/>
      <c r="CYE410" s="172"/>
      <c r="CYF410" s="172"/>
      <c r="CYG410" s="172"/>
      <c r="CYH410" s="172"/>
      <c r="CYI410" s="172"/>
      <c r="CYJ410" s="172"/>
      <c r="CYK410" s="172"/>
      <c r="CYL410" s="172"/>
      <c r="CYM410" s="172"/>
      <c r="CYN410" s="172"/>
      <c r="CYO410" s="172"/>
      <c r="CYP410" s="172"/>
      <c r="CYQ410" s="172"/>
      <c r="CYR410" s="172"/>
      <c r="CYS410" s="172"/>
      <c r="CYT410" s="172"/>
      <c r="CYU410" s="172"/>
      <c r="CYV410" s="172"/>
      <c r="CYW410" s="172"/>
      <c r="CYX410" s="172"/>
      <c r="CYY410" s="172"/>
      <c r="CYZ410" s="172"/>
      <c r="CZA410" s="172"/>
      <c r="CZB410" s="172"/>
      <c r="CZC410" s="172"/>
      <c r="CZD410" s="172"/>
      <c r="CZE410" s="172"/>
      <c r="CZF410" s="172"/>
      <c r="CZG410" s="172"/>
      <c r="CZH410" s="172"/>
      <c r="CZI410" s="172"/>
      <c r="CZJ410" s="172"/>
      <c r="CZK410" s="172"/>
      <c r="CZL410" s="172"/>
      <c r="CZM410" s="172"/>
      <c r="CZN410" s="172"/>
      <c r="CZO410" s="172"/>
      <c r="CZP410" s="172"/>
      <c r="CZQ410" s="172"/>
      <c r="CZR410" s="172"/>
      <c r="CZS410" s="172"/>
      <c r="CZT410" s="172"/>
      <c r="CZU410" s="172"/>
      <c r="CZV410" s="172"/>
      <c r="CZW410" s="172"/>
      <c r="CZX410" s="172"/>
      <c r="CZY410" s="172"/>
      <c r="CZZ410" s="172"/>
      <c r="DAA410" s="172"/>
      <c r="DAB410" s="172"/>
      <c r="DAC410" s="172"/>
      <c r="DAD410" s="172"/>
      <c r="DAE410" s="172"/>
      <c r="DAF410" s="172"/>
      <c r="DAG410" s="172"/>
      <c r="DAH410" s="172"/>
      <c r="DAI410" s="172"/>
      <c r="DAJ410" s="172"/>
      <c r="DAK410" s="172"/>
      <c r="DAL410" s="172"/>
      <c r="DAM410" s="172"/>
      <c r="DAN410" s="172"/>
      <c r="DAO410" s="172"/>
      <c r="DAP410" s="172"/>
      <c r="DAQ410" s="172"/>
      <c r="DAR410" s="172"/>
      <c r="DAS410" s="172"/>
      <c r="DAT410" s="172"/>
      <c r="DAU410" s="172"/>
      <c r="DAV410" s="172"/>
      <c r="DAW410" s="172"/>
      <c r="DAX410" s="172"/>
      <c r="DAY410" s="172"/>
      <c r="DAZ410" s="172"/>
      <c r="DBA410" s="172"/>
      <c r="DBB410" s="172"/>
      <c r="DBC410" s="172"/>
      <c r="DBD410" s="172"/>
      <c r="DBE410" s="172"/>
      <c r="DBF410" s="172"/>
      <c r="DBG410" s="172"/>
      <c r="DBH410" s="172"/>
      <c r="DBI410" s="172"/>
      <c r="DBJ410" s="172"/>
      <c r="DBK410" s="172"/>
      <c r="DBL410" s="172"/>
      <c r="DBM410" s="172"/>
      <c r="DBN410" s="172"/>
      <c r="DBO410" s="172"/>
      <c r="DBP410" s="172"/>
      <c r="DBQ410" s="172"/>
      <c r="DBR410" s="172"/>
      <c r="DBS410" s="172"/>
      <c r="DBT410" s="172"/>
      <c r="DBU410" s="172"/>
      <c r="DBV410" s="172"/>
      <c r="DBW410" s="172"/>
      <c r="DBX410" s="172"/>
      <c r="DBY410" s="172"/>
      <c r="DBZ410" s="172"/>
      <c r="DCA410" s="172"/>
      <c r="DCB410" s="172"/>
      <c r="DCC410" s="172"/>
      <c r="DCD410" s="172"/>
      <c r="DCE410" s="172"/>
      <c r="DCF410" s="172"/>
      <c r="DCG410" s="172"/>
      <c r="DCH410" s="172"/>
      <c r="DCI410" s="172"/>
      <c r="DCJ410" s="172"/>
      <c r="DCK410" s="172"/>
      <c r="DCL410" s="172"/>
      <c r="DCM410" s="172"/>
      <c r="DCN410" s="172"/>
      <c r="DCO410" s="172"/>
      <c r="DCP410" s="172"/>
      <c r="DCQ410" s="172"/>
      <c r="DCR410" s="172"/>
      <c r="DCS410" s="172"/>
      <c r="DCT410" s="172"/>
      <c r="DCU410" s="172"/>
      <c r="DCV410" s="172"/>
      <c r="DCW410" s="172"/>
      <c r="DCX410" s="172"/>
      <c r="DCY410" s="172"/>
      <c r="DCZ410" s="172"/>
      <c r="DDA410" s="172"/>
      <c r="DDB410" s="172"/>
      <c r="DDC410" s="172"/>
      <c r="DDD410" s="172"/>
      <c r="DDE410" s="172"/>
      <c r="DDF410" s="172"/>
      <c r="DDG410" s="172"/>
      <c r="DDH410" s="172"/>
      <c r="DDI410" s="172"/>
      <c r="DDJ410" s="172"/>
      <c r="DDK410" s="172"/>
      <c r="DDL410" s="172"/>
      <c r="DDM410" s="172"/>
      <c r="DDN410" s="172"/>
      <c r="DDO410" s="172"/>
      <c r="DDP410" s="172"/>
      <c r="DDQ410" s="172"/>
      <c r="DDR410" s="172"/>
      <c r="DDS410" s="172"/>
      <c r="DDT410" s="172"/>
      <c r="DDU410" s="172"/>
      <c r="DDV410" s="172"/>
      <c r="DDW410" s="172"/>
      <c r="DDX410" s="172"/>
      <c r="DDY410" s="172"/>
      <c r="DDZ410" s="172"/>
      <c r="DEA410" s="172"/>
      <c r="DEB410" s="172"/>
      <c r="DEC410" s="172"/>
      <c r="DED410" s="172"/>
      <c r="DEE410" s="172"/>
      <c r="DEF410" s="172"/>
      <c r="DEG410" s="172"/>
      <c r="DEH410" s="172"/>
      <c r="DEI410" s="172"/>
      <c r="DEJ410" s="172"/>
      <c r="DEK410" s="172"/>
      <c r="DEL410" s="172"/>
      <c r="DEM410" s="172"/>
      <c r="DEN410" s="172"/>
      <c r="DEO410" s="172"/>
      <c r="DEP410" s="172"/>
      <c r="DEQ410" s="172"/>
      <c r="DER410" s="172"/>
      <c r="DES410" s="172"/>
      <c r="DET410" s="172"/>
      <c r="DEU410" s="172"/>
      <c r="DEV410" s="172"/>
      <c r="DEW410" s="172"/>
      <c r="DEX410" s="172"/>
      <c r="DEY410" s="172"/>
      <c r="DEZ410" s="172"/>
      <c r="DFA410" s="172"/>
      <c r="DFB410" s="172"/>
      <c r="DFC410" s="172"/>
      <c r="DFD410" s="172"/>
      <c r="DFE410" s="172"/>
      <c r="DFF410" s="172"/>
      <c r="DFG410" s="172"/>
      <c r="DFH410" s="172"/>
      <c r="DFI410" s="172"/>
      <c r="DFJ410" s="172"/>
      <c r="DFK410" s="172"/>
      <c r="DFL410" s="172"/>
      <c r="DFM410" s="172"/>
      <c r="DFN410" s="172"/>
      <c r="DFO410" s="172"/>
      <c r="DFP410" s="172"/>
      <c r="DFQ410" s="172"/>
      <c r="DFR410" s="172"/>
      <c r="DFS410" s="172"/>
      <c r="DFT410" s="172"/>
      <c r="DFU410" s="172"/>
      <c r="DFV410" s="172"/>
      <c r="DFW410" s="172"/>
      <c r="DFX410" s="172"/>
      <c r="DFY410" s="172"/>
      <c r="DFZ410" s="172"/>
      <c r="DGA410" s="172"/>
      <c r="DGB410" s="172"/>
      <c r="DGC410" s="172"/>
      <c r="DGD410" s="172"/>
      <c r="DGE410" s="172"/>
      <c r="DGF410" s="172"/>
      <c r="DGG410" s="172"/>
      <c r="DGH410" s="172"/>
      <c r="DGI410" s="172"/>
      <c r="DGJ410" s="172"/>
      <c r="DGK410" s="172"/>
      <c r="DGL410" s="172"/>
      <c r="DGM410" s="172"/>
      <c r="DGN410" s="172"/>
      <c r="DGO410" s="172"/>
      <c r="DGP410" s="172"/>
      <c r="DGQ410" s="172"/>
      <c r="DGR410" s="172"/>
      <c r="DGS410" s="172"/>
      <c r="DGT410" s="172"/>
      <c r="DGU410" s="172"/>
      <c r="DGV410" s="172"/>
      <c r="DGW410" s="172"/>
      <c r="DGX410" s="172"/>
      <c r="DGY410" s="172"/>
      <c r="DGZ410" s="172"/>
      <c r="DHA410" s="172"/>
      <c r="DHB410" s="172"/>
      <c r="DHC410" s="172"/>
      <c r="DHD410" s="172"/>
      <c r="DHE410" s="172"/>
      <c r="DHF410" s="172"/>
      <c r="DHG410" s="172"/>
      <c r="DHH410" s="172"/>
      <c r="DHI410" s="172"/>
      <c r="DHJ410" s="172"/>
      <c r="DHK410" s="172"/>
      <c r="DHL410" s="172"/>
      <c r="DHM410" s="172"/>
      <c r="DHN410" s="172"/>
      <c r="DHO410" s="172"/>
      <c r="DHP410" s="172"/>
      <c r="DHQ410" s="172"/>
      <c r="DHR410" s="172"/>
      <c r="DHS410" s="172"/>
      <c r="DHT410" s="172"/>
      <c r="DHU410" s="172"/>
      <c r="DHV410" s="172"/>
      <c r="DHW410" s="172"/>
      <c r="DHX410" s="172"/>
      <c r="DHY410" s="172"/>
      <c r="DHZ410" s="172"/>
      <c r="DIA410" s="172"/>
      <c r="DIB410" s="172"/>
      <c r="DIC410" s="172"/>
      <c r="DID410" s="172"/>
      <c r="DIE410" s="172"/>
      <c r="DIF410" s="172"/>
      <c r="DIG410" s="172"/>
      <c r="DIH410" s="172"/>
      <c r="DII410" s="172"/>
      <c r="DIJ410" s="172"/>
      <c r="DIK410" s="172"/>
      <c r="DIL410" s="172"/>
      <c r="DIM410" s="172"/>
      <c r="DIN410" s="172"/>
      <c r="DIO410" s="172"/>
      <c r="DIP410" s="172"/>
      <c r="DIQ410" s="172"/>
      <c r="DIR410" s="172"/>
      <c r="DIS410" s="172"/>
      <c r="DIT410" s="172"/>
      <c r="DIU410" s="172"/>
      <c r="DIV410" s="172"/>
      <c r="DIW410" s="172"/>
      <c r="DIX410" s="172"/>
      <c r="DIY410" s="172"/>
      <c r="DIZ410" s="172"/>
      <c r="DJA410" s="172"/>
      <c r="DJB410" s="172"/>
      <c r="DJC410" s="172"/>
      <c r="DJD410" s="172"/>
      <c r="DJE410" s="172"/>
      <c r="DJF410" s="172"/>
      <c r="DJG410" s="172"/>
      <c r="DJH410" s="172"/>
      <c r="DJI410" s="172"/>
      <c r="DJJ410" s="172"/>
      <c r="DJK410" s="172"/>
      <c r="DJL410" s="172"/>
      <c r="DJM410" s="172"/>
      <c r="DJN410" s="172"/>
      <c r="DJO410" s="172"/>
      <c r="DJP410" s="172"/>
      <c r="DJQ410" s="172"/>
      <c r="DJR410" s="172"/>
      <c r="DJS410" s="172"/>
      <c r="DJT410" s="172"/>
      <c r="DJU410" s="172"/>
      <c r="DJV410" s="172"/>
      <c r="DJW410" s="172"/>
      <c r="DJX410" s="172"/>
      <c r="DJY410" s="172"/>
      <c r="DJZ410" s="172"/>
      <c r="DKA410" s="172"/>
      <c r="DKB410" s="172"/>
      <c r="DKC410" s="172"/>
      <c r="DKD410" s="172"/>
      <c r="DKE410" s="172"/>
      <c r="DKF410" s="172"/>
      <c r="DKG410" s="172"/>
      <c r="DKH410" s="172"/>
      <c r="DKI410" s="172"/>
      <c r="DKJ410" s="172"/>
      <c r="DKK410" s="172"/>
      <c r="DKL410" s="172"/>
      <c r="DKM410" s="172"/>
      <c r="DKN410" s="172"/>
      <c r="DKO410" s="172"/>
      <c r="DKP410" s="172"/>
      <c r="DKQ410" s="172"/>
      <c r="DKR410" s="172"/>
      <c r="DKS410" s="172"/>
      <c r="DKT410" s="172"/>
      <c r="DKU410" s="172"/>
      <c r="DKV410" s="172"/>
      <c r="DKW410" s="172"/>
      <c r="DKX410" s="172"/>
      <c r="DKY410" s="172"/>
      <c r="DKZ410" s="172"/>
      <c r="DLA410" s="172"/>
      <c r="DLB410" s="172"/>
      <c r="DLC410" s="172"/>
      <c r="DLD410" s="172"/>
      <c r="DLE410" s="172"/>
      <c r="DLF410" s="172"/>
      <c r="DLG410" s="172"/>
      <c r="DLH410" s="172"/>
      <c r="DLI410" s="172"/>
      <c r="DLJ410" s="172"/>
      <c r="DLK410" s="172"/>
      <c r="DLL410" s="172"/>
      <c r="DLM410" s="172"/>
      <c r="DLN410" s="172"/>
      <c r="DLO410" s="172"/>
      <c r="DLP410" s="172"/>
      <c r="DLQ410" s="172"/>
      <c r="DLR410" s="172"/>
      <c r="DLS410" s="172"/>
      <c r="DLT410" s="172"/>
      <c r="DLU410" s="172"/>
      <c r="DLV410" s="172"/>
      <c r="DLW410" s="172"/>
      <c r="DLX410" s="172"/>
      <c r="DLY410" s="172"/>
      <c r="DLZ410" s="172"/>
      <c r="DMA410" s="172"/>
      <c r="DMB410" s="172"/>
      <c r="DMC410" s="172"/>
      <c r="DMD410" s="172"/>
      <c r="DME410" s="172"/>
      <c r="DMF410" s="172"/>
      <c r="DMG410" s="172"/>
      <c r="DMH410" s="172"/>
      <c r="DMI410" s="172"/>
      <c r="DMJ410" s="172"/>
      <c r="DMK410" s="172"/>
      <c r="DML410" s="172"/>
      <c r="DMM410" s="172"/>
      <c r="DMN410" s="172"/>
      <c r="DMO410" s="172"/>
      <c r="DMP410" s="172"/>
      <c r="DMQ410" s="172"/>
      <c r="DMR410" s="172"/>
      <c r="DMS410" s="172"/>
      <c r="DMT410" s="172"/>
      <c r="DMU410" s="172"/>
      <c r="DMV410" s="172"/>
      <c r="DMW410" s="172"/>
      <c r="DMX410" s="172"/>
      <c r="DMY410" s="172"/>
      <c r="DMZ410" s="172"/>
      <c r="DNA410" s="172"/>
      <c r="DNB410" s="172"/>
      <c r="DNC410" s="172"/>
      <c r="DND410" s="172"/>
      <c r="DNE410" s="172"/>
      <c r="DNF410" s="172"/>
      <c r="DNG410" s="172"/>
      <c r="DNH410" s="172"/>
      <c r="DNI410" s="172"/>
      <c r="DNJ410" s="172"/>
      <c r="DNK410" s="172"/>
      <c r="DNL410" s="172"/>
      <c r="DNM410" s="172"/>
      <c r="DNN410" s="172"/>
      <c r="DNO410" s="172"/>
      <c r="DNP410" s="172"/>
      <c r="DNQ410" s="172"/>
      <c r="DNR410" s="172"/>
      <c r="DNS410" s="172"/>
      <c r="DNT410" s="172"/>
      <c r="DNU410" s="172"/>
      <c r="DNV410" s="172"/>
      <c r="DNW410" s="172"/>
      <c r="DNX410" s="172"/>
      <c r="DNY410" s="172"/>
      <c r="DNZ410" s="172"/>
      <c r="DOA410" s="172"/>
      <c r="DOB410" s="172"/>
      <c r="DOC410" s="172"/>
      <c r="DOD410" s="172"/>
      <c r="DOE410" s="172"/>
      <c r="DOF410" s="172"/>
      <c r="DOG410" s="172"/>
      <c r="DOH410" s="172"/>
      <c r="DOI410" s="172"/>
      <c r="DOJ410" s="172"/>
      <c r="DOK410" s="172"/>
      <c r="DOL410" s="172"/>
      <c r="DOM410" s="172"/>
      <c r="DON410" s="172"/>
      <c r="DOO410" s="172"/>
      <c r="DOP410" s="172"/>
      <c r="DOQ410" s="172"/>
      <c r="DOR410" s="172"/>
      <c r="DOS410" s="172"/>
      <c r="DOT410" s="172"/>
      <c r="DOU410" s="172"/>
      <c r="DOV410" s="172"/>
      <c r="DOW410" s="172"/>
      <c r="DOX410" s="172"/>
      <c r="DOY410" s="172"/>
      <c r="DOZ410" s="172"/>
      <c r="DPA410" s="172"/>
      <c r="DPB410" s="172"/>
      <c r="DPC410" s="172"/>
      <c r="DPD410" s="172"/>
      <c r="DPE410" s="172"/>
      <c r="DPF410" s="172"/>
      <c r="DPG410" s="172"/>
      <c r="DPH410" s="172"/>
      <c r="DPI410" s="172"/>
      <c r="DPJ410" s="172"/>
      <c r="DPK410" s="172"/>
      <c r="DPL410" s="172"/>
      <c r="DPM410" s="172"/>
      <c r="DPN410" s="172"/>
      <c r="DPO410" s="172"/>
      <c r="DPP410" s="172"/>
      <c r="DPQ410" s="172"/>
      <c r="DPR410" s="172"/>
      <c r="DPS410" s="172"/>
      <c r="DPT410" s="172"/>
      <c r="DPU410" s="172"/>
      <c r="DPV410" s="172"/>
      <c r="DPW410" s="172"/>
      <c r="DPX410" s="172"/>
      <c r="DPY410" s="172"/>
      <c r="DPZ410" s="172"/>
      <c r="DQA410" s="172"/>
      <c r="DQB410" s="172"/>
      <c r="DQC410" s="172"/>
      <c r="DQD410" s="172"/>
      <c r="DQE410" s="172"/>
      <c r="DQF410" s="172"/>
      <c r="DQG410" s="172"/>
      <c r="DQH410" s="172"/>
      <c r="DQI410" s="172"/>
      <c r="DQJ410" s="172"/>
      <c r="DQK410" s="172"/>
      <c r="DQL410" s="172"/>
      <c r="DQM410" s="172"/>
      <c r="DQN410" s="172"/>
      <c r="DQO410" s="172"/>
      <c r="DQP410" s="172"/>
      <c r="DQQ410" s="172"/>
      <c r="DQR410" s="172"/>
      <c r="DQS410" s="172"/>
      <c r="DQT410" s="172"/>
      <c r="DQU410" s="172"/>
      <c r="DQV410" s="172"/>
      <c r="DQW410" s="172"/>
      <c r="DQX410" s="172"/>
      <c r="DQY410" s="172"/>
      <c r="DQZ410" s="172"/>
      <c r="DRA410" s="172"/>
      <c r="DRB410" s="172"/>
      <c r="DRC410" s="172"/>
      <c r="DRD410" s="172"/>
      <c r="DRE410" s="172"/>
      <c r="DRF410" s="172"/>
      <c r="DRG410" s="172"/>
      <c r="DRH410" s="172"/>
      <c r="DRI410" s="172"/>
      <c r="DRJ410" s="172"/>
      <c r="DRK410" s="172"/>
      <c r="DRL410" s="172"/>
      <c r="DRM410" s="172"/>
      <c r="DRN410" s="172"/>
      <c r="DRO410" s="172"/>
      <c r="DRP410" s="172"/>
      <c r="DRQ410" s="172"/>
      <c r="DRR410" s="172"/>
      <c r="DRS410" s="172"/>
      <c r="DRT410" s="172"/>
      <c r="DRU410" s="172"/>
      <c r="DRV410" s="172"/>
      <c r="DRW410" s="172"/>
      <c r="DRX410" s="172"/>
      <c r="DRY410" s="172"/>
      <c r="DRZ410" s="172"/>
      <c r="DSA410" s="172"/>
      <c r="DSB410" s="172"/>
      <c r="DSC410" s="172"/>
      <c r="DSD410" s="172"/>
      <c r="DSE410" s="172"/>
      <c r="DSF410" s="172"/>
      <c r="DSG410" s="172"/>
      <c r="DSH410" s="172"/>
      <c r="DSI410" s="172"/>
      <c r="DSJ410" s="172"/>
      <c r="DSK410" s="172"/>
      <c r="DSL410" s="172"/>
      <c r="DSM410" s="172"/>
      <c r="DSN410" s="172"/>
      <c r="DSO410" s="172"/>
      <c r="DSP410" s="172"/>
      <c r="DSQ410" s="172"/>
      <c r="DSR410" s="172"/>
      <c r="DSS410" s="172"/>
      <c r="DST410" s="172"/>
      <c r="DSU410" s="172"/>
      <c r="DSV410" s="172"/>
      <c r="DSW410" s="172"/>
      <c r="DSX410" s="172"/>
      <c r="DSY410" s="172"/>
      <c r="DSZ410" s="172"/>
      <c r="DTA410" s="172"/>
      <c r="DTB410" s="172"/>
      <c r="DTC410" s="172"/>
      <c r="DTD410" s="172"/>
      <c r="DTE410" s="172"/>
      <c r="DTF410" s="172"/>
      <c r="DTG410" s="172"/>
      <c r="DTH410" s="172"/>
      <c r="DTI410" s="172"/>
      <c r="DTJ410" s="172"/>
      <c r="DTK410" s="172"/>
      <c r="DTL410" s="172"/>
      <c r="DTM410" s="172"/>
      <c r="DTN410" s="172"/>
      <c r="DTO410" s="172"/>
      <c r="DTP410" s="172"/>
      <c r="DTQ410" s="172"/>
      <c r="DTR410" s="172"/>
      <c r="DTS410" s="172"/>
      <c r="DTT410" s="172"/>
      <c r="DTU410" s="172"/>
      <c r="DTV410" s="172"/>
      <c r="DTW410" s="172"/>
      <c r="DTX410" s="172"/>
      <c r="DTY410" s="172"/>
      <c r="DTZ410" s="172"/>
      <c r="DUA410" s="172"/>
      <c r="DUB410" s="172"/>
      <c r="DUC410" s="172"/>
      <c r="DUD410" s="172"/>
      <c r="DUE410" s="172"/>
      <c r="DUF410" s="172"/>
      <c r="DUG410" s="172"/>
      <c r="DUH410" s="172"/>
      <c r="DUI410" s="172"/>
      <c r="DUJ410" s="172"/>
      <c r="DUK410" s="172"/>
      <c r="DUL410" s="172"/>
      <c r="DUM410" s="172"/>
      <c r="DUN410" s="172"/>
      <c r="DUO410" s="172"/>
      <c r="DUP410" s="172"/>
      <c r="DUQ410" s="172"/>
      <c r="DUR410" s="172"/>
      <c r="DUS410" s="172"/>
      <c r="DUT410" s="172"/>
      <c r="DUU410" s="172"/>
      <c r="DUV410" s="172"/>
      <c r="DUW410" s="172"/>
      <c r="DUX410" s="172"/>
      <c r="DUY410" s="172"/>
      <c r="DUZ410" s="172"/>
      <c r="DVA410" s="172"/>
      <c r="DVB410" s="172"/>
      <c r="DVC410" s="172"/>
      <c r="DVD410" s="172"/>
      <c r="DVE410" s="172"/>
      <c r="DVF410" s="172"/>
      <c r="DVG410" s="172"/>
      <c r="DVH410" s="172"/>
      <c r="DVI410" s="172"/>
      <c r="DVJ410" s="172"/>
      <c r="DVK410" s="172"/>
      <c r="DVL410" s="172"/>
      <c r="DVM410" s="172"/>
      <c r="DVN410" s="172"/>
      <c r="DVO410" s="172"/>
      <c r="DVP410" s="172"/>
      <c r="DVQ410" s="172"/>
      <c r="DVR410" s="172"/>
      <c r="DVS410" s="172"/>
      <c r="DVT410" s="172"/>
      <c r="DVU410" s="172"/>
      <c r="DVV410" s="172"/>
      <c r="DVW410" s="172"/>
      <c r="DVX410" s="172"/>
      <c r="DVY410" s="172"/>
      <c r="DVZ410" s="172"/>
      <c r="DWA410" s="172"/>
      <c r="DWB410" s="172"/>
      <c r="DWC410" s="172"/>
      <c r="DWD410" s="172"/>
      <c r="DWE410" s="172"/>
      <c r="DWF410" s="172"/>
      <c r="DWG410" s="172"/>
      <c r="DWH410" s="172"/>
      <c r="DWI410" s="172"/>
      <c r="DWJ410" s="172"/>
      <c r="DWK410" s="172"/>
      <c r="DWL410" s="172"/>
      <c r="DWM410" s="172"/>
      <c r="DWN410" s="172"/>
      <c r="DWO410" s="172"/>
      <c r="DWP410" s="172"/>
      <c r="DWQ410" s="172"/>
      <c r="DWR410" s="172"/>
      <c r="DWS410" s="172"/>
      <c r="DWT410" s="172"/>
      <c r="DWU410" s="172"/>
      <c r="DWV410" s="172"/>
      <c r="DWW410" s="172"/>
      <c r="DWX410" s="172"/>
      <c r="DWY410" s="172"/>
      <c r="DWZ410" s="172"/>
      <c r="DXA410" s="172"/>
      <c r="DXB410" s="172"/>
      <c r="DXC410" s="172"/>
      <c r="DXD410" s="172"/>
      <c r="DXE410" s="172"/>
      <c r="DXF410" s="172"/>
      <c r="DXG410" s="172"/>
      <c r="DXH410" s="172"/>
      <c r="DXI410" s="172"/>
      <c r="DXJ410" s="172"/>
      <c r="DXK410" s="172"/>
      <c r="DXL410" s="172"/>
      <c r="DXM410" s="172"/>
      <c r="DXN410" s="172"/>
      <c r="DXO410" s="172"/>
      <c r="DXP410" s="172"/>
      <c r="DXQ410" s="172"/>
      <c r="DXR410" s="172"/>
      <c r="DXS410" s="172"/>
      <c r="DXT410" s="172"/>
      <c r="DXU410" s="172"/>
      <c r="DXV410" s="172"/>
      <c r="DXW410" s="172"/>
      <c r="DXX410" s="172"/>
      <c r="DXY410" s="172"/>
      <c r="DXZ410" s="172"/>
      <c r="DYA410" s="172"/>
      <c r="DYB410" s="172"/>
      <c r="DYC410" s="172"/>
      <c r="DYD410" s="172"/>
      <c r="DYE410" s="172"/>
      <c r="DYF410" s="172"/>
      <c r="DYG410" s="172"/>
      <c r="DYH410" s="172"/>
      <c r="DYI410" s="172"/>
      <c r="DYJ410" s="172"/>
      <c r="DYK410" s="172"/>
      <c r="DYL410" s="172"/>
      <c r="DYM410" s="172"/>
      <c r="DYN410" s="172"/>
      <c r="DYO410" s="172"/>
      <c r="DYP410" s="172"/>
      <c r="DYQ410" s="172"/>
      <c r="DYR410" s="172"/>
      <c r="DYS410" s="172"/>
      <c r="DYT410" s="172"/>
      <c r="DYU410" s="172"/>
      <c r="DYV410" s="172"/>
      <c r="DYW410" s="172"/>
      <c r="DYX410" s="172"/>
      <c r="DYY410" s="172"/>
      <c r="DYZ410" s="172"/>
      <c r="DZA410" s="172"/>
      <c r="DZB410" s="172"/>
      <c r="DZC410" s="172"/>
      <c r="DZD410" s="172"/>
      <c r="DZE410" s="172"/>
      <c r="DZF410" s="172"/>
      <c r="DZG410" s="172"/>
      <c r="DZH410" s="172"/>
      <c r="DZI410" s="172"/>
      <c r="DZJ410" s="172"/>
      <c r="DZK410" s="172"/>
      <c r="DZL410" s="172"/>
      <c r="DZM410" s="172"/>
      <c r="DZN410" s="172"/>
      <c r="DZO410" s="172"/>
      <c r="DZP410" s="172"/>
      <c r="DZQ410" s="172"/>
      <c r="DZR410" s="172"/>
      <c r="DZS410" s="172"/>
      <c r="DZT410" s="172"/>
      <c r="DZU410" s="172"/>
      <c r="DZV410" s="172"/>
      <c r="DZW410" s="172"/>
      <c r="DZX410" s="172"/>
      <c r="DZY410" s="172"/>
      <c r="DZZ410" s="172"/>
      <c r="EAA410" s="172"/>
      <c r="EAB410" s="172"/>
      <c r="EAC410" s="172"/>
      <c r="EAD410" s="172"/>
      <c r="EAE410" s="172"/>
      <c r="EAF410" s="172"/>
      <c r="EAG410" s="172"/>
      <c r="EAH410" s="172"/>
      <c r="EAI410" s="172"/>
      <c r="EAJ410" s="172"/>
      <c r="EAK410" s="172"/>
      <c r="EAL410" s="172"/>
      <c r="EAM410" s="172"/>
      <c r="EAN410" s="172"/>
      <c r="EAO410" s="172"/>
      <c r="EAP410" s="172"/>
      <c r="EAQ410" s="172"/>
      <c r="EAR410" s="172"/>
      <c r="EAS410" s="172"/>
      <c r="EAT410" s="172"/>
      <c r="EAU410" s="172"/>
      <c r="EAV410" s="172"/>
      <c r="EAW410" s="172"/>
      <c r="EAX410" s="172"/>
      <c r="EAY410" s="172"/>
      <c r="EAZ410" s="172"/>
      <c r="EBA410" s="172"/>
      <c r="EBB410" s="172"/>
      <c r="EBC410" s="172"/>
      <c r="EBD410" s="172"/>
      <c r="EBE410" s="172"/>
      <c r="EBF410" s="172"/>
      <c r="EBG410" s="172"/>
      <c r="EBH410" s="172"/>
      <c r="EBI410" s="172"/>
      <c r="EBJ410" s="172"/>
      <c r="EBK410" s="172"/>
      <c r="EBL410" s="172"/>
      <c r="EBM410" s="172"/>
      <c r="EBN410" s="172"/>
      <c r="EBO410" s="172"/>
      <c r="EBP410" s="172"/>
      <c r="EBQ410" s="172"/>
      <c r="EBR410" s="172"/>
      <c r="EBS410" s="172"/>
      <c r="EBT410" s="172"/>
      <c r="EBU410" s="172"/>
      <c r="EBV410" s="172"/>
      <c r="EBW410" s="172"/>
      <c r="EBX410" s="172"/>
      <c r="EBY410" s="172"/>
      <c r="EBZ410" s="172"/>
      <c r="ECA410" s="172"/>
      <c r="ECB410" s="172"/>
      <c r="ECC410" s="172"/>
      <c r="ECD410" s="172"/>
      <c r="ECE410" s="172"/>
      <c r="ECF410" s="172"/>
      <c r="ECG410" s="172"/>
      <c r="ECH410" s="172"/>
      <c r="ECI410" s="172"/>
      <c r="ECJ410" s="172"/>
      <c r="ECK410" s="172"/>
      <c r="ECL410" s="172"/>
      <c r="ECM410" s="172"/>
      <c r="ECN410" s="172"/>
      <c r="ECO410" s="172"/>
      <c r="ECP410" s="172"/>
      <c r="ECQ410" s="172"/>
      <c r="ECR410" s="172"/>
      <c r="ECS410" s="172"/>
      <c r="ECT410" s="172"/>
      <c r="ECU410" s="172"/>
      <c r="ECV410" s="172"/>
      <c r="ECW410" s="172"/>
      <c r="ECX410" s="172"/>
      <c r="ECY410" s="172"/>
      <c r="ECZ410" s="172"/>
      <c r="EDA410" s="172"/>
      <c r="EDB410" s="172"/>
      <c r="EDC410" s="172"/>
      <c r="EDD410" s="172"/>
      <c r="EDE410" s="172"/>
      <c r="EDF410" s="172"/>
      <c r="EDG410" s="172"/>
      <c r="EDH410" s="172"/>
      <c r="EDI410" s="172"/>
      <c r="EDJ410" s="172"/>
      <c r="EDK410" s="172"/>
      <c r="EDL410" s="172"/>
      <c r="EDM410" s="172"/>
      <c r="EDN410" s="172"/>
      <c r="EDO410" s="172"/>
      <c r="EDP410" s="172"/>
      <c r="EDQ410" s="172"/>
      <c r="EDR410" s="172"/>
      <c r="EDS410" s="172"/>
      <c r="EDT410" s="172"/>
      <c r="EDU410" s="172"/>
      <c r="EDV410" s="172"/>
      <c r="EDW410" s="172"/>
      <c r="EDX410" s="172"/>
      <c r="EDY410" s="172"/>
      <c r="EDZ410" s="172"/>
      <c r="EEA410" s="172"/>
      <c r="EEB410" s="172"/>
      <c r="EEC410" s="172"/>
      <c r="EED410" s="172"/>
      <c r="EEE410" s="172"/>
      <c r="EEF410" s="172"/>
      <c r="EEG410" s="172"/>
      <c r="EEH410" s="172"/>
      <c r="EEI410" s="172"/>
      <c r="EEJ410" s="172"/>
      <c r="EEK410" s="172"/>
      <c r="EEL410" s="172"/>
      <c r="EEM410" s="172"/>
      <c r="EEN410" s="172"/>
      <c r="EEO410" s="172"/>
      <c r="EEP410" s="172"/>
      <c r="EEQ410" s="172"/>
      <c r="EER410" s="172"/>
      <c r="EES410" s="172"/>
      <c r="EET410" s="172"/>
      <c r="EEU410" s="172"/>
      <c r="EEV410" s="172"/>
      <c r="EEW410" s="172"/>
      <c r="EEX410" s="172"/>
      <c r="EEY410" s="172"/>
      <c r="EEZ410" s="172"/>
      <c r="EFA410" s="172"/>
      <c r="EFB410" s="172"/>
      <c r="EFC410" s="172"/>
      <c r="EFD410" s="172"/>
      <c r="EFE410" s="172"/>
      <c r="EFF410" s="172"/>
      <c r="EFG410" s="172"/>
      <c r="EFH410" s="172"/>
      <c r="EFI410" s="172"/>
      <c r="EFJ410" s="172"/>
      <c r="EFK410" s="172"/>
      <c r="EFL410" s="172"/>
      <c r="EFM410" s="172"/>
      <c r="EFN410" s="172"/>
      <c r="EFO410" s="172"/>
      <c r="EFP410" s="172"/>
      <c r="EFQ410" s="172"/>
      <c r="EFR410" s="172"/>
      <c r="EFS410" s="172"/>
      <c r="EFT410" s="172"/>
      <c r="EFU410" s="172"/>
      <c r="EFV410" s="172"/>
      <c r="EFW410" s="172"/>
      <c r="EFX410" s="172"/>
      <c r="EFY410" s="172"/>
      <c r="EFZ410" s="172"/>
      <c r="EGA410" s="172"/>
      <c r="EGB410" s="172"/>
      <c r="EGC410" s="172"/>
      <c r="EGD410" s="172"/>
      <c r="EGE410" s="172"/>
      <c r="EGF410" s="172"/>
      <c r="EGG410" s="172"/>
      <c r="EGH410" s="172"/>
      <c r="EGI410" s="172"/>
      <c r="EGJ410" s="172"/>
      <c r="EGK410" s="172"/>
      <c r="EGL410" s="172"/>
      <c r="EGM410" s="172"/>
      <c r="EGN410" s="172"/>
      <c r="EGO410" s="172"/>
      <c r="EGP410" s="172"/>
      <c r="EGQ410" s="172"/>
      <c r="EGR410" s="172"/>
      <c r="EGS410" s="172"/>
      <c r="EGT410" s="172"/>
      <c r="EGU410" s="172"/>
      <c r="EGV410" s="172"/>
      <c r="EGW410" s="172"/>
      <c r="EGX410" s="172"/>
      <c r="EGY410" s="172"/>
      <c r="EGZ410" s="172"/>
      <c r="EHA410" s="172"/>
      <c r="EHB410" s="172"/>
      <c r="EHC410" s="172"/>
      <c r="EHD410" s="172"/>
      <c r="EHE410" s="172"/>
      <c r="EHF410" s="172"/>
      <c r="EHG410" s="172"/>
      <c r="EHH410" s="172"/>
      <c r="EHI410" s="172"/>
      <c r="EHJ410" s="172"/>
      <c r="EHK410" s="172"/>
      <c r="EHL410" s="172"/>
      <c r="EHM410" s="172"/>
      <c r="EHN410" s="172"/>
      <c r="EHO410" s="172"/>
      <c r="EHP410" s="172"/>
      <c r="EHQ410" s="172"/>
      <c r="EHR410" s="172"/>
      <c r="EHS410" s="172"/>
      <c r="EHT410" s="172"/>
      <c r="EHU410" s="172"/>
      <c r="EHV410" s="172"/>
      <c r="EHW410" s="172"/>
      <c r="EHX410" s="172"/>
      <c r="EHY410" s="172"/>
      <c r="EHZ410" s="172"/>
      <c r="EIA410" s="172"/>
      <c r="EIB410" s="172"/>
      <c r="EIC410" s="172"/>
      <c r="EID410" s="172"/>
      <c r="EIE410" s="172"/>
      <c r="EIF410" s="172"/>
      <c r="EIG410" s="172"/>
      <c r="EIH410" s="172"/>
      <c r="EII410" s="172"/>
      <c r="EIJ410" s="172"/>
      <c r="EIK410" s="172"/>
      <c r="EIL410" s="172"/>
      <c r="EIM410" s="172"/>
      <c r="EIN410" s="172"/>
      <c r="EIO410" s="172"/>
      <c r="EIP410" s="172"/>
      <c r="EIQ410" s="172"/>
      <c r="EIR410" s="172"/>
      <c r="EIS410" s="172"/>
      <c r="EIT410" s="172"/>
      <c r="EIU410" s="172"/>
      <c r="EIV410" s="172"/>
      <c r="EIW410" s="172"/>
      <c r="EIX410" s="172"/>
      <c r="EIY410" s="172"/>
      <c r="EIZ410" s="172"/>
      <c r="EJA410" s="172"/>
      <c r="EJB410" s="172"/>
      <c r="EJC410" s="172"/>
      <c r="EJD410" s="172"/>
      <c r="EJE410" s="172"/>
      <c r="EJF410" s="172"/>
      <c r="EJG410" s="172"/>
      <c r="EJH410" s="172"/>
      <c r="EJI410" s="172"/>
      <c r="EJJ410" s="172"/>
      <c r="EJK410" s="172"/>
      <c r="EJL410" s="172"/>
      <c r="EJM410" s="172"/>
      <c r="EJN410" s="172"/>
      <c r="EJO410" s="172"/>
      <c r="EJP410" s="172"/>
      <c r="EJQ410" s="172"/>
      <c r="EJR410" s="172"/>
      <c r="EJS410" s="172"/>
      <c r="EJT410" s="172"/>
      <c r="EJU410" s="172"/>
      <c r="EJV410" s="172"/>
      <c r="EJW410" s="172"/>
      <c r="EJX410" s="172"/>
      <c r="EJY410" s="172"/>
      <c r="EJZ410" s="172"/>
      <c r="EKA410" s="172"/>
      <c r="EKB410" s="172"/>
      <c r="EKC410" s="172"/>
      <c r="EKD410" s="172"/>
      <c r="EKE410" s="172"/>
      <c r="EKF410" s="172"/>
      <c r="EKG410" s="172"/>
      <c r="EKH410" s="172"/>
      <c r="EKI410" s="172"/>
      <c r="EKJ410" s="172"/>
      <c r="EKK410" s="172"/>
      <c r="EKL410" s="172"/>
      <c r="EKM410" s="172"/>
      <c r="EKN410" s="172"/>
      <c r="EKO410" s="172"/>
      <c r="EKP410" s="172"/>
      <c r="EKQ410" s="172"/>
      <c r="EKR410" s="172"/>
      <c r="EKS410" s="172"/>
      <c r="EKT410" s="172"/>
      <c r="EKU410" s="172"/>
      <c r="EKV410" s="172"/>
      <c r="EKW410" s="172"/>
      <c r="EKX410" s="172"/>
      <c r="EKY410" s="172"/>
      <c r="EKZ410" s="172"/>
      <c r="ELA410" s="172"/>
      <c r="ELB410" s="172"/>
      <c r="ELC410" s="172"/>
      <c r="ELD410" s="172"/>
      <c r="ELE410" s="172"/>
      <c r="ELF410" s="172"/>
      <c r="ELG410" s="172"/>
      <c r="ELH410" s="172"/>
      <c r="ELI410" s="172"/>
      <c r="ELJ410" s="172"/>
      <c r="ELK410" s="172"/>
      <c r="ELL410" s="172"/>
      <c r="ELM410" s="172"/>
      <c r="ELN410" s="172"/>
      <c r="ELO410" s="172"/>
      <c r="ELP410" s="172"/>
      <c r="ELQ410" s="172"/>
      <c r="ELR410" s="172"/>
      <c r="ELS410" s="172"/>
      <c r="ELT410" s="172"/>
      <c r="ELU410" s="172"/>
      <c r="ELV410" s="172"/>
      <c r="ELW410" s="172"/>
      <c r="ELX410" s="172"/>
      <c r="ELY410" s="172"/>
      <c r="ELZ410" s="172"/>
      <c r="EMA410" s="172"/>
      <c r="EMB410" s="172"/>
      <c r="EMC410" s="172"/>
      <c r="EMD410" s="172"/>
      <c r="EME410" s="172"/>
      <c r="EMF410" s="172"/>
      <c r="EMG410" s="172"/>
      <c r="EMH410" s="172"/>
      <c r="EMI410" s="172"/>
      <c r="EMJ410" s="172"/>
      <c r="EMK410" s="172"/>
      <c r="EML410" s="172"/>
      <c r="EMM410" s="172"/>
      <c r="EMN410" s="172"/>
      <c r="EMO410" s="172"/>
      <c r="EMP410" s="172"/>
      <c r="EMQ410" s="172"/>
      <c r="EMR410" s="172"/>
      <c r="EMS410" s="172"/>
      <c r="EMT410" s="172"/>
      <c r="EMU410" s="172"/>
      <c r="EMV410" s="172"/>
      <c r="EMW410" s="172"/>
      <c r="EMX410" s="172"/>
      <c r="EMY410" s="172"/>
      <c r="EMZ410" s="172"/>
      <c r="ENA410" s="172"/>
      <c r="ENB410" s="172"/>
      <c r="ENC410" s="172"/>
      <c r="END410" s="172"/>
      <c r="ENE410" s="172"/>
      <c r="ENF410" s="172"/>
      <c r="ENG410" s="172"/>
      <c r="ENH410" s="172"/>
      <c r="ENI410" s="172"/>
      <c r="ENJ410" s="172"/>
      <c r="ENK410" s="172"/>
      <c r="ENL410" s="172"/>
      <c r="ENM410" s="172"/>
      <c r="ENN410" s="172"/>
      <c r="ENO410" s="172"/>
      <c r="ENP410" s="172"/>
      <c r="ENQ410" s="172"/>
      <c r="ENR410" s="172"/>
      <c r="ENS410" s="172"/>
      <c r="ENT410" s="172"/>
      <c r="ENU410" s="172"/>
      <c r="ENV410" s="172"/>
      <c r="ENW410" s="172"/>
      <c r="ENX410" s="172"/>
      <c r="ENY410" s="172"/>
      <c r="ENZ410" s="172"/>
      <c r="EOA410" s="172"/>
      <c r="EOB410" s="172"/>
      <c r="EOC410" s="172"/>
      <c r="EOD410" s="172"/>
      <c r="EOE410" s="172"/>
      <c r="EOF410" s="172"/>
      <c r="EOG410" s="172"/>
      <c r="EOH410" s="172"/>
      <c r="EOI410" s="172"/>
      <c r="EOJ410" s="172"/>
      <c r="EOK410" s="172"/>
      <c r="EOL410" s="172"/>
      <c r="EOM410" s="172"/>
      <c r="EON410" s="172"/>
      <c r="EOO410" s="172"/>
      <c r="EOP410" s="172"/>
      <c r="EOQ410" s="172"/>
      <c r="EOR410" s="172"/>
      <c r="EOS410" s="172"/>
      <c r="EOT410" s="172"/>
      <c r="EOU410" s="172"/>
      <c r="EOV410" s="172"/>
      <c r="EOW410" s="172"/>
      <c r="EOX410" s="172"/>
      <c r="EOY410" s="172"/>
      <c r="EOZ410" s="172"/>
      <c r="EPA410" s="172"/>
      <c r="EPB410" s="172"/>
      <c r="EPC410" s="172"/>
      <c r="EPD410" s="172"/>
      <c r="EPE410" s="172"/>
      <c r="EPF410" s="172"/>
      <c r="EPG410" s="172"/>
      <c r="EPH410" s="172"/>
      <c r="EPI410" s="172"/>
      <c r="EPJ410" s="172"/>
      <c r="EPK410" s="172"/>
      <c r="EPL410" s="172"/>
      <c r="EPM410" s="172"/>
      <c r="EPN410" s="172"/>
      <c r="EPO410" s="172"/>
      <c r="EPP410" s="172"/>
      <c r="EPQ410" s="172"/>
      <c r="EPR410" s="172"/>
      <c r="EPS410" s="172"/>
      <c r="EPT410" s="172"/>
      <c r="EPU410" s="172"/>
      <c r="EPV410" s="172"/>
      <c r="EPW410" s="172"/>
      <c r="EPX410" s="172"/>
      <c r="EPY410" s="172"/>
      <c r="EPZ410" s="172"/>
      <c r="EQA410" s="172"/>
      <c r="EQB410" s="172"/>
      <c r="EQC410" s="172"/>
      <c r="EQD410" s="172"/>
      <c r="EQE410" s="172"/>
      <c r="EQF410" s="172"/>
      <c r="EQG410" s="172"/>
      <c r="EQH410" s="172"/>
      <c r="EQI410" s="172"/>
      <c r="EQJ410" s="172"/>
      <c r="EQK410" s="172"/>
      <c r="EQL410" s="172"/>
      <c r="EQM410" s="172"/>
      <c r="EQN410" s="172"/>
      <c r="EQO410" s="172"/>
      <c r="EQP410" s="172"/>
      <c r="EQQ410" s="172"/>
      <c r="EQR410" s="172"/>
      <c r="EQS410" s="172"/>
      <c r="EQT410" s="172"/>
      <c r="EQU410" s="172"/>
      <c r="EQV410" s="172"/>
      <c r="EQW410" s="172"/>
      <c r="EQX410" s="172"/>
      <c r="EQY410" s="172"/>
      <c r="EQZ410" s="172"/>
      <c r="ERA410" s="172"/>
      <c r="ERB410" s="172"/>
      <c r="ERC410" s="172"/>
      <c r="ERD410" s="172"/>
      <c r="ERE410" s="172"/>
      <c r="ERF410" s="172"/>
      <c r="ERG410" s="172"/>
      <c r="ERH410" s="172"/>
      <c r="ERI410" s="172"/>
      <c r="ERJ410" s="172"/>
      <c r="ERK410" s="172"/>
      <c r="ERL410" s="172"/>
      <c r="ERM410" s="172"/>
      <c r="ERN410" s="172"/>
      <c r="ERO410" s="172"/>
      <c r="ERP410" s="172"/>
      <c r="ERQ410" s="172"/>
      <c r="ERR410" s="172"/>
      <c r="ERS410" s="172"/>
      <c r="ERT410" s="172"/>
      <c r="ERU410" s="172"/>
      <c r="ERV410" s="172"/>
      <c r="ERW410" s="172"/>
      <c r="ERX410" s="172"/>
      <c r="ERY410" s="172"/>
      <c r="ERZ410" s="172"/>
      <c r="ESA410" s="172"/>
      <c r="ESB410" s="172"/>
      <c r="ESC410" s="172"/>
      <c r="ESD410" s="172"/>
      <c r="ESE410" s="172"/>
      <c r="ESF410" s="172"/>
      <c r="ESG410" s="172"/>
      <c r="ESH410" s="172"/>
      <c r="ESI410" s="172"/>
      <c r="ESJ410" s="172"/>
      <c r="ESK410" s="172"/>
      <c r="ESL410" s="172"/>
      <c r="ESM410" s="172"/>
      <c r="ESN410" s="172"/>
      <c r="ESO410" s="172"/>
      <c r="ESP410" s="172"/>
      <c r="ESQ410" s="172"/>
      <c r="ESR410" s="172"/>
      <c r="ESS410" s="172"/>
      <c r="EST410" s="172"/>
      <c r="ESU410" s="172"/>
      <c r="ESV410" s="172"/>
      <c r="ESW410" s="172"/>
      <c r="ESX410" s="172"/>
      <c r="ESY410" s="172"/>
      <c r="ESZ410" s="172"/>
      <c r="ETA410" s="172"/>
      <c r="ETB410" s="172"/>
      <c r="ETC410" s="172"/>
      <c r="ETD410" s="172"/>
      <c r="ETE410" s="172"/>
      <c r="ETF410" s="172"/>
      <c r="ETG410" s="172"/>
      <c r="ETH410" s="172"/>
      <c r="ETI410" s="172"/>
      <c r="ETJ410" s="172"/>
      <c r="ETK410" s="172"/>
      <c r="ETL410" s="172"/>
      <c r="ETM410" s="172"/>
      <c r="ETN410" s="172"/>
      <c r="ETO410" s="172"/>
      <c r="ETP410" s="172"/>
      <c r="ETQ410" s="172"/>
      <c r="ETR410" s="172"/>
      <c r="ETS410" s="172"/>
      <c r="ETT410" s="172"/>
      <c r="ETU410" s="172"/>
      <c r="ETV410" s="172"/>
      <c r="ETW410" s="172"/>
      <c r="ETX410" s="172"/>
      <c r="ETY410" s="172"/>
      <c r="ETZ410" s="172"/>
      <c r="EUA410" s="172"/>
      <c r="EUB410" s="172"/>
      <c r="EUC410" s="172"/>
      <c r="EUD410" s="172"/>
      <c r="EUE410" s="172"/>
      <c r="EUF410" s="172"/>
      <c r="EUG410" s="172"/>
      <c r="EUH410" s="172"/>
      <c r="EUI410" s="172"/>
      <c r="EUJ410" s="172"/>
      <c r="EUK410" s="172"/>
      <c r="EUL410" s="172"/>
      <c r="EUM410" s="172"/>
      <c r="EUN410" s="172"/>
      <c r="EUO410" s="172"/>
      <c r="EUP410" s="172"/>
      <c r="EUQ410" s="172"/>
      <c r="EUR410" s="172"/>
      <c r="EUS410" s="172"/>
      <c r="EUT410" s="172"/>
      <c r="EUU410" s="172"/>
      <c r="EUV410" s="172"/>
      <c r="EUW410" s="172"/>
      <c r="EUX410" s="172"/>
      <c r="EUY410" s="172"/>
      <c r="EUZ410" s="172"/>
      <c r="EVA410" s="172"/>
      <c r="EVB410" s="172"/>
      <c r="EVC410" s="172"/>
      <c r="EVD410" s="172"/>
      <c r="EVE410" s="172"/>
      <c r="EVF410" s="172"/>
      <c r="EVG410" s="172"/>
      <c r="EVH410" s="172"/>
      <c r="EVI410" s="172"/>
      <c r="EVJ410" s="172"/>
      <c r="EVK410" s="172"/>
      <c r="EVL410" s="172"/>
      <c r="EVM410" s="172"/>
      <c r="EVN410" s="172"/>
      <c r="EVO410" s="172"/>
      <c r="EVP410" s="172"/>
      <c r="EVQ410" s="172"/>
      <c r="EVR410" s="172"/>
      <c r="EVS410" s="172"/>
      <c r="EVT410" s="172"/>
      <c r="EVU410" s="172"/>
      <c r="EVV410" s="172"/>
      <c r="EVW410" s="172"/>
      <c r="EVX410" s="172"/>
      <c r="EVY410" s="172"/>
      <c r="EVZ410" s="172"/>
      <c r="EWA410" s="172"/>
      <c r="EWB410" s="172"/>
      <c r="EWC410" s="172"/>
      <c r="EWD410" s="172"/>
      <c r="EWE410" s="172"/>
      <c r="EWF410" s="172"/>
      <c r="EWG410" s="172"/>
      <c r="EWH410" s="172"/>
      <c r="EWI410" s="172"/>
      <c r="EWJ410" s="172"/>
      <c r="EWK410" s="172"/>
      <c r="EWL410" s="172"/>
      <c r="EWM410" s="172"/>
      <c r="EWN410" s="172"/>
      <c r="EWO410" s="172"/>
      <c r="EWP410" s="172"/>
      <c r="EWQ410" s="172"/>
      <c r="EWR410" s="172"/>
      <c r="EWS410" s="172"/>
      <c r="EWT410" s="172"/>
      <c r="EWU410" s="172"/>
      <c r="EWV410" s="172"/>
      <c r="EWW410" s="172"/>
      <c r="EWX410" s="172"/>
      <c r="EWY410" s="172"/>
      <c r="EWZ410" s="172"/>
      <c r="EXA410" s="172"/>
      <c r="EXB410" s="172"/>
      <c r="EXC410" s="172"/>
      <c r="EXD410" s="172"/>
      <c r="EXE410" s="172"/>
      <c r="EXF410" s="172"/>
      <c r="EXG410" s="172"/>
      <c r="EXH410" s="172"/>
      <c r="EXI410" s="172"/>
      <c r="EXJ410" s="172"/>
      <c r="EXK410" s="172"/>
      <c r="EXL410" s="172"/>
      <c r="EXM410" s="172"/>
      <c r="EXN410" s="172"/>
      <c r="EXO410" s="172"/>
      <c r="EXP410" s="172"/>
      <c r="EXQ410" s="172"/>
      <c r="EXR410" s="172"/>
      <c r="EXS410" s="172"/>
      <c r="EXT410" s="172"/>
      <c r="EXU410" s="172"/>
      <c r="EXV410" s="172"/>
      <c r="EXW410" s="172"/>
      <c r="EXX410" s="172"/>
      <c r="EXY410" s="172"/>
      <c r="EXZ410" s="172"/>
      <c r="EYA410" s="172"/>
      <c r="EYB410" s="172"/>
      <c r="EYC410" s="172"/>
      <c r="EYD410" s="172"/>
      <c r="EYE410" s="172"/>
      <c r="EYF410" s="172"/>
      <c r="EYG410" s="172"/>
      <c r="EYH410" s="172"/>
      <c r="EYI410" s="172"/>
      <c r="EYJ410" s="172"/>
      <c r="EYK410" s="172"/>
      <c r="EYL410" s="172"/>
      <c r="EYM410" s="172"/>
      <c r="EYN410" s="172"/>
      <c r="EYO410" s="172"/>
      <c r="EYP410" s="172"/>
      <c r="EYQ410" s="172"/>
      <c r="EYR410" s="172"/>
      <c r="EYS410" s="172"/>
      <c r="EYT410" s="172"/>
      <c r="EYU410" s="172"/>
      <c r="EYV410" s="172"/>
      <c r="EYW410" s="172"/>
      <c r="EYX410" s="172"/>
      <c r="EYY410" s="172"/>
      <c r="EYZ410" s="172"/>
      <c r="EZA410" s="172"/>
      <c r="EZB410" s="172"/>
      <c r="EZC410" s="172"/>
      <c r="EZD410" s="172"/>
      <c r="EZE410" s="172"/>
      <c r="EZF410" s="172"/>
      <c r="EZG410" s="172"/>
      <c r="EZH410" s="172"/>
      <c r="EZI410" s="172"/>
      <c r="EZJ410" s="172"/>
      <c r="EZK410" s="172"/>
      <c r="EZL410" s="172"/>
      <c r="EZM410" s="172"/>
      <c r="EZN410" s="172"/>
      <c r="EZO410" s="172"/>
      <c r="EZP410" s="172"/>
      <c r="EZQ410" s="172"/>
      <c r="EZR410" s="172"/>
      <c r="EZS410" s="172"/>
      <c r="EZT410" s="172"/>
      <c r="EZU410" s="172"/>
      <c r="EZV410" s="172"/>
      <c r="EZW410" s="172"/>
      <c r="EZX410" s="172"/>
      <c r="EZY410" s="172"/>
      <c r="EZZ410" s="172"/>
      <c r="FAA410" s="172"/>
      <c r="FAB410" s="172"/>
      <c r="FAC410" s="172"/>
      <c r="FAD410" s="172"/>
      <c r="FAE410" s="172"/>
      <c r="FAF410" s="172"/>
      <c r="FAG410" s="172"/>
      <c r="FAH410" s="172"/>
      <c r="FAI410" s="172"/>
      <c r="FAJ410" s="172"/>
      <c r="FAK410" s="172"/>
      <c r="FAL410" s="172"/>
      <c r="FAM410" s="172"/>
      <c r="FAN410" s="172"/>
      <c r="FAO410" s="172"/>
      <c r="FAP410" s="172"/>
      <c r="FAQ410" s="172"/>
      <c r="FAR410" s="172"/>
      <c r="FAS410" s="172"/>
      <c r="FAT410" s="172"/>
      <c r="FAU410" s="172"/>
      <c r="FAV410" s="172"/>
      <c r="FAW410" s="172"/>
      <c r="FAX410" s="172"/>
      <c r="FAY410" s="172"/>
      <c r="FAZ410" s="172"/>
      <c r="FBA410" s="172"/>
      <c r="FBB410" s="172"/>
      <c r="FBC410" s="172"/>
      <c r="FBD410" s="172"/>
      <c r="FBE410" s="172"/>
      <c r="FBF410" s="172"/>
      <c r="FBG410" s="172"/>
      <c r="FBH410" s="172"/>
      <c r="FBI410" s="172"/>
      <c r="FBJ410" s="172"/>
      <c r="FBK410" s="172"/>
      <c r="FBL410" s="172"/>
      <c r="FBM410" s="172"/>
      <c r="FBN410" s="172"/>
      <c r="FBO410" s="172"/>
      <c r="FBP410" s="172"/>
      <c r="FBQ410" s="172"/>
      <c r="FBR410" s="172"/>
      <c r="FBS410" s="172"/>
      <c r="FBT410" s="172"/>
      <c r="FBU410" s="172"/>
      <c r="FBV410" s="172"/>
      <c r="FBW410" s="172"/>
      <c r="FBX410" s="172"/>
      <c r="FBY410" s="172"/>
      <c r="FBZ410" s="172"/>
      <c r="FCA410" s="172"/>
      <c r="FCB410" s="172"/>
      <c r="FCC410" s="172"/>
      <c r="FCD410" s="172"/>
      <c r="FCE410" s="172"/>
      <c r="FCF410" s="172"/>
      <c r="FCG410" s="172"/>
      <c r="FCH410" s="172"/>
      <c r="FCI410" s="172"/>
      <c r="FCJ410" s="172"/>
      <c r="FCK410" s="172"/>
      <c r="FCL410" s="172"/>
      <c r="FCM410" s="172"/>
      <c r="FCN410" s="172"/>
      <c r="FCO410" s="172"/>
      <c r="FCP410" s="172"/>
      <c r="FCQ410" s="172"/>
      <c r="FCR410" s="172"/>
      <c r="FCS410" s="172"/>
      <c r="FCT410" s="172"/>
      <c r="FCU410" s="172"/>
      <c r="FCV410" s="172"/>
      <c r="FCW410" s="172"/>
      <c r="FCX410" s="172"/>
      <c r="FCY410" s="172"/>
      <c r="FCZ410" s="172"/>
      <c r="FDA410" s="172"/>
      <c r="FDB410" s="172"/>
      <c r="FDC410" s="172"/>
      <c r="FDD410" s="172"/>
      <c r="FDE410" s="172"/>
      <c r="FDF410" s="172"/>
      <c r="FDG410" s="172"/>
      <c r="FDH410" s="172"/>
      <c r="FDI410" s="172"/>
      <c r="FDJ410" s="172"/>
      <c r="FDK410" s="172"/>
      <c r="FDL410" s="172"/>
      <c r="FDM410" s="172"/>
      <c r="FDN410" s="172"/>
      <c r="FDO410" s="172"/>
      <c r="FDP410" s="172"/>
      <c r="FDQ410" s="172"/>
      <c r="FDR410" s="172"/>
      <c r="FDS410" s="172"/>
      <c r="FDT410" s="172"/>
      <c r="FDU410" s="172"/>
      <c r="FDV410" s="172"/>
      <c r="FDW410" s="172"/>
      <c r="FDX410" s="172"/>
      <c r="FDY410" s="172"/>
      <c r="FDZ410" s="172"/>
      <c r="FEA410" s="172"/>
      <c r="FEB410" s="172"/>
      <c r="FEC410" s="172"/>
      <c r="FED410" s="172"/>
      <c r="FEE410" s="172"/>
      <c r="FEF410" s="172"/>
      <c r="FEG410" s="172"/>
      <c r="FEH410" s="172"/>
      <c r="FEI410" s="172"/>
      <c r="FEJ410" s="172"/>
      <c r="FEK410" s="172"/>
      <c r="FEL410" s="172"/>
      <c r="FEM410" s="172"/>
      <c r="FEN410" s="172"/>
      <c r="FEO410" s="172"/>
      <c r="FEP410" s="172"/>
      <c r="FEQ410" s="172"/>
      <c r="FER410" s="172"/>
      <c r="FES410" s="172"/>
      <c r="FET410" s="172"/>
      <c r="FEU410" s="172"/>
      <c r="FEV410" s="172"/>
      <c r="FEW410" s="172"/>
      <c r="FEX410" s="172"/>
      <c r="FEY410" s="172"/>
      <c r="FEZ410" s="172"/>
      <c r="FFA410" s="172"/>
      <c r="FFB410" s="172"/>
      <c r="FFC410" s="172"/>
      <c r="FFD410" s="172"/>
      <c r="FFE410" s="172"/>
      <c r="FFF410" s="172"/>
      <c r="FFG410" s="172"/>
      <c r="FFH410" s="172"/>
      <c r="FFI410" s="172"/>
      <c r="FFJ410" s="172"/>
      <c r="FFK410" s="172"/>
      <c r="FFL410" s="172"/>
      <c r="FFM410" s="172"/>
      <c r="FFN410" s="172"/>
      <c r="FFO410" s="172"/>
      <c r="FFP410" s="172"/>
      <c r="FFQ410" s="172"/>
      <c r="FFR410" s="172"/>
      <c r="FFS410" s="172"/>
      <c r="FFT410" s="172"/>
      <c r="FFU410" s="172"/>
      <c r="FFV410" s="172"/>
      <c r="FFW410" s="172"/>
      <c r="FFX410" s="172"/>
      <c r="FFY410" s="172"/>
      <c r="FFZ410" s="172"/>
      <c r="FGA410" s="172"/>
      <c r="FGB410" s="172"/>
      <c r="FGC410" s="172"/>
      <c r="FGD410" s="172"/>
      <c r="FGE410" s="172"/>
      <c r="FGF410" s="172"/>
      <c r="FGG410" s="172"/>
      <c r="FGH410" s="172"/>
      <c r="FGI410" s="172"/>
      <c r="FGJ410" s="172"/>
      <c r="FGK410" s="172"/>
      <c r="FGL410" s="172"/>
      <c r="FGM410" s="172"/>
      <c r="FGN410" s="172"/>
      <c r="FGO410" s="172"/>
      <c r="FGP410" s="172"/>
      <c r="FGQ410" s="172"/>
      <c r="FGR410" s="172"/>
      <c r="FGS410" s="172"/>
      <c r="FGT410" s="172"/>
      <c r="FGU410" s="172"/>
      <c r="FGV410" s="172"/>
      <c r="FGW410" s="172"/>
      <c r="FGX410" s="172"/>
      <c r="FGY410" s="172"/>
      <c r="FGZ410" s="172"/>
      <c r="FHA410" s="172"/>
      <c r="FHB410" s="172"/>
      <c r="FHC410" s="172"/>
      <c r="FHD410" s="172"/>
      <c r="FHE410" s="172"/>
      <c r="FHF410" s="172"/>
      <c r="FHG410" s="172"/>
      <c r="FHH410" s="172"/>
      <c r="FHI410" s="172"/>
      <c r="FHJ410" s="172"/>
      <c r="FHK410" s="172"/>
      <c r="FHL410" s="172"/>
      <c r="FHM410" s="172"/>
      <c r="FHN410" s="172"/>
      <c r="FHO410" s="172"/>
      <c r="FHP410" s="172"/>
      <c r="FHQ410" s="172"/>
      <c r="FHR410" s="172"/>
      <c r="FHS410" s="172"/>
      <c r="FHT410" s="172"/>
      <c r="FHU410" s="172"/>
      <c r="FHV410" s="172"/>
      <c r="FHW410" s="172"/>
      <c r="FHX410" s="172"/>
      <c r="FHY410" s="172"/>
      <c r="FHZ410" s="172"/>
      <c r="FIA410" s="172"/>
      <c r="FIB410" s="172"/>
      <c r="FIC410" s="172"/>
      <c r="FID410" s="172"/>
      <c r="FIE410" s="172"/>
      <c r="FIF410" s="172"/>
      <c r="FIG410" s="172"/>
      <c r="FIH410" s="172"/>
      <c r="FII410" s="172"/>
      <c r="FIJ410" s="172"/>
      <c r="FIK410" s="172"/>
      <c r="FIL410" s="172"/>
      <c r="FIM410" s="172"/>
      <c r="FIN410" s="172"/>
      <c r="FIO410" s="172"/>
      <c r="FIP410" s="172"/>
      <c r="FIQ410" s="172"/>
      <c r="FIR410" s="172"/>
      <c r="FIS410" s="172"/>
      <c r="FIT410" s="172"/>
      <c r="FIU410" s="172"/>
      <c r="FIV410" s="172"/>
      <c r="FIW410" s="172"/>
      <c r="FIX410" s="172"/>
      <c r="FIY410" s="172"/>
      <c r="FIZ410" s="172"/>
      <c r="FJA410" s="172"/>
      <c r="FJB410" s="172"/>
      <c r="FJC410" s="172"/>
      <c r="FJD410" s="172"/>
      <c r="FJE410" s="172"/>
      <c r="FJF410" s="172"/>
      <c r="FJG410" s="172"/>
      <c r="FJH410" s="172"/>
      <c r="FJI410" s="172"/>
      <c r="FJJ410" s="172"/>
      <c r="FJK410" s="172"/>
      <c r="FJL410" s="172"/>
      <c r="FJM410" s="172"/>
      <c r="FJN410" s="172"/>
      <c r="FJO410" s="172"/>
      <c r="FJP410" s="172"/>
      <c r="FJQ410" s="172"/>
      <c r="FJR410" s="172"/>
      <c r="FJS410" s="172"/>
      <c r="FJT410" s="172"/>
      <c r="FJU410" s="172"/>
      <c r="FJV410" s="172"/>
      <c r="FJW410" s="172"/>
      <c r="FJX410" s="172"/>
      <c r="FJY410" s="172"/>
      <c r="FJZ410" s="172"/>
      <c r="FKA410" s="172"/>
      <c r="FKB410" s="172"/>
      <c r="FKC410" s="172"/>
      <c r="FKD410" s="172"/>
      <c r="FKE410" s="172"/>
      <c r="FKF410" s="172"/>
      <c r="FKG410" s="172"/>
      <c r="FKH410" s="172"/>
      <c r="FKI410" s="172"/>
      <c r="FKJ410" s="172"/>
      <c r="FKK410" s="172"/>
      <c r="FKL410" s="172"/>
      <c r="FKM410" s="172"/>
      <c r="FKN410" s="172"/>
      <c r="FKO410" s="172"/>
      <c r="FKP410" s="172"/>
      <c r="FKQ410" s="172"/>
      <c r="FKR410" s="172"/>
      <c r="FKS410" s="172"/>
      <c r="FKT410" s="172"/>
      <c r="FKU410" s="172"/>
      <c r="FKV410" s="172"/>
      <c r="FKW410" s="172"/>
      <c r="FKX410" s="172"/>
      <c r="FKY410" s="172"/>
      <c r="FKZ410" s="172"/>
      <c r="FLA410" s="172"/>
      <c r="FLB410" s="172"/>
      <c r="FLC410" s="172"/>
      <c r="FLD410" s="172"/>
      <c r="FLE410" s="172"/>
      <c r="FLF410" s="172"/>
      <c r="FLG410" s="172"/>
      <c r="FLH410" s="172"/>
      <c r="FLI410" s="172"/>
      <c r="FLJ410" s="172"/>
      <c r="FLK410" s="172"/>
      <c r="FLL410" s="172"/>
      <c r="FLM410" s="172"/>
      <c r="FLN410" s="172"/>
      <c r="FLO410" s="172"/>
      <c r="FLP410" s="172"/>
      <c r="FLQ410" s="172"/>
      <c r="FLR410" s="172"/>
      <c r="FLS410" s="172"/>
      <c r="FLT410" s="172"/>
      <c r="FLU410" s="172"/>
      <c r="FLV410" s="172"/>
      <c r="FLW410" s="172"/>
      <c r="FLX410" s="172"/>
      <c r="FLY410" s="172"/>
      <c r="FLZ410" s="172"/>
      <c r="FMA410" s="172"/>
      <c r="FMB410" s="172"/>
      <c r="FMC410" s="172"/>
      <c r="FMD410" s="172"/>
      <c r="FME410" s="172"/>
      <c r="FMF410" s="172"/>
      <c r="FMG410" s="172"/>
      <c r="FMH410" s="172"/>
      <c r="FMI410" s="172"/>
      <c r="FMJ410" s="172"/>
      <c r="FMK410" s="172"/>
      <c r="FML410" s="172"/>
      <c r="FMM410" s="172"/>
      <c r="FMN410" s="172"/>
      <c r="FMO410" s="172"/>
      <c r="FMP410" s="172"/>
      <c r="FMQ410" s="172"/>
      <c r="FMR410" s="172"/>
      <c r="FMS410" s="172"/>
      <c r="FMT410" s="172"/>
      <c r="FMU410" s="172"/>
      <c r="FMV410" s="172"/>
      <c r="FMW410" s="172"/>
      <c r="FMX410" s="172"/>
      <c r="FMY410" s="172"/>
      <c r="FMZ410" s="172"/>
      <c r="FNA410" s="172"/>
      <c r="FNB410" s="172"/>
      <c r="FNC410" s="172"/>
      <c r="FND410" s="172"/>
      <c r="FNE410" s="172"/>
      <c r="FNF410" s="172"/>
      <c r="FNG410" s="172"/>
      <c r="FNH410" s="172"/>
      <c r="FNI410" s="172"/>
      <c r="FNJ410" s="172"/>
      <c r="FNK410" s="172"/>
      <c r="FNL410" s="172"/>
      <c r="FNM410" s="172"/>
      <c r="FNN410" s="172"/>
      <c r="FNO410" s="172"/>
      <c r="FNP410" s="172"/>
      <c r="FNQ410" s="172"/>
      <c r="FNR410" s="172"/>
      <c r="FNS410" s="172"/>
      <c r="FNT410" s="172"/>
      <c r="FNU410" s="172"/>
      <c r="FNV410" s="172"/>
      <c r="FNW410" s="172"/>
      <c r="FNX410" s="172"/>
      <c r="FNY410" s="172"/>
      <c r="FNZ410" s="172"/>
      <c r="FOA410" s="172"/>
      <c r="FOB410" s="172"/>
      <c r="FOC410" s="172"/>
      <c r="FOD410" s="172"/>
      <c r="FOE410" s="172"/>
      <c r="FOF410" s="172"/>
      <c r="FOG410" s="172"/>
      <c r="FOH410" s="172"/>
      <c r="FOI410" s="172"/>
      <c r="FOJ410" s="172"/>
      <c r="FOK410" s="172"/>
      <c r="FOL410" s="172"/>
      <c r="FOM410" s="172"/>
      <c r="FON410" s="172"/>
      <c r="FOO410" s="172"/>
      <c r="FOP410" s="172"/>
      <c r="FOQ410" s="172"/>
      <c r="FOR410" s="172"/>
      <c r="FOS410" s="172"/>
      <c r="FOT410" s="172"/>
      <c r="FOU410" s="172"/>
      <c r="FOV410" s="172"/>
      <c r="FOW410" s="172"/>
      <c r="FOX410" s="172"/>
      <c r="FOY410" s="172"/>
      <c r="FOZ410" s="172"/>
      <c r="FPA410" s="172"/>
      <c r="FPB410" s="172"/>
      <c r="FPC410" s="172"/>
      <c r="FPD410" s="172"/>
      <c r="FPE410" s="172"/>
      <c r="FPF410" s="172"/>
      <c r="FPG410" s="172"/>
      <c r="FPH410" s="172"/>
      <c r="FPI410" s="172"/>
      <c r="FPJ410" s="172"/>
      <c r="FPK410" s="172"/>
      <c r="FPL410" s="172"/>
      <c r="FPM410" s="172"/>
      <c r="FPN410" s="172"/>
      <c r="FPO410" s="172"/>
      <c r="FPP410" s="172"/>
      <c r="FPQ410" s="172"/>
      <c r="FPR410" s="172"/>
      <c r="FPS410" s="172"/>
      <c r="FPT410" s="172"/>
      <c r="FPU410" s="172"/>
      <c r="FPV410" s="172"/>
      <c r="FPW410" s="172"/>
      <c r="FPX410" s="172"/>
      <c r="FPY410" s="172"/>
      <c r="FPZ410" s="172"/>
      <c r="FQA410" s="172"/>
      <c r="FQB410" s="172"/>
      <c r="FQC410" s="172"/>
      <c r="FQD410" s="172"/>
      <c r="FQE410" s="172"/>
      <c r="FQF410" s="172"/>
      <c r="FQG410" s="172"/>
      <c r="FQH410" s="172"/>
      <c r="FQI410" s="172"/>
      <c r="FQJ410" s="172"/>
      <c r="FQK410" s="172"/>
      <c r="FQL410" s="172"/>
      <c r="FQM410" s="172"/>
      <c r="FQN410" s="172"/>
      <c r="FQO410" s="172"/>
      <c r="FQP410" s="172"/>
      <c r="FQQ410" s="172"/>
      <c r="FQR410" s="172"/>
      <c r="FQS410" s="172"/>
      <c r="FQT410" s="172"/>
      <c r="FQU410" s="172"/>
      <c r="FQV410" s="172"/>
      <c r="FQW410" s="172"/>
      <c r="FQX410" s="172"/>
      <c r="FQY410" s="172"/>
      <c r="FQZ410" s="172"/>
      <c r="FRA410" s="172"/>
      <c r="FRB410" s="172"/>
      <c r="FRC410" s="172"/>
      <c r="FRD410" s="172"/>
      <c r="FRE410" s="172"/>
      <c r="FRF410" s="172"/>
      <c r="FRG410" s="172"/>
      <c r="FRH410" s="172"/>
      <c r="FRI410" s="172"/>
      <c r="FRJ410" s="172"/>
      <c r="FRK410" s="172"/>
      <c r="FRL410" s="172"/>
      <c r="FRM410" s="172"/>
      <c r="FRN410" s="172"/>
      <c r="FRO410" s="172"/>
      <c r="FRP410" s="172"/>
      <c r="FRQ410" s="172"/>
      <c r="FRR410" s="172"/>
      <c r="FRS410" s="172"/>
      <c r="FRT410" s="172"/>
      <c r="FRU410" s="172"/>
      <c r="FRV410" s="172"/>
      <c r="FRW410" s="172"/>
      <c r="FRX410" s="172"/>
      <c r="FRY410" s="172"/>
      <c r="FRZ410" s="172"/>
      <c r="FSA410" s="172"/>
      <c r="FSB410" s="172"/>
      <c r="FSC410" s="172"/>
      <c r="FSD410" s="172"/>
      <c r="FSE410" s="172"/>
      <c r="FSF410" s="172"/>
      <c r="FSG410" s="172"/>
      <c r="FSH410" s="172"/>
      <c r="FSI410" s="172"/>
      <c r="FSJ410" s="172"/>
      <c r="FSK410" s="172"/>
      <c r="FSL410" s="172"/>
      <c r="FSM410" s="172"/>
      <c r="FSN410" s="172"/>
      <c r="FSO410" s="172"/>
      <c r="FSP410" s="172"/>
      <c r="FSQ410" s="172"/>
      <c r="FSR410" s="172"/>
      <c r="FSS410" s="172"/>
      <c r="FST410" s="172"/>
      <c r="FSU410" s="172"/>
      <c r="FSV410" s="172"/>
      <c r="FSW410" s="172"/>
      <c r="FSX410" s="172"/>
      <c r="FSY410" s="172"/>
      <c r="FSZ410" s="172"/>
      <c r="FTA410" s="172"/>
      <c r="FTB410" s="172"/>
      <c r="FTC410" s="172"/>
      <c r="FTD410" s="172"/>
      <c r="FTE410" s="172"/>
      <c r="FTF410" s="172"/>
      <c r="FTG410" s="172"/>
      <c r="FTH410" s="172"/>
      <c r="FTI410" s="172"/>
      <c r="FTJ410" s="172"/>
      <c r="FTK410" s="172"/>
      <c r="FTL410" s="172"/>
      <c r="FTM410" s="172"/>
      <c r="FTN410" s="172"/>
      <c r="FTO410" s="172"/>
      <c r="FTP410" s="172"/>
      <c r="FTQ410" s="172"/>
      <c r="FTR410" s="172"/>
      <c r="FTS410" s="172"/>
      <c r="FTT410" s="172"/>
      <c r="FTU410" s="172"/>
      <c r="FTV410" s="172"/>
      <c r="FTW410" s="172"/>
      <c r="FTX410" s="172"/>
      <c r="FTY410" s="172"/>
      <c r="FTZ410" s="172"/>
      <c r="FUA410" s="172"/>
      <c r="FUB410" s="172"/>
      <c r="FUC410" s="172"/>
      <c r="FUD410" s="172"/>
      <c r="FUE410" s="172"/>
      <c r="FUF410" s="172"/>
      <c r="FUG410" s="172"/>
      <c r="FUH410" s="172"/>
      <c r="FUI410" s="172"/>
      <c r="FUJ410" s="172"/>
      <c r="FUK410" s="172"/>
      <c r="FUL410" s="172"/>
      <c r="FUM410" s="172"/>
      <c r="FUN410" s="172"/>
      <c r="FUO410" s="172"/>
      <c r="FUP410" s="172"/>
      <c r="FUQ410" s="172"/>
      <c r="FUR410" s="172"/>
      <c r="FUS410" s="172"/>
      <c r="FUT410" s="172"/>
      <c r="FUU410" s="172"/>
      <c r="FUV410" s="172"/>
      <c r="FUW410" s="172"/>
      <c r="FUX410" s="172"/>
      <c r="FUY410" s="172"/>
      <c r="FUZ410" s="172"/>
      <c r="FVA410" s="172"/>
      <c r="FVB410" s="172"/>
      <c r="FVC410" s="172"/>
      <c r="FVD410" s="172"/>
      <c r="FVE410" s="172"/>
      <c r="FVF410" s="172"/>
      <c r="FVG410" s="172"/>
      <c r="FVH410" s="172"/>
      <c r="FVI410" s="172"/>
      <c r="FVJ410" s="172"/>
      <c r="FVK410" s="172"/>
      <c r="FVL410" s="172"/>
      <c r="FVM410" s="172"/>
      <c r="FVN410" s="172"/>
      <c r="FVO410" s="172"/>
      <c r="FVP410" s="172"/>
      <c r="FVQ410" s="172"/>
      <c r="FVR410" s="172"/>
      <c r="FVS410" s="172"/>
      <c r="FVT410" s="172"/>
      <c r="FVU410" s="172"/>
      <c r="FVV410" s="172"/>
      <c r="FVW410" s="172"/>
      <c r="FVX410" s="172"/>
      <c r="FVY410" s="172"/>
      <c r="FVZ410" s="172"/>
      <c r="FWA410" s="172"/>
      <c r="FWB410" s="172"/>
      <c r="FWC410" s="172"/>
      <c r="FWD410" s="172"/>
      <c r="FWE410" s="172"/>
      <c r="FWF410" s="172"/>
      <c r="FWG410" s="172"/>
      <c r="FWH410" s="172"/>
      <c r="FWI410" s="172"/>
      <c r="FWJ410" s="172"/>
      <c r="FWK410" s="172"/>
      <c r="FWL410" s="172"/>
      <c r="FWM410" s="172"/>
      <c r="FWN410" s="172"/>
      <c r="FWO410" s="172"/>
      <c r="FWP410" s="172"/>
      <c r="FWQ410" s="172"/>
      <c r="FWR410" s="172"/>
      <c r="FWS410" s="172"/>
      <c r="FWT410" s="172"/>
      <c r="FWU410" s="172"/>
      <c r="FWV410" s="172"/>
      <c r="FWW410" s="172"/>
      <c r="FWX410" s="172"/>
      <c r="FWY410" s="172"/>
      <c r="FWZ410" s="172"/>
      <c r="FXA410" s="172"/>
      <c r="FXB410" s="172"/>
      <c r="FXC410" s="172"/>
      <c r="FXD410" s="172"/>
      <c r="FXE410" s="172"/>
      <c r="FXF410" s="172"/>
      <c r="FXG410" s="172"/>
      <c r="FXH410" s="172"/>
      <c r="FXI410" s="172"/>
      <c r="FXJ410" s="172"/>
      <c r="FXK410" s="172"/>
      <c r="FXL410" s="172"/>
      <c r="FXM410" s="172"/>
      <c r="FXN410" s="172"/>
      <c r="FXO410" s="172"/>
      <c r="FXP410" s="172"/>
      <c r="FXQ410" s="172"/>
      <c r="FXR410" s="172"/>
      <c r="FXS410" s="172"/>
      <c r="FXT410" s="172"/>
      <c r="FXU410" s="172"/>
      <c r="FXV410" s="172"/>
      <c r="FXW410" s="172"/>
      <c r="FXX410" s="172"/>
      <c r="FXY410" s="172"/>
      <c r="FXZ410" s="172"/>
      <c r="FYA410" s="172"/>
      <c r="FYB410" s="172"/>
      <c r="FYC410" s="172"/>
      <c r="FYD410" s="172"/>
      <c r="FYE410" s="172"/>
      <c r="FYF410" s="172"/>
      <c r="FYG410" s="172"/>
      <c r="FYH410" s="172"/>
      <c r="FYI410" s="172"/>
      <c r="FYJ410" s="172"/>
      <c r="FYK410" s="172"/>
      <c r="FYL410" s="172"/>
      <c r="FYM410" s="172"/>
      <c r="FYN410" s="172"/>
      <c r="FYO410" s="172"/>
      <c r="FYP410" s="172"/>
      <c r="FYQ410" s="172"/>
      <c r="FYR410" s="172"/>
      <c r="FYS410" s="172"/>
      <c r="FYT410" s="172"/>
      <c r="FYU410" s="172"/>
      <c r="FYV410" s="172"/>
      <c r="FYW410" s="172"/>
      <c r="FYX410" s="172"/>
      <c r="FYY410" s="172"/>
      <c r="FYZ410" s="172"/>
      <c r="FZA410" s="172"/>
      <c r="FZB410" s="172"/>
      <c r="FZC410" s="172"/>
      <c r="FZD410" s="172"/>
      <c r="FZE410" s="172"/>
      <c r="FZF410" s="172"/>
      <c r="FZG410" s="172"/>
      <c r="FZH410" s="172"/>
      <c r="FZI410" s="172"/>
      <c r="FZJ410" s="172"/>
      <c r="FZK410" s="172"/>
      <c r="FZL410" s="172"/>
      <c r="FZM410" s="172"/>
      <c r="FZN410" s="172"/>
      <c r="FZO410" s="172"/>
      <c r="FZP410" s="172"/>
      <c r="FZQ410" s="172"/>
      <c r="FZR410" s="172"/>
      <c r="FZS410" s="172"/>
      <c r="FZT410" s="172"/>
      <c r="FZU410" s="172"/>
      <c r="FZV410" s="172"/>
      <c r="FZW410" s="172"/>
      <c r="FZX410" s="172"/>
      <c r="FZY410" s="172"/>
      <c r="FZZ410" s="172"/>
      <c r="GAA410" s="172"/>
      <c r="GAB410" s="172"/>
      <c r="GAC410" s="172"/>
      <c r="GAD410" s="172"/>
      <c r="GAE410" s="172"/>
      <c r="GAF410" s="172"/>
      <c r="GAG410" s="172"/>
      <c r="GAH410" s="172"/>
      <c r="GAI410" s="172"/>
      <c r="GAJ410" s="172"/>
      <c r="GAK410" s="172"/>
      <c r="GAL410" s="172"/>
      <c r="GAM410" s="172"/>
      <c r="GAN410" s="172"/>
      <c r="GAO410" s="172"/>
      <c r="GAP410" s="172"/>
      <c r="GAQ410" s="172"/>
      <c r="GAR410" s="172"/>
      <c r="GAS410" s="172"/>
      <c r="GAT410" s="172"/>
      <c r="GAU410" s="172"/>
      <c r="GAV410" s="172"/>
      <c r="GAW410" s="172"/>
      <c r="GAX410" s="172"/>
      <c r="GAY410" s="172"/>
      <c r="GAZ410" s="172"/>
      <c r="GBA410" s="172"/>
      <c r="GBB410" s="172"/>
      <c r="GBC410" s="172"/>
      <c r="GBD410" s="172"/>
      <c r="GBE410" s="172"/>
      <c r="GBF410" s="172"/>
      <c r="GBG410" s="172"/>
      <c r="GBH410" s="172"/>
      <c r="GBI410" s="172"/>
      <c r="GBJ410" s="172"/>
      <c r="GBK410" s="172"/>
      <c r="GBL410" s="172"/>
      <c r="GBM410" s="172"/>
      <c r="GBN410" s="172"/>
      <c r="GBO410" s="172"/>
      <c r="GBP410" s="172"/>
      <c r="GBQ410" s="172"/>
      <c r="GBR410" s="172"/>
      <c r="GBS410" s="172"/>
      <c r="GBT410" s="172"/>
      <c r="GBU410" s="172"/>
      <c r="GBV410" s="172"/>
      <c r="GBW410" s="172"/>
      <c r="GBX410" s="172"/>
      <c r="GBY410" s="172"/>
      <c r="GBZ410" s="172"/>
      <c r="GCA410" s="172"/>
      <c r="GCB410" s="172"/>
      <c r="GCC410" s="172"/>
      <c r="GCD410" s="172"/>
      <c r="GCE410" s="172"/>
      <c r="GCF410" s="172"/>
      <c r="GCG410" s="172"/>
      <c r="GCH410" s="172"/>
      <c r="GCI410" s="172"/>
      <c r="GCJ410" s="172"/>
      <c r="GCK410" s="172"/>
      <c r="GCL410" s="172"/>
      <c r="GCM410" s="172"/>
      <c r="GCN410" s="172"/>
      <c r="GCO410" s="172"/>
      <c r="GCP410" s="172"/>
      <c r="GCQ410" s="172"/>
      <c r="GCR410" s="172"/>
      <c r="GCS410" s="172"/>
      <c r="GCT410" s="172"/>
      <c r="GCU410" s="172"/>
      <c r="GCV410" s="172"/>
      <c r="GCW410" s="172"/>
      <c r="GCX410" s="172"/>
      <c r="GCY410" s="172"/>
      <c r="GCZ410" s="172"/>
      <c r="GDA410" s="172"/>
      <c r="GDB410" s="172"/>
      <c r="GDC410" s="172"/>
      <c r="GDD410" s="172"/>
      <c r="GDE410" s="172"/>
      <c r="GDF410" s="172"/>
      <c r="GDG410" s="172"/>
      <c r="GDH410" s="172"/>
      <c r="GDI410" s="172"/>
      <c r="GDJ410" s="172"/>
      <c r="GDK410" s="172"/>
      <c r="GDL410" s="172"/>
      <c r="GDM410" s="172"/>
      <c r="GDN410" s="172"/>
      <c r="GDO410" s="172"/>
      <c r="GDP410" s="172"/>
      <c r="GDQ410" s="172"/>
      <c r="GDR410" s="172"/>
      <c r="GDS410" s="172"/>
      <c r="GDT410" s="172"/>
      <c r="GDU410" s="172"/>
      <c r="GDV410" s="172"/>
      <c r="GDW410" s="172"/>
      <c r="GDX410" s="172"/>
      <c r="GDY410" s="172"/>
      <c r="GDZ410" s="172"/>
      <c r="GEA410" s="172"/>
      <c r="GEB410" s="172"/>
      <c r="GEC410" s="172"/>
      <c r="GED410" s="172"/>
      <c r="GEE410" s="172"/>
      <c r="GEF410" s="172"/>
      <c r="GEG410" s="172"/>
      <c r="GEH410" s="172"/>
      <c r="GEI410" s="172"/>
      <c r="GEJ410" s="172"/>
      <c r="GEK410" s="172"/>
      <c r="GEL410" s="172"/>
      <c r="GEM410" s="172"/>
      <c r="GEN410" s="172"/>
      <c r="GEO410" s="172"/>
      <c r="GEP410" s="172"/>
      <c r="GEQ410" s="172"/>
      <c r="GER410" s="172"/>
      <c r="GES410" s="172"/>
      <c r="GET410" s="172"/>
      <c r="GEU410" s="172"/>
      <c r="GEV410" s="172"/>
      <c r="GEW410" s="172"/>
      <c r="GEX410" s="172"/>
      <c r="GEY410" s="172"/>
      <c r="GEZ410" s="172"/>
      <c r="GFA410" s="172"/>
      <c r="GFB410" s="172"/>
      <c r="GFC410" s="172"/>
      <c r="GFD410" s="172"/>
      <c r="GFE410" s="172"/>
      <c r="GFF410" s="172"/>
      <c r="GFG410" s="172"/>
      <c r="GFH410" s="172"/>
      <c r="GFI410" s="172"/>
      <c r="GFJ410" s="172"/>
      <c r="GFK410" s="172"/>
      <c r="GFL410" s="172"/>
      <c r="GFM410" s="172"/>
      <c r="GFN410" s="172"/>
      <c r="GFO410" s="172"/>
      <c r="GFP410" s="172"/>
      <c r="GFQ410" s="172"/>
      <c r="GFR410" s="172"/>
      <c r="GFS410" s="172"/>
      <c r="GFT410" s="172"/>
      <c r="GFU410" s="172"/>
      <c r="GFV410" s="172"/>
      <c r="GFW410" s="172"/>
      <c r="GFX410" s="172"/>
      <c r="GFY410" s="172"/>
      <c r="GFZ410" s="172"/>
      <c r="GGA410" s="172"/>
      <c r="GGB410" s="172"/>
      <c r="GGC410" s="172"/>
      <c r="GGD410" s="172"/>
      <c r="GGE410" s="172"/>
      <c r="GGF410" s="172"/>
      <c r="GGG410" s="172"/>
      <c r="GGH410" s="172"/>
      <c r="GGI410" s="172"/>
      <c r="GGJ410" s="172"/>
      <c r="GGK410" s="172"/>
      <c r="GGL410" s="172"/>
      <c r="GGM410" s="172"/>
      <c r="GGN410" s="172"/>
      <c r="GGO410" s="172"/>
      <c r="GGP410" s="172"/>
      <c r="GGQ410" s="172"/>
      <c r="GGR410" s="172"/>
      <c r="GGS410" s="172"/>
      <c r="GGT410" s="172"/>
      <c r="GGU410" s="172"/>
      <c r="GGV410" s="172"/>
      <c r="GGW410" s="172"/>
      <c r="GGX410" s="172"/>
      <c r="GGY410" s="172"/>
      <c r="GGZ410" s="172"/>
      <c r="GHA410" s="172"/>
      <c r="GHB410" s="172"/>
      <c r="GHC410" s="172"/>
      <c r="GHD410" s="172"/>
      <c r="GHE410" s="172"/>
      <c r="GHF410" s="172"/>
      <c r="GHG410" s="172"/>
      <c r="GHH410" s="172"/>
      <c r="GHI410" s="172"/>
      <c r="GHJ410" s="172"/>
      <c r="GHK410" s="172"/>
      <c r="GHL410" s="172"/>
      <c r="GHM410" s="172"/>
      <c r="GHN410" s="172"/>
      <c r="GHO410" s="172"/>
      <c r="GHP410" s="172"/>
      <c r="GHQ410" s="172"/>
      <c r="GHR410" s="172"/>
      <c r="GHS410" s="172"/>
      <c r="GHT410" s="172"/>
      <c r="GHU410" s="172"/>
      <c r="GHV410" s="172"/>
      <c r="GHW410" s="172"/>
      <c r="GHX410" s="172"/>
      <c r="GHY410" s="172"/>
      <c r="GHZ410" s="172"/>
      <c r="GIA410" s="172"/>
      <c r="GIB410" s="172"/>
      <c r="GIC410" s="172"/>
      <c r="GID410" s="172"/>
      <c r="GIE410" s="172"/>
      <c r="GIF410" s="172"/>
      <c r="GIG410" s="172"/>
      <c r="GIH410" s="172"/>
      <c r="GII410" s="172"/>
      <c r="GIJ410" s="172"/>
      <c r="GIK410" s="172"/>
      <c r="GIL410" s="172"/>
      <c r="GIM410" s="172"/>
      <c r="GIN410" s="172"/>
      <c r="GIO410" s="172"/>
      <c r="GIP410" s="172"/>
      <c r="GIQ410" s="172"/>
      <c r="GIR410" s="172"/>
      <c r="GIS410" s="172"/>
      <c r="GIT410" s="172"/>
      <c r="GIU410" s="172"/>
      <c r="GIV410" s="172"/>
      <c r="GIW410" s="172"/>
      <c r="GIX410" s="172"/>
      <c r="GIY410" s="172"/>
      <c r="GIZ410" s="172"/>
      <c r="GJA410" s="172"/>
      <c r="GJB410" s="172"/>
      <c r="GJC410" s="172"/>
      <c r="GJD410" s="172"/>
      <c r="GJE410" s="172"/>
      <c r="GJF410" s="172"/>
      <c r="GJG410" s="172"/>
      <c r="GJH410" s="172"/>
      <c r="GJI410" s="172"/>
      <c r="GJJ410" s="172"/>
      <c r="GJK410" s="172"/>
      <c r="GJL410" s="172"/>
      <c r="GJM410" s="172"/>
      <c r="GJN410" s="172"/>
      <c r="GJO410" s="172"/>
      <c r="GJP410" s="172"/>
      <c r="GJQ410" s="172"/>
      <c r="GJR410" s="172"/>
      <c r="GJS410" s="172"/>
      <c r="GJT410" s="172"/>
      <c r="GJU410" s="172"/>
      <c r="GJV410" s="172"/>
      <c r="GJW410" s="172"/>
      <c r="GJX410" s="172"/>
      <c r="GJY410" s="172"/>
      <c r="GJZ410" s="172"/>
      <c r="GKA410" s="172"/>
      <c r="GKB410" s="172"/>
      <c r="GKC410" s="172"/>
      <c r="GKD410" s="172"/>
      <c r="GKE410" s="172"/>
      <c r="GKF410" s="172"/>
      <c r="GKG410" s="172"/>
      <c r="GKH410" s="172"/>
      <c r="GKI410" s="172"/>
      <c r="GKJ410" s="172"/>
      <c r="GKK410" s="172"/>
      <c r="GKL410" s="172"/>
      <c r="GKM410" s="172"/>
      <c r="GKN410" s="172"/>
      <c r="GKO410" s="172"/>
      <c r="GKP410" s="172"/>
      <c r="GKQ410" s="172"/>
      <c r="GKR410" s="172"/>
      <c r="GKS410" s="172"/>
      <c r="GKT410" s="172"/>
      <c r="GKU410" s="172"/>
      <c r="GKV410" s="172"/>
      <c r="GKW410" s="172"/>
      <c r="GKX410" s="172"/>
      <c r="GKY410" s="172"/>
      <c r="GKZ410" s="172"/>
      <c r="GLA410" s="172"/>
      <c r="GLB410" s="172"/>
      <c r="GLC410" s="172"/>
      <c r="GLD410" s="172"/>
      <c r="GLE410" s="172"/>
      <c r="GLF410" s="172"/>
      <c r="GLG410" s="172"/>
      <c r="GLH410" s="172"/>
      <c r="GLI410" s="172"/>
      <c r="GLJ410" s="172"/>
      <c r="GLK410" s="172"/>
      <c r="GLL410" s="172"/>
      <c r="GLM410" s="172"/>
      <c r="GLN410" s="172"/>
      <c r="GLO410" s="172"/>
      <c r="GLP410" s="172"/>
      <c r="GLQ410" s="172"/>
      <c r="GLR410" s="172"/>
      <c r="GLS410" s="172"/>
      <c r="GLT410" s="172"/>
      <c r="GLU410" s="172"/>
      <c r="GLV410" s="172"/>
      <c r="GLW410" s="172"/>
      <c r="GLX410" s="172"/>
      <c r="GLY410" s="172"/>
      <c r="GLZ410" s="172"/>
      <c r="GMA410" s="172"/>
      <c r="GMB410" s="172"/>
      <c r="GMC410" s="172"/>
      <c r="GMD410" s="172"/>
      <c r="GME410" s="172"/>
      <c r="GMF410" s="172"/>
      <c r="GMG410" s="172"/>
      <c r="GMH410" s="172"/>
      <c r="GMI410" s="172"/>
      <c r="GMJ410" s="172"/>
      <c r="GMK410" s="172"/>
      <c r="GML410" s="172"/>
      <c r="GMM410" s="172"/>
      <c r="GMN410" s="172"/>
      <c r="GMO410" s="172"/>
      <c r="GMP410" s="172"/>
      <c r="GMQ410" s="172"/>
      <c r="GMR410" s="172"/>
      <c r="GMS410" s="172"/>
      <c r="GMT410" s="172"/>
      <c r="GMU410" s="172"/>
      <c r="GMV410" s="172"/>
      <c r="GMW410" s="172"/>
      <c r="GMX410" s="172"/>
      <c r="GMY410" s="172"/>
      <c r="GMZ410" s="172"/>
      <c r="GNA410" s="172"/>
      <c r="GNB410" s="172"/>
      <c r="GNC410" s="172"/>
      <c r="GND410" s="172"/>
      <c r="GNE410" s="172"/>
      <c r="GNF410" s="172"/>
      <c r="GNG410" s="172"/>
      <c r="GNH410" s="172"/>
      <c r="GNI410" s="172"/>
      <c r="GNJ410" s="172"/>
      <c r="GNK410" s="172"/>
      <c r="GNL410" s="172"/>
      <c r="GNM410" s="172"/>
      <c r="GNN410" s="172"/>
      <c r="GNO410" s="172"/>
      <c r="GNP410" s="172"/>
      <c r="GNQ410" s="172"/>
      <c r="GNR410" s="172"/>
      <c r="GNS410" s="172"/>
      <c r="GNT410" s="172"/>
      <c r="GNU410" s="172"/>
      <c r="GNV410" s="172"/>
      <c r="GNW410" s="172"/>
      <c r="GNX410" s="172"/>
      <c r="GNY410" s="172"/>
      <c r="GNZ410" s="172"/>
      <c r="GOA410" s="172"/>
      <c r="GOB410" s="172"/>
      <c r="GOC410" s="172"/>
      <c r="GOD410" s="172"/>
      <c r="GOE410" s="172"/>
      <c r="GOF410" s="172"/>
      <c r="GOG410" s="172"/>
      <c r="GOH410" s="172"/>
      <c r="GOI410" s="172"/>
      <c r="GOJ410" s="172"/>
      <c r="GOK410" s="172"/>
      <c r="GOL410" s="172"/>
      <c r="GOM410" s="172"/>
      <c r="GON410" s="172"/>
      <c r="GOO410" s="172"/>
      <c r="GOP410" s="172"/>
      <c r="GOQ410" s="172"/>
      <c r="GOR410" s="172"/>
      <c r="GOS410" s="172"/>
      <c r="GOT410" s="172"/>
      <c r="GOU410" s="172"/>
      <c r="GOV410" s="172"/>
      <c r="GOW410" s="172"/>
      <c r="GOX410" s="172"/>
      <c r="GOY410" s="172"/>
      <c r="GOZ410" s="172"/>
      <c r="GPA410" s="172"/>
      <c r="GPB410" s="172"/>
      <c r="GPC410" s="172"/>
      <c r="GPD410" s="172"/>
      <c r="GPE410" s="172"/>
      <c r="GPF410" s="172"/>
      <c r="GPG410" s="172"/>
      <c r="GPH410" s="172"/>
      <c r="GPI410" s="172"/>
      <c r="GPJ410" s="172"/>
      <c r="GPK410" s="172"/>
      <c r="GPL410" s="172"/>
      <c r="GPM410" s="172"/>
      <c r="GPN410" s="172"/>
      <c r="GPO410" s="172"/>
      <c r="GPP410" s="172"/>
      <c r="GPQ410" s="172"/>
      <c r="GPR410" s="172"/>
      <c r="GPS410" s="172"/>
      <c r="GPT410" s="172"/>
      <c r="GPU410" s="172"/>
      <c r="GPV410" s="172"/>
      <c r="GPW410" s="172"/>
      <c r="GPX410" s="172"/>
      <c r="GPY410" s="172"/>
      <c r="GPZ410" s="172"/>
      <c r="GQA410" s="172"/>
      <c r="GQB410" s="172"/>
      <c r="GQC410" s="172"/>
      <c r="GQD410" s="172"/>
      <c r="GQE410" s="172"/>
      <c r="GQF410" s="172"/>
      <c r="GQG410" s="172"/>
      <c r="GQH410" s="172"/>
      <c r="GQI410" s="172"/>
      <c r="GQJ410" s="172"/>
      <c r="GQK410" s="172"/>
      <c r="GQL410" s="172"/>
      <c r="GQM410" s="172"/>
      <c r="GQN410" s="172"/>
      <c r="GQO410" s="172"/>
      <c r="GQP410" s="172"/>
      <c r="GQQ410" s="172"/>
      <c r="GQR410" s="172"/>
      <c r="GQS410" s="172"/>
      <c r="GQT410" s="172"/>
      <c r="GQU410" s="172"/>
      <c r="GQV410" s="172"/>
      <c r="GQW410" s="172"/>
      <c r="GQX410" s="172"/>
      <c r="GQY410" s="172"/>
      <c r="GQZ410" s="172"/>
      <c r="GRA410" s="172"/>
      <c r="GRB410" s="172"/>
      <c r="GRC410" s="172"/>
      <c r="GRD410" s="172"/>
      <c r="GRE410" s="172"/>
      <c r="GRF410" s="172"/>
      <c r="GRG410" s="172"/>
      <c r="GRH410" s="172"/>
      <c r="GRI410" s="172"/>
      <c r="GRJ410" s="172"/>
      <c r="GRK410" s="172"/>
      <c r="GRL410" s="172"/>
      <c r="GRM410" s="172"/>
      <c r="GRN410" s="172"/>
      <c r="GRO410" s="172"/>
      <c r="GRP410" s="172"/>
      <c r="GRQ410" s="172"/>
      <c r="GRR410" s="172"/>
      <c r="GRS410" s="172"/>
      <c r="GRT410" s="172"/>
      <c r="GRU410" s="172"/>
      <c r="GRV410" s="172"/>
      <c r="GRW410" s="172"/>
      <c r="GRX410" s="172"/>
      <c r="GRY410" s="172"/>
      <c r="GRZ410" s="172"/>
      <c r="GSA410" s="172"/>
      <c r="GSB410" s="172"/>
      <c r="GSC410" s="172"/>
      <c r="GSD410" s="172"/>
      <c r="GSE410" s="172"/>
      <c r="GSF410" s="172"/>
      <c r="GSG410" s="172"/>
      <c r="GSH410" s="172"/>
      <c r="GSI410" s="172"/>
      <c r="GSJ410" s="172"/>
      <c r="GSK410" s="172"/>
      <c r="GSL410" s="172"/>
      <c r="GSM410" s="172"/>
      <c r="GSN410" s="172"/>
      <c r="GSO410" s="172"/>
      <c r="GSP410" s="172"/>
      <c r="GSQ410" s="172"/>
      <c r="GSR410" s="172"/>
      <c r="GSS410" s="172"/>
      <c r="GST410" s="172"/>
      <c r="GSU410" s="172"/>
      <c r="GSV410" s="172"/>
      <c r="GSW410" s="172"/>
      <c r="GSX410" s="172"/>
      <c r="GSY410" s="172"/>
      <c r="GSZ410" s="172"/>
      <c r="GTA410" s="172"/>
      <c r="GTB410" s="172"/>
      <c r="GTC410" s="172"/>
      <c r="GTD410" s="172"/>
      <c r="GTE410" s="172"/>
      <c r="GTF410" s="172"/>
      <c r="GTG410" s="172"/>
      <c r="GTH410" s="172"/>
      <c r="GTI410" s="172"/>
      <c r="GTJ410" s="172"/>
      <c r="GTK410" s="172"/>
      <c r="GTL410" s="172"/>
      <c r="GTM410" s="172"/>
      <c r="GTN410" s="172"/>
      <c r="GTO410" s="172"/>
      <c r="GTP410" s="172"/>
      <c r="GTQ410" s="172"/>
      <c r="GTR410" s="172"/>
      <c r="GTS410" s="172"/>
      <c r="GTT410" s="172"/>
      <c r="GTU410" s="172"/>
      <c r="GTV410" s="172"/>
      <c r="GTW410" s="172"/>
      <c r="GTX410" s="172"/>
      <c r="GTY410" s="172"/>
      <c r="GTZ410" s="172"/>
      <c r="GUA410" s="172"/>
      <c r="GUB410" s="172"/>
      <c r="GUC410" s="172"/>
      <c r="GUD410" s="172"/>
      <c r="GUE410" s="172"/>
      <c r="GUF410" s="172"/>
      <c r="GUG410" s="172"/>
      <c r="GUH410" s="172"/>
      <c r="GUI410" s="172"/>
      <c r="GUJ410" s="172"/>
      <c r="GUK410" s="172"/>
      <c r="GUL410" s="172"/>
      <c r="GUM410" s="172"/>
      <c r="GUN410" s="172"/>
      <c r="GUO410" s="172"/>
      <c r="GUP410" s="172"/>
      <c r="GUQ410" s="172"/>
      <c r="GUR410" s="172"/>
      <c r="GUS410" s="172"/>
      <c r="GUT410" s="172"/>
      <c r="GUU410" s="172"/>
      <c r="GUV410" s="172"/>
      <c r="GUW410" s="172"/>
      <c r="GUX410" s="172"/>
      <c r="GUY410" s="172"/>
      <c r="GUZ410" s="172"/>
      <c r="GVA410" s="172"/>
      <c r="GVB410" s="172"/>
      <c r="GVC410" s="172"/>
      <c r="GVD410" s="172"/>
      <c r="GVE410" s="172"/>
      <c r="GVF410" s="172"/>
      <c r="GVG410" s="172"/>
      <c r="GVH410" s="172"/>
      <c r="GVI410" s="172"/>
      <c r="GVJ410" s="172"/>
      <c r="GVK410" s="172"/>
      <c r="GVL410" s="172"/>
      <c r="GVM410" s="172"/>
      <c r="GVN410" s="172"/>
      <c r="GVO410" s="172"/>
      <c r="GVP410" s="172"/>
      <c r="GVQ410" s="172"/>
      <c r="GVR410" s="172"/>
      <c r="GVS410" s="172"/>
      <c r="GVT410" s="172"/>
      <c r="GVU410" s="172"/>
      <c r="GVV410" s="172"/>
      <c r="GVW410" s="172"/>
      <c r="GVX410" s="172"/>
      <c r="GVY410" s="172"/>
      <c r="GVZ410" s="172"/>
      <c r="GWA410" s="172"/>
      <c r="GWB410" s="172"/>
      <c r="GWC410" s="172"/>
      <c r="GWD410" s="172"/>
      <c r="GWE410" s="172"/>
      <c r="GWF410" s="172"/>
      <c r="GWG410" s="172"/>
      <c r="GWH410" s="172"/>
      <c r="GWI410" s="172"/>
      <c r="GWJ410" s="172"/>
      <c r="GWK410" s="172"/>
      <c r="GWL410" s="172"/>
      <c r="GWM410" s="172"/>
      <c r="GWN410" s="172"/>
      <c r="GWO410" s="172"/>
      <c r="GWP410" s="172"/>
      <c r="GWQ410" s="172"/>
      <c r="GWR410" s="172"/>
      <c r="GWS410" s="172"/>
      <c r="GWT410" s="172"/>
      <c r="GWU410" s="172"/>
      <c r="GWV410" s="172"/>
      <c r="GWW410" s="172"/>
      <c r="GWX410" s="172"/>
      <c r="GWY410" s="172"/>
      <c r="GWZ410" s="172"/>
      <c r="GXA410" s="172"/>
      <c r="GXB410" s="172"/>
      <c r="GXC410" s="172"/>
      <c r="GXD410" s="172"/>
      <c r="GXE410" s="172"/>
      <c r="GXF410" s="172"/>
      <c r="GXG410" s="172"/>
      <c r="GXH410" s="172"/>
      <c r="GXI410" s="172"/>
      <c r="GXJ410" s="172"/>
      <c r="GXK410" s="172"/>
      <c r="GXL410" s="172"/>
      <c r="GXM410" s="172"/>
      <c r="GXN410" s="172"/>
      <c r="GXO410" s="172"/>
      <c r="GXP410" s="172"/>
      <c r="GXQ410" s="172"/>
      <c r="GXR410" s="172"/>
      <c r="GXS410" s="172"/>
      <c r="GXT410" s="172"/>
      <c r="GXU410" s="172"/>
      <c r="GXV410" s="172"/>
      <c r="GXW410" s="172"/>
      <c r="GXX410" s="172"/>
      <c r="GXY410" s="172"/>
      <c r="GXZ410" s="172"/>
      <c r="GYA410" s="172"/>
      <c r="GYB410" s="172"/>
      <c r="GYC410" s="172"/>
      <c r="GYD410" s="172"/>
      <c r="GYE410" s="172"/>
      <c r="GYF410" s="172"/>
      <c r="GYG410" s="172"/>
      <c r="GYH410" s="172"/>
      <c r="GYI410" s="172"/>
      <c r="GYJ410" s="172"/>
      <c r="GYK410" s="172"/>
      <c r="GYL410" s="172"/>
      <c r="GYM410" s="172"/>
      <c r="GYN410" s="172"/>
      <c r="GYO410" s="172"/>
      <c r="GYP410" s="172"/>
      <c r="GYQ410" s="172"/>
      <c r="GYR410" s="172"/>
      <c r="GYS410" s="172"/>
      <c r="GYT410" s="172"/>
      <c r="GYU410" s="172"/>
      <c r="GYV410" s="172"/>
      <c r="GYW410" s="172"/>
      <c r="GYX410" s="172"/>
      <c r="GYY410" s="172"/>
      <c r="GYZ410" s="172"/>
      <c r="GZA410" s="172"/>
      <c r="GZB410" s="172"/>
      <c r="GZC410" s="172"/>
      <c r="GZD410" s="172"/>
      <c r="GZE410" s="172"/>
      <c r="GZF410" s="172"/>
      <c r="GZG410" s="172"/>
      <c r="GZH410" s="172"/>
      <c r="GZI410" s="172"/>
      <c r="GZJ410" s="172"/>
      <c r="GZK410" s="172"/>
      <c r="GZL410" s="172"/>
      <c r="GZM410" s="172"/>
      <c r="GZN410" s="172"/>
      <c r="GZO410" s="172"/>
      <c r="GZP410" s="172"/>
      <c r="GZQ410" s="172"/>
      <c r="GZR410" s="172"/>
      <c r="GZS410" s="172"/>
      <c r="GZT410" s="172"/>
      <c r="GZU410" s="172"/>
      <c r="GZV410" s="172"/>
      <c r="GZW410" s="172"/>
      <c r="GZX410" s="172"/>
      <c r="GZY410" s="172"/>
      <c r="GZZ410" s="172"/>
      <c r="HAA410" s="172"/>
      <c r="HAB410" s="172"/>
      <c r="HAC410" s="172"/>
      <c r="HAD410" s="172"/>
      <c r="HAE410" s="172"/>
      <c r="HAF410" s="172"/>
      <c r="HAG410" s="172"/>
      <c r="HAH410" s="172"/>
      <c r="HAI410" s="172"/>
      <c r="HAJ410" s="172"/>
      <c r="HAK410" s="172"/>
      <c r="HAL410" s="172"/>
      <c r="HAM410" s="172"/>
      <c r="HAN410" s="172"/>
      <c r="HAO410" s="172"/>
      <c r="HAP410" s="172"/>
      <c r="HAQ410" s="172"/>
      <c r="HAR410" s="172"/>
      <c r="HAS410" s="172"/>
      <c r="HAT410" s="172"/>
      <c r="HAU410" s="172"/>
      <c r="HAV410" s="172"/>
      <c r="HAW410" s="172"/>
      <c r="HAX410" s="172"/>
      <c r="HAY410" s="172"/>
      <c r="HAZ410" s="172"/>
      <c r="HBA410" s="172"/>
      <c r="HBB410" s="172"/>
      <c r="HBC410" s="172"/>
      <c r="HBD410" s="172"/>
      <c r="HBE410" s="172"/>
      <c r="HBF410" s="172"/>
      <c r="HBG410" s="172"/>
      <c r="HBH410" s="172"/>
      <c r="HBI410" s="172"/>
      <c r="HBJ410" s="172"/>
      <c r="HBK410" s="172"/>
      <c r="HBL410" s="172"/>
      <c r="HBM410" s="172"/>
      <c r="HBN410" s="172"/>
      <c r="HBO410" s="172"/>
      <c r="HBP410" s="172"/>
      <c r="HBQ410" s="172"/>
      <c r="HBR410" s="172"/>
      <c r="HBS410" s="172"/>
      <c r="HBT410" s="172"/>
      <c r="HBU410" s="172"/>
      <c r="HBV410" s="172"/>
      <c r="HBW410" s="172"/>
      <c r="HBX410" s="172"/>
      <c r="HBY410" s="172"/>
      <c r="HBZ410" s="172"/>
      <c r="HCA410" s="172"/>
      <c r="HCB410" s="172"/>
      <c r="HCC410" s="172"/>
      <c r="HCD410" s="172"/>
      <c r="HCE410" s="172"/>
      <c r="HCF410" s="172"/>
      <c r="HCG410" s="172"/>
      <c r="HCH410" s="172"/>
      <c r="HCI410" s="172"/>
      <c r="HCJ410" s="172"/>
      <c r="HCK410" s="172"/>
      <c r="HCL410" s="172"/>
      <c r="HCM410" s="172"/>
      <c r="HCN410" s="172"/>
      <c r="HCO410" s="172"/>
      <c r="HCP410" s="172"/>
      <c r="HCQ410" s="172"/>
      <c r="HCR410" s="172"/>
      <c r="HCS410" s="172"/>
      <c r="HCT410" s="172"/>
      <c r="HCU410" s="172"/>
      <c r="HCV410" s="172"/>
      <c r="HCW410" s="172"/>
      <c r="HCX410" s="172"/>
      <c r="HCY410" s="172"/>
      <c r="HCZ410" s="172"/>
      <c r="HDA410" s="172"/>
      <c r="HDB410" s="172"/>
      <c r="HDC410" s="172"/>
      <c r="HDD410" s="172"/>
      <c r="HDE410" s="172"/>
      <c r="HDF410" s="172"/>
      <c r="HDG410" s="172"/>
      <c r="HDH410" s="172"/>
      <c r="HDI410" s="172"/>
      <c r="HDJ410" s="172"/>
      <c r="HDK410" s="172"/>
      <c r="HDL410" s="172"/>
      <c r="HDM410" s="172"/>
      <c r="HDN410" s="172"/>
      <c r="HDO410" s="172"/>
      <c r="HDP410" s="172"/>
      <c r="HDQ410" s="172"/>
      <c r="HDR410" s="172"/>
      <c r="HDS410" s="172"/>
      <c r="HDT410" s="172"/>
      <c r="HDU410" s="172"/>
      <c r="HDV410" s="172"/>
      <c r="HDW410" s="172"/>
      <c r="HDX410" s="172"/>
      <c r="HDY410" s="172"/>
      <c r="HDZ410" s="172"/>
      <c r="HEA410" s="172"/>
      <c r="HEB410" s="172"/>
      <c r="HEC410" s="172"/>
      <c r="HED410" s="172"/>
      <c r="HEE410" s="172"/>
      <c r="HEF410" s="172"/>
      <c r="HEG410" s="172"/>
      <c r="HEH410" s="172"/>
      <c r="HEI410" s="172"/>
      <c r="HEJ410" s="172"/>
      <c r="HEK410" s="172"/>
      <c r="HEL410" s="172"/>
      <c r="HEM410" s="172"/>
      <c r="HEN410" s="172"/>
      <c r="HEO410" s="172"/>
      <c r="HEP410" s="172"/>
      <c r="HEQ410" s="172"/>
      <c r="HER410" s="172"/>
      <c r="HES410" s="172"/>
      <c r="HET410" s="172"/>
      <c r="HEU410" s="172"/>
      <c r="HEV410" s="172"/>
      <c r="HEW410" s="172"/>
      <c r="HEX410" s="172"/>
      <c r="HEY410" s="172"/>
      <c r="HEZ410" s="172"/>
      <c r="HFA410" s="172"/>
      <c r="HFB410" s="172"/>
      <c r="HFC410" s="172"/>
      <c r="HFD410" s="172"/>
      <c r="HFE410" s="172"/>
      <c r="HFF410" s="172"/>
      <c r="HFG410" s="172"/>
      <c r="HFH410" s="172"/>
      <c r="HFI410" s="172"/>
      <c r="HFJ410" s="172"/>
      <c r="HFK410" s="172"/>
      <c r="HFL410" s="172"/>
      <c r="HFM410" s="172"/>
      <c r="HFN410" s="172"/>
      <c r="HFO410" s="172"/>
      <c r="HFP410" s="172"/>
      <c r="HFQ410" s="172"/>
      <c r="HFR410" s="172"/>
      <c r="HFS410" s="172"/>
      <c r="HFT410" s="172"/>
      <c r="HFU410" s="172"/>
      <c r="HFV410" s="172"/>
      <c r="HFW410" s="172"/>
      <c r="HFX410" s="172"/>
      <c r="HFY410" s="172"/>
      <c r="HFZ410" s="172"/>
      <c r="HGA410" s="172"/>
      <c r="HGB410" s="172"/>
      <c r="HGC410" s="172"/>
      <c r="HGD410" s="172"/>
      <c r="HGE410" s="172"/>
      <c r="HGF410" s="172"/>
      <c r="HGG410" s="172"/>
      <c r="HGH410" s="172"/>
      <c r="HGI410" s="172"/>
      <c r="HGJ410" s="172"/>
      <c r="HGK410" s="172"/>
      <c r="HGL410" s="172"/>
      <c r="HGM410" s="172"/>
      <c r="HGN410" s="172"/>
      <c r="HGO410" s="172"/>
      <c r="HGP410" s="172"/>
      <c r="HGQ410" s="172"/>
      <c r="HGR410" s="172"/>
      <c r="HGS410" s="172"/>
      <c r="HGT410" s="172"/>
      <c r="HGU410" s="172"/>
      <c r="HGV410" s="172"/>
      <c r="HGW410" s="172"/>
      <c r="HGX410" s="172"/>
      <c r="HGY410" s="172"/>
      <c r="HGZ410" s="172"/>
      <c r="HHA410" s="172"/>
      <c r="HHB410" s="172"/>
      <c r="HHC410" s="172"/>
      <c r="HHD410" s="172"/>
      <c r="HHE410" s="172"/>
      <c r="HHF410" s="172"/>
      <c r="HHG410" s="172"/>
      <c r="HHH410" s="172"/>
      <c r="HHI410" s="172"/>
      <c r="HHJ410" s="172"/>
      <c r="HHK410" s="172"/>
      <c r="HHL410" s="172"/>
      <c r="HHM410" s="172"/>
      <c r="HHN410" s="172"/>
      <c r="HHO410" s="172"/>
      <c r="HHP410" s="172"/>
      <c r="HHQ410" s="172"/>
      <c r="HHR410" s="172"/>
      <c r="HHS410" s="172"/>
      <c r="HHT410" s="172"/>
      <c r="HHU410" s="172"/>
      <c r="HHV410" s="172"/>
      <c r="HHW410" s="172"/>
      <c r="HHX410" s="172"/>
      <c r="HHY410" s="172"/>
      <c r="HHZ410" s="172"/>
      <c r="HIA410" s="172"/>
      <c r="HIB410" s="172"/>
      <c r="HIC410" s="172"/>
      <c r="HID410" s="172"/>
      <c r="HIE410" s="172"/>
      <c r="HIF410" s="172"/>
      <c r="HIG410" s="172"/>
      <c r="HIH410" s="172"/>
      <c r="HII410" s="172"/>
      <c r="HIJ410" s="172"/>
      <c r="HIK410" s="172"/>
      <c r="HIL410" s="172"/>
      <c r="HIM410" s="172"/>
      <c r="HIN410" s="172"/>
      <c r="HIO410" s="172"/>
      <c r="HIP410" s="172"/>
      <c r="HIQ410" s="172"/>
      <c r="HIR410" s="172"/>
      <c r="HIS410" s="172"/>
      <c r="HIT410" s="172"/>
      <c r="HIU410" s="172"/>
      <c r="HIV410" s="172"/>
      <c r="HIW410" s="172"/>
      <c r="HIX410" s="172"/>
      <c r="HIY410" s="172"/>
      <c r="HIZ410" s="172"/>
      <c r="HJA410" s="172"/>
      <c r="HJB410" s="172"/>
      <c r="HJC410" s="172"/>
      <c r="HJD410" s="172"/>
      <c r="HJE410" s="172"/>
      <c r="HJF410" s="172"/>
      <c r="HJG410" s="172"/>
      <c r="HJH410" s="172"/>
      <c r="HJI410" s="172"/>
      <c r="HJJ410" s="172"/>
      <c r="HJK410" s="172"/>
      <c r="HJL410" s="172"/>
      <c r="HJM410" s="172"/>
      <c r="HJN410" s="172"/>
      <c r="HJO410" s="172"/>
      <c r="HJP410" s="172"/>
      <c r="HJQ410" s="172"/>
      <c r="HJR410" s="172"/>
      <c r="HJS410" s="172"/>
      <c r="HJT410" s="172"/>
      <c r="HJU410" s="172"/>
      <c r="HJV410" s="172"/>
      <c r="HJW410" s="172"/>
      <c r="HJX410" s="172"/>
      <c r="HJY410" s="172"/>
      <c r="HJZ410" s="172"/>
      <c r="HKA410" s="172"/>
      <c r="HKB410" s="172"/>
      <c r="HKC410" s="172"/>
      <c r="HKD410" s="172"/>
      <c r="HKE410" s="172"/>
      <c r="HKF410" s="172"/>
      <c r="HKG410" s="172"/>
      <c r="HKH410" s="172"/>
      <c r="HKI410" s="172"/>
      <c r="HKJ410" s="172"/>
      <c r="HKK410" s="172"/>
      <c r="HKL410" s="172"/>
      <c r="HKM410" s="172"/>
      <c r="HKN410" s="172"/>
      <c r="HKO410" s="172"/>
      <c r="HKP410" s="172"/>
      <c r="HKQ410" s="172"/>
      <c r="HKR410" s="172"/>
      <c r="HKS410" s="172"/>
      <c r="HKT410" s="172"/>
      <c r="HKU410" s="172"/>
      <c r="HKV410" s="172"/>
      <c r="HKW410" s="172"/>
      <c r="HKX410" s="172"/>
      <c r="HKY410" s="172"/>
      <c r="HKZ410" s="172"/>
      <c r="HLA410" s="172"/>
      <c r="HLB410" s="172"/>
      <c r="HLC410" s="172"/>
      <c r="HLD410" s="172"/>
      <c r="HLE410" s="172"/>
      <c r="HLF410" s="172"/>
      <c r="HLG410" s="172"/>
      <c r="HLH410" s="172"/>
      <c r="HLI410" s="172"/>
      <c r="HLJ410" s="172"/>
      <c r="HLK410" s="172"/>
      <c r="HLL410" s="172"/>
      <c r="HLM410" s="172"/>
      <c r="HLN410" s="172"/>
      <c r="HLO410" s="172"/>
      <c r="HLP410" s="172"/>
      <c r="HLQ410" s="172"/>
      <c r="HLR410" s="172"/>
      <c r="HLS410" s="172"/>
      <c r="HLT410" s="172"/>
      <c r="HLU410" s="172"/>
      <c r="HLV410" s="172"/>
      <c r="HLW410" s="172"/>
      <c r="HLX410" s="172"/>
      <c r="HLY410" s="172"/>
      <c r="HLZ410" s="172"/>
      <c r="HMA410" s="172"/>
      <c r="HMB410" s="172"/>
      <c r="HMC410" s="172"/>
      <c r="HMD410" s="172"/>
      <c r="HME410" s="172"/>
      <c r="HMF410" s="172"/>
      <c r="HMG410" s="172"/>
      <c r="HMH410" s="172"/>
      <c r="HMI410" s="172"/>
      <c r="HMJ410" s="172"/>
      <c r="HMK410" s="172"/>
      <c r="HML410" s="172"/>
      <c r="HMM410" s="172"/>
      <c r="HMN410" s="172"/>
      <c r="HMO410" s="172"/>
      <c r="HMP410" s="172"/>
      <c r="HMQ410" s="172"/>
      <c r="HMR410" s="172"/>
      <c r="HMS410" s="172"/>
      <c r="HMT410" s="172"/>
      <c r="HMU410" s="172"/>
      <c r="HMV410" s="172"/>
      <c r="HMW410" s="172"/>
      <c r="HMX410" s="172"/>
      <c r="HMY410" s="172"/>
      <c r="HMZ410" s="172"/>
      <c r="HNA410" s="172"/>
      <c r="HNB410" s="172"/>
      <c r="HNC410" s="172"/>
      <c r="HND410" s="172"/>
      <c r="HNE410" s="172"/>
      <c r="HNF410" s="172"/>
      <c r="HNG410" s="172"/>
      <c r="HNH410" s="172"/>
      <c r="HNI410" s="172"/>
      <c r="HNJ410" s="172"/>
      <c r="HNK410" s="172"/>
      <c r="HNL410" s="172"/>
      <c r="HNM410" s="172"/>
      <c r="HNN410" s="172"/>
      <c r="HNO410" s="172"/>
      <c r="HNP410" s="172"/>
      <c r="HNQ410" s="172"/>
      <c r="HNR410" s="172"/>
      <c r="HNS410" s="172"/>
      <c r="HNT410" s="172"/>
      <c r="HNU410" s="172"/>
      <c r="HNV410" s="172"/>
      <c r="HNW410" s="172"/>
      <c r="HNX410" s="172"/>
      <c r="HNY410" s="172"/>
      <c r="HNZ410" s="172"/>
      <c r="HOA410" s="172"/>
      <c r="HOB410" s="172"/>
      <c r="HOC410" s="172"/>
      <c r="HOD410" s="172"/>
      <c r="HOE410" s="172"/>
      <c r="HOF410" s="172"/>
      <c r="HOG410" s="172"/>
      <c r="HOH410" s="172"/>
      <c r="HOI410" s="172"/>
      <c r="HOJ410" s="172"/>
      <c r="HOK410" s="172"/>
      <c r="HOL410" s="172"/>
      <c r="HOM410" s="172"/>
      <c r="HON410" s="172"/>
      <c r="HOO410" s="172"/>
      <c r="HOP410" s="172"/>
      <c r="HOQ410" s="172"/>
      <c r="HOR410" s="172"/>
      <c r="HOS410" s="172"/>
      <c r="HOT410" s="172"/>
      <c r="HOU410" s="172"/>
      <c r="HOV410" s="172"/>
      <c r="HOW410" s="172"/>
      <c r="HOX410" s="172"/>
      <c r="HOY410" s="172"/>
      <c r="HOZ410" s="172"/>
      <c r="HPA410" s="172"/>
      <c r="HPB410" s="172"/>
      <c r="HPC410" s="172"/>
      <c r="HPD410" s="172"/>
      <c r="HPE410" s="172"/>
      <c r="HPF410" s="172"/>
      <c r="HPG410" s="172"/>
      <c r="HPH410" s="172"/>
      <c r="HPI410" s="172"/>
      <c r="HPJ410" s="172"/>
      <c r="HPK410" s="172"/>
      <c r="HPL410" s="172"/>
      <c r="HPM410" s="172"/>
      <c r="HPN410" s="172"/>
      <c r="HPO410" s="172"/>
      <c r="HPP410" s="172"/>
      <c r="HPQ410" s="172"/>
      <c r="HPR410" s="172"/>
      <c r="HPS410" s="172"/>
      <c r="HPT410" s="172"/>
      <c r="HPU410" s="172"/>
      <c r="HPV410" s="172"/>
      <c r="HPW410" s="172"/>
      <c r="HPX410" s="172"/>
      <c r="HPY410" s="172"/>
      <c r="HPZ410" s="172"/>
      <c r="HQA410" s="172"/>
      <c r="HQB410" s="172"/>
      <c r="HQC410" s="172"/>
      <c r="HQD410" s="172"/>
      <c r="HQE410" s="172"/>
      <c r="HQF410" s="172"/>
      <c r="HQG410" s="172"/>
      <c r="HQH410" s="172"/>
      <c r="HQI410" s="172"/>
      <c r="HQJ410" s="172"/>
      <c r="HQK410" s="172"/>
      <c r="HQL410" s="172"/>
      <c r="HQM410" s="172"/>
      <c r="HQN410" s="172"/>
      <c r="HQO410" s="172"/>
      <c r="HQP410" s="172"/>
      <c r="HQQ410" s="172"/>
      <c r="HQR410" s="172"/>
      <c r="HQS410" s="172"/>
      <c r="HQT410" s="172"/>
      <c r="HQU410" s="172"/>
      <c r="HQV410" s="172"/>
      <c r="HQW410" s="172"/>
      <c r="HQX410" s="172"/>
      <c r="HQY410" s="172"/>
      <c r="HQZ410" s="172"/>
      <c r="HRA410" s="172"/>
      <c r="HRB410" s="172"/>
      <c r="HRC410" s="172"/>
      <c r="HRD410" s="172"/>
      <c r="HRE410" s="172"/>
      <c r="HRF410" s="172"/>
      <c r="HRG410" s="172"/>
      <c r="HRH410" s="172"/>
      <c r="HRI410" s="172"/>
      <c r="HRJ410" s="172"/>
      <c r="HRK410" s="172"/>
      <c r="HRL410" s="172"/>
      <c r="HRM410" s="172"/>
      <c r="HRN410" s="172"/>
      <c r="HRO410" s="172"/>
      <c r="HRP410" s="172"/>
      <c r="HRQ410" s="172"/>
      <c r="HRR410" s="172"/>
      <c r="HRS410" s="172"/>
      <c r="HRT410" s="172"/>
      <c r="HRU410" s="172"/>
      <c r="HRV410" s="172"/>
      <c r="HRW410" s="172"/>
      <c r="HRX410" s="172"/>
      <c r="HRY410" s="172"/>
      <c r="HRZ410" s="172"/>
      <c r="HSA410" s="172"/>
      <c r="HSB410" s="172"/>
      <c r="HSC410" s="172"/>
      <c r="HSD410" s="172"/>
      <c r="HSE410" s="172"/>
      <c r="HSF410" s="172"/>
      <c r="HSG410" s="172"/>
      <c r="HSH410" s="172"/>
      <c r="HSI410" s="172"/>
      <c r="HSJ410" s="172"/>
      <c r="HSK410" s="172"/>
      <c r="HSL410" s="172"/>
      <c r="HSM410" s="172"/>
      <c r="HSN410" s="172"/>
      <c r="HSO410" s="172"/>
      <c r="HSP410" s="172"/>
      <c r="HSQ410" s="172"/>
      <c r="HSR410" s="172"/>
      <c r="HSS410" s="172"/>
      <c r="HST410" s="172"/>
      <c r="HSU410" s="172"/>
      <c r="HSV410" s="172"/>
      <c r="HSW410" s="172"/>
      <c r="HSX410" s="172"/>
      <c r="HSY410" s="172"/>
      <c r="HSZ410" s="172"/>
      <c r="HTA410" s="172"/>
      <c r="HTB410" s="172"/>
      <c r="HTC410" s="172"/>
      <c r="HTD410" s="172"/>
      <c r="HTE410" s="172"/>
      <c r="HTF410" s="172"/>
      <c r="HTG410" s="172"/>
      <c r="HTH410" s="172"/>
      <c r="HTI410" s="172"/>
      <c r="HTJ410" s="172"/>
      <c r="HTK410" s="172"/>
      <c r="HTL410" s="172"/>
      <c r="HTM410" s="172"/>
      <c r="HTN410" s="172"/>
      <c r="HTO410" s="172"/>
      <c r="HTP410" s="172"/>
      <c r="HTQ410" s="172"/>
      <c r="HTR410" s="172"/>
      <c r="HTS410" s="172"/>
      <c r="HTT410" s="172"/>
      <c r="HTU410" s="172"/>
      <c r="HTV410" s="172"/>
      <c r="HTW410" s="172"/>
      <c r="HTX410" s="172"/>
      <c r="HTY410" s="172"/>
      <c r="HTZ410" s="172"/>
      <c r="HUA410" s="172"/>
      <c r="HUB410" s="172"/>
      <c r="HUC410" s="172"/>
      <c r="HUD410" s="172"/>
      <c r="HUE410" s="172"/>
      <c r="HUF410" s="172"/>
      <c r="HUG410" s="172"/>
      <c r="HUH410" s="172"/>
      <c r="HUI410" s="172"/>
      <c r="HUJ410" s="172"/>
      <c r="HUK410" s="172"/>
      <c r="HUL410" s="172"/>
      <c r="HUM410" s="172"/>
      <c r="HUN410" s="172"/>
      <c r="HUO410" s="172"/>
      <c r="HUP410" s="172"/>
      <c r="HUQ410" s="172"/>
      <c r="HUR410" s="172"/>
      <c r="HUS410" s="172"/>
      <c r="HUT410" s="172"/>
      <c r="HUU410" s="172"/>
      <c r="HUV410" s="172"/>
      <c r="HUW410" s="172"/>
      <c r="HUX410" s="172"/>
      <c r="HUY410" s="172"/>
      <c r="HUZ410" s="172"/>
      <c r="HVA410" s="172"/>
      <c r="HVB410" s="172"/>
      <c r="HVC410" s="172"/>
      <c r="HVD410" s="172"/>
      <c r="HVE410" s="172"/>
      <c r="HVF410" s="172"/>
      <c r="HVG410" s="172"/>
      <c r="HVH410" s="172"/>
      <c r="HVI410" s="172"/>
      <c r="HVJ410" s="172"/>
      <c r="HVK410" s="172"/>
      <c r="HVL410" s="172"/>
      <c r="HVM410" s="172"/>
      <c r="HVN410" s="172"/>
      <c r="HVO410" s="172"/>
      <c r="HVP410" s="172"/>
      <c r="HVQ410" s="172"/>
      <c r="HVR410" s="172"/>
      <c r="HVS410" s="172"/>
      <c r="HVT410" s="172"/>
      <c r="HVU410" s="172"/>
      <c r="HVV410" s="172"/>
      <c r="HVW410" s="172"/>
      <c r="HVX410" s="172"/>
      <c r="HVY410" s="172"/>
      <c r="HVZ410" s="172"/>
      <c r="HWA410" s="172"/>
      <c r="HWB410" s="172"/>
      <c r="HWC410" s="172"/>
      <c r="HWD410" s="172"/>
      <c r="HWE410" s="172"/>
      <c r="HWF410" s="172"/>
      <c r="HWG410" s="172"/>
      <c r="HWH410" s="172"/>
      <c r="HWI410" s="172"/>
      <c r="HWJ410" s="172"/>
      <c r="HWK410" s="172"/>
      <c r="HWL410" s="172"/>
      <c r="HWM410" s="172"/>
      <c r="HWN410" s="172"/>
      <c r="HWO410" s="172"/>
      <c r="HWP410" s="172"/>
      <c r="HWQ410" s="172"/>
      <c r="HWR410" s="172"/>
      <c r="HWS410" s="172"/>
      <c r="HWT410" s="172"/>
      <c r="HWU410" s="172"/>
      <c r="HWV410" s="172"/>
      <c r="HWW410" s="172"/>
      <c r="HWX410" s="172"/>
      <c r="HWY410" s="172"/>
      <c r="HWZ410" s="172"/>
      <c r="HXA410" s="172"/>
      <c r="HXB410" s="172"/>
      <c r="HXC410" s="172"/>
      <c r="HXD410" s="172"/>
      <c r="HXE410" s="172"/>
      <c r="HXF410" s="172"/>
      <c r="HXG410" s="172"/>
      <c r="HXH410" s="172"/>
      <c r="HXI410" s="172"/>
      <c r="HXJ410" s="172"/>
      <c r="HXK410" s="172"/>
      <c r="HXL410" s="172"/>
      <c r="HXM410" s="172"/>
      <c r="HXN410" s="172"/>
      <c r="HXO410" s="172"/>
      <c r="HXP410" s="172"/>
      <c r="HXQ410" s="172"/>
      <c r="HXR410" s="172"/>
      <c r="HXS410" s="172"/>
      <c r="HXT410" s="172"/>
      <c r="HXU410" s="172"/>
      <c r="HXV410" s="172"/>
      <c r="HXW410" s="172"/>
      <c r="HXX410" s="172"/>
      <c r="HXY410" s="172"/>
      <c r="HXZ410" s="172"/>
      <c r="HYA410" s="172"/>
      <c r="HYB410" s="172"/>
      <c r="HYC410" s="172"/>
      <c r="HYD410" s="172"/>
      <c r="HYE410" s="172"/>
      <c r="HYF410" s="172"/>
      <c r="HYG410" s="172"/>
      <c r="HYH410" s="172"/>
      <c r="HYI410" s="172"/>
      <c r="HYJ410" s="172"/>
      <c r="HYK410" s="172"/>
      <c r="HYL410" s="172"/>
      <c r="HYM410" s="172"/>
      <c r="HYN410" s="172"/>
      <c r="HYO410" s="172"/>
      <c r="HYP410" s="172"/>
      <c r="HYQ410" s="172"/>
      <c r="HYR410" s="172"/>
      <c r="HYS410" s="172"/>
      <c r="HYT410" s="172"/>
      <c r="HYU410" s="172"/>
      <c r="HYV410" s="172"/>
      <c r="HYW410" s="172"/>
      <c r="HYX410" s="172"/>
      <c r="HYY410" s="172"/>
      <c r="HYZ410" s="172"/>
      <c r="HZA410" s="172"/>
      <c r="HZB410" s="172"/>
      <c r="HZC410" s="172"/>
      <c r="HZD410" s="172"/>
      <c r="HZE410" s="172"/>
      <c r="HZF410" s="172"/>
      <c r="HZG410" s="172"/>
      <c r="HZH410" s="172"/>
      <c r="HZI410" s="172"/>
      <c r="HZJ410" s="172"/>
      <c r="HZK410" s="172"/>
      <c r="HZL410" s="172"/>
      <c r="HZM410" s="172"/>
      <c r="HZN410" s="172"/>
      <c r="HZO410" s="172"/>
      <c r="HZP410" s="172"/>
      <c r="HZQ410" s="172"/>
      <c r="HZR410" s="172"/>
      <c r="HZS410" s="172"/>
      <c r="HZT410" s="172"/>
      <c r="HZU410" s="172"/>
      <c r="HZV410" s="172"/>
      <c r="HZW410" s="172"/>
      <c r="HZX410" s="172"/>
      <c r="HZY410" s="172"/>
      <c r="HZZ410" s="172"/>
      <c r="IAA410" s="172"/>
      <c r="IAB410" s="172"/>
      <c r="IAC410" s="172"/>
      <c r="IAD410" s="172"/>
      <c r="IAE410" s="172"/>
      <c r="IAF410" s="172"/>
      <c r="IAG410" s="172"/>
      <c r="IAH410" s="172"/>
      <c r="IAI410" s="172"/>
      <c r="IAJ410" s="172"/>
      <c r="IAK410" s="172"/>
      <c r="IAL410" s="172"/>
      <c r="IAM410" s="172"/>
      <c r="IAN410" s="172"/>
      <c r="IAO410" s="172"/>
      <c r="IAP410" s="172"/>
      <c r="IAQ410" s="172"/>
      <c r="IAR410" s="172"/>
      <c r="IAS410" s="172"/>
      <c r="IAT410" s="172"/>
      <c r="IAU410" s="172"/>
      <c r="IAV410" s="172"/>
      <c r="IAW410" s="172"/>
      <c r="IAX410" s="172"/>
      <c r="IAY410" s="172"/>
      <c r="IAZ410" s="172"/>
      <c r="IBA410" s="172"/>
      <c r="IBB410" s="172"/>
      <c r="IBC410" s="172"/>
      <c r="IBD410" s="172"/>
      <c r="IBE410" s="172"/>
      <c r="IBF410" s="172"/>
      <c r="IBG410" s="172"/>
      <c r="IBH410" s="172"/>
      <c r="IBI410" s="172"/>
      <c r="IBJ410" s="172"/>
      <c r="IBK410" s="172"/>
      <c r="IBL410" s="172"/>
      <c r="IBM410" s="172"/>
      <c r="IBN410" s="172"/>
      <c r="IBO410" s="172"/>
      <c r="IBP410" s="172"/>
      <c r="IBQ410" s="172"/>
      <c r="IBR410" s="172"/>
      <c r="IBS410" s="172"/>
      <c r="IBT410" s="172"/>
      <c r="IBU410" s="172"/>
      <c r="IBV410" s="172"/>
      <c r="IBW410" s="172"/>
      <c r="IBX410" s="172"/>
      <c r="IBY410" s="172"/>
      <c r="IBZ410" s="172"/>
      <c r="ICA410" s="172"/>
      <c r="ICB410" s="172"/>
      <c r="ICC410" s="172"/>
      <c r="ICD410" s="172"/>
      <c r="ICE410" s="172"/>
      <c r="ICF410" s="172"/>
      <c r="ICG410" s="172"/>
      <c r="ICH410" s="172"/>
      <c r="ICI410" s="172"/>
      <c r="ICJ410" s="172"/>
      <c r="ICK410" s="172"/>
      <c r="ICL410" s="172"/>
      <c r="ICM410" s="172"/>
      <c r="ICN410" s="172"/>
      <c r="ICO410" s="172"/>
      <c r="ICP410" s="172"/>
      <c r="ICQ410" s="172"/>
      <c r="ICR410" s="172"/>
      <c r="ICS410" s="172"/>
      <c r="ICT410" s="172"/>
      <c r="ICU410" s="172"/>
      <c r="ICV410" s="172"/>
      <c r="ICW410" s="172"/>
      <c r="ICX410" s="172"/>
      <c r="ICY410" s="172"/>
      <c r="ICZ410" s="172"/>
      <c r="IDA410" s="172"/>
      <c r="IDB410" s="172"/>
      <c r="IDC410" s="172"/>
      <c r="IDD410" s="172"/>
      <c r="IDE410" s="172"/>
      <c r="IDF410" s="172"/>
      <c r="IDG410" s="172"/>
      <c r="IDH410" s="172"/>
      <c r="IDI410" s="172"/>
      <c r="IDJ410" s="172"/>
      <c r="IDK410" s="172"/>
      <c r="IDL410" s="172"/>
      <c r="IDM410" s="172"/>
      <c r="IDN410" s="172"/>
      <c r="IDO410" s="172"/>
      <c r="IDP410" s="172"/>
      <c r="IDQ410" s="172"/>
      <c r="IDR410" s="172"/>
      <c r="IDS410" s="172"/>
      <c r="IDT410" s="172"/>
      <c r="IDU410" s="172"/>
      <c r="IDV410" s="172"/>
      <c r="IDW410" s="172"/>
      <c r="IDX410" s="172"/>
      <c r="IDY410" s="172"/>
      <c r="IDZ410" s="172"/>
      <c r="IEA410" s="172"/>
      <c r="IEB410" s="172"/>
      <c r="IEC410" s="172"/>
      <c r="IED410" s="172"/>
      <c r="IEE410" s="172"/>
      <c r="IEF410" s="172"/>
      <c r="IEG410" s="172"/>
      <c r="IEH410" s="172"/>
      <c r="IEI410" s="172"/>
      <c r="IEJ410" s="172"/>
      <c r="IEK410" s="172"/>
      <c r="IEL410" s="172"/>
      <c r="IEM410" s="172"/>
      <c r="IEN410" s="172"/>
      <c r="IEO410" s="172"/>
      <c r="IEP410" s="172"/>
      <c r="IEQ410" s="172"/>
      <c r="IER410" s="172"/>
      <c r="IES410" s="172"/>
      <c r="IET410" s="172"/>
      <c r="IEU410" s="172"/>
      <c r="IEV410" s="172"/>
      <c r="IEW410" s="172"/>
      <c r="IEX410" s="172"/>
      <c r="IEY410" s="172"/>
      <c r="IEZ410" s="172"/>
      <c r="IFA410" s="172"/>
      <c r="IFB410" s="172"/>
      <c r="IFC410" s="172"/>
      <c r="IFD410" s="172"/>
      <c r="IFE410" s="172"/>
      <c r="IFF410" s="172"/>
      <c r="IFG410" s="172"/>
      <c r="IFH410" s="172"/>
      <c r="IFI410" s="172"/>
      <c r="IFJ410" s="172"/>
      <c r="IFK410" s="172"/>
      <c r="IFL410" s="172"/>
      <c r="IFM410" s="172"/>
      <c r="IFN410" s="172"/>
      <c r="IFO410" s="172"/>
      <c r="IFP410" s="172"/>
      <c r="IFQ410" s="172"/>
      <c r="IFR410" s="172"/>
      <c r="IFS410" s="172"/>
      <c r="IFT410" s="172"/>
      <c r="IFU410" s="172"/>
      <c r="IFV410" s="172"/>
      <c r="IFW410" s="172"/>
      <c r="IFX410" s="172"/>
      <c r="IFY410" s="172"/>
      <c r="IFZ410" s="172"/>
      <c r="IGA410" s="172"/>
      <c r="IGB410" s="172"/>
      <c r="IGC410" s="172"/>
      <c r="IGD410" s="172"/>
      <c r="IGE410" s="172"/>
      <c r="IGF410" s="172"/>
      <c r="IGG410" s="172"/>
      <c r="IGH410" s="172"/>
      <c r="IGI410" s="172"/>
      <c r="IGJ410" s="172"/>
      <c r="IGK410" s="172"/>
      <c r="IGL410" s="172"/>
      <c r="IGM410" s="172"/>
      <c r="IGN410" s="172"/>
      <c r="IGO410" s="172"/>
      <c r="IGP410" s="172"/>
      <c r="IGQ410" s="172"/>
      <c r="IGR410" s="172"/>
      <c r="IGS410" s="172"/>
      <c r="IGT410" s="172"/>
      <c r="IGU410" s="172"/>
      <c r="IGV410" s="172"/>
      <c r="IGW410" s="172"/>
      <c r="IGX410" s="172"/>
      <c r="IGY410" s="172"/>
      <c r="IGZ410" s="172"/>
      <c r="IHA410" s="172"/>
      <c r="IHB410" s="172"/>
      <c r="IHC410" s="172"/>
      <c r="IHD410" s="172"/>
      <c r="IHE410" s="172"/>
      <c r="IHF410" s="172"/>
      <c r="IHG410" s="172"/>
      <c r="IHH410" s="172"/>
      <c r="IHI410" s="172"/>
      <c r="IHJ410" s="172"/>
      <c r="IHK410" s="172"/>
      <c r="IHL410" s="172"/>
      <c r="IHM410" s="172"/>
      <c r="IHN410" s="172"/>
      <c r="IHO410" s="172"/>
      <c r="IHP410" s="172"/>
      <c r="IHQ410" s="172"/>
      <c r="IHR410" s="172"/>
      <c r="IHS410" s="172"/>
      <c r="IHT410" s="172"/>
      <c r="IHU410" s="172"/>
      <c r="IHV410" s="172"/>
      <c r="IHW410" s="172"/>
      <c r="IHX410" s="172"/>
      <c r="IHY410" s="172"/>
      <c r="IHZ410" s="172"/>
      <c r="IIA410" s="172"/>
      <c r="IIB410" s="172"/>
      <c r="IIC410" s="172"/>
      <c r="IID410" s="172"/>
      <c r="IIE410" s="172"/>
      <c r="IIF410" s="172"/>
      <c r="IIG410" s="172"/>
      <c r="IIH410" s="172"/>
      <c r="III410" s="172"/>
      <c r="IIJ410" s="172"/>
      <c r="IIK410" s="172"/>
      <c r="IIL410" s="172"/>
      <c r="IIM410" s="172"/>
      <c r="IIN410" s="172"/>
      <c r="IIO410" s="172"/>
      <c r="IIP410" s="172"/>
      <c r="IIQ410" s="172"/>
      <c r="IIR410" s="172"/>
      <c r="IIS410" s="172"/>
      <c r="IIT410" s="172"/>
      <c r="IIU410" s="172"/>
      <c r="IIV410" s="172"/>
      <c r="IIW410" s="172"/>
      <c r="IIX410" s="172"/>
      <c r="IIY410" s="172"/>
      <c r="IIZ410" s="172"/>
      <c r="IJA410" s="172"/>
      <c r="IJB410" s="172"/>
      <c r="IJC410" s="172"/>
      <c r="IJD410" s="172"/>
      <c r="IJE410" s="172"/>
      <c r="IJF410" s="172"/>
      <c r="IJG410" s="172"/>
      <c r="IJH410" s="172"/>
      <c r="IJI410" s="172"/>
      <c r="IJJ410" s="172"/>
      <c r="IJK410" s="172"/>
      <c r="IJL410" s="172"/>
      <c r="IJM410" s="172"/>
      <c r="IJN410" s="172"/>
      <c r="IJO410" s="172"/>
      <c r="IJP410" s="172"/>
      <c r="IJQ410" s="172"/>
      <c r="IJR410" s="172"/>
      <c r="IJS410" s="172"/>
      <c r="IJT410" s="172"/>
      <c r="IJU410" s="172"/>
      <c r="IJV410" s="172"/>
      <c r="IJW410" s="172"/>
      <c r="IJX410" s="172"/>
      <c r="IJY410" s="172"/>
      <c r="IJZ410" s="172"/>
      <c r="IKA410" s="172"/>
      <c r="IKB410" s="172"/>
      <c r="IKC410" s="172"/>
      <c r="IKD410" s="172"/>
      <c r="IKE410" s="172"/>
      <c r="IKF410" s="172"/>
      <c r="IKG410" s="172"/>
      <c r="IKH410" s="172"/>
      <c r="IKI410" s="172"/>
      <c r="IKJ410" s="172"/>
      <c r="IKK410" s="172"/>
      <c r="IKL410" s="172"/>
      <c r="IKM410" s="172"/>
      <c r="IKN410" s="172"/>
      <c r="IKO410" s="172"/>
      <c r="IKP410" s="172"/>
      <c r="IKQ410" s="172"/>
      <c r="IKR410" s="172"/>
      <c r="IKS410" s="172"/>
      <c r="IKT410" s="172"/>
      <c r="IKU410" s="172"/>
      <c r="IKV410" s="172"/>
      <c r="IKW410" s="172"/>
      <c r="IKX410" s="172"/>
      <c r="IKY410" s="172"/>
      <c r="IKZ410" s="172"/>
      <c r="ILA410" s="172"/>
      <c r="ILB410" s="172"/>
      <c r="ILC410" s="172"/>
      <c r="ILD410" s="172"/>
      <c r="ILE410" s="172"/>
      <c r="ILF410" s="172"/>
      <c r="ILG410" s="172"/>
      <c r="ILH410" s="172"/>
      <c r="ILI410" s="172"/>
      <c r="ILJ410" s="172"/>
      <c r="ILK410" s="172"/>
      <c r="ILL410" s="172"/>
      <c r="ILM410" s="172"/>
      <c r="ILN410" s="172"/>
      <c r="ILO410" s="172"/>
      <c r="ILP410" s="172"/>
      <c r="ILQ410" s="172"/>
      <c r="ILR410" s="172"/>
      <c r="ILS410" s="172"/>
      <c r="ILT410" s="172"/>
      <c r="ILU410" s="172"/>
      <c r="ILV410" s="172"/>
      <c r="ILW410" s="172"/>
      <c r="ILX410" s="172"/>
      <c r="ILY410" s="172"/>
      <c r="ILZ410" s="172"/>
      <c r="IMA410" s="172"/>
      <c r="IMB410" s="172"/>
      <c r="IMC410" s="172"/>
      <c r="IMD410" s="172"/>
      <c r="IME410" s="172"/>
      <c r="IMF410" s="172"/>
      <c r="IMG410" s="172"/>
      <c r="IMH410" s="172"/>
      <c r="IMI410" s="172"/>
      <c r="IMJ410" s="172"/>
      <c r="IMK410" s="172"/>
      <c r="IML410" s="172"/>
      <c r="IMM410" s="172"/>
      <c r="IMN410" s="172"/>
      <c r="IMO410" s="172"/>
      <c r="IMP410" s="172"/>
      <c r="IMQ410" s="172"/>
      <c r="IMR410" s="172"/>
      <c r="IMS410" s="172"/>
      <c r="IMT410" s="172"/>
      <c r="IMU410" s="172"/>
      <c r="IMV410" s="172"/>
      <c r="IMW410" s="172"/>
      <c r="IMX410" s="172"/>
      <c r="IMY410" s="172"/>
      <c r="IMZ410" s="172"/>
      <c r="INA410" s="172"/>
      <c r="INB410" s="172"/>
      <c r="INC410" s="172"/>
      <c r="IND410" s="172"/>
      <c r="INE410" s="172"/>
      <c r="INF410" s="172"/>
      <c r="ING410" s="172"/>
      <c r="INH410" s="172"/>
      <c r="INI410" s="172"/>
      <c r="INJ410" s="172"/>
      <c r="INK410" s="172"/>
      <c r="INL410" s="172"/>
      <c r="INM410" s="172"/>
      <c r="INN410" s="172"/>
      <c r="INO410" s="172"/>
      <c r="INP410" s="172"/>
      <c r="INQ410" s="172"/>
      <c r="INR410" s="172"/>
      <c r="INS410" s="172"/>
      <c r="INT410" s="172"/>
      <c r="INU410" s="172"/>
      <c r="INV410" s="172"/>
      <c r="INW410" s="172"/>
      <c r="INX410" s="172"/>
      <c r="INY410" s="172"/>
      <c r="INZ410" s="172"/>
      <c r="IOA410" s="172"/>
      <c r="IOB410" s="172"/>
      <c r="IOC410" s="172"/>
      <c r="IOD410" s="172"/>
      <c r="IOE410" s="172"/>
      <c r="IOF410" s="172"/>
      <c r="IOG410" s="172"/>
      <c r="IOH410" s="172"/>
      <c r="IOI410" s="172"/>
      <c r="IOJ410" s="172"/>
      <c r="IOK410" s="172"/>
      <c r="IOL410" s="172"/>
      <c r="IOM410" s="172"/>
      <c r="ION410" s="172"/>
      <c r="IOO410" s="172"/>
      <c r="IOP410" s="172"/>
      <c r="IOQ410" s="172"/>
      <c r="IOR410" s="172"/>
      <c r="IOS410" s="172"/>
      <c r="IOT410" s="172"/>
      <c r="IOU410" s="172"/>
      <c r="IOV410" s="172"/>
      <c r="IOW410" s="172"/>
      <c r="IOX410" s="172"/>
      <c r="IOY410" s="172"/>
      <c r="IOZ410" s="172"/>
      <c r="IPA410" s="172"/>
      <c r="IPB410" s="172"/>
      <c r="IPC410" s="172"/>
      <c r="IPD410" s="172"/>
      <c r="IPE410" s="172"/>
      <c r="IPF410" s="172"/>
      <c r="IPG410" s="172"/>
      <c r="IPH410" s="172"/>
      <c r="IPI410" s="172"/>
      <c r="IPJ410" s="172"/>
      <c r="IPK410" s="172"/>
      <c r="IPL410" s="172"/>
      <c r="IPM410" s="172"/>
      <c r="IPN410" s="172"/>
      <c r="IPO410" s="172"/>
      <c r="IPP410" s="172"/>
      <c r="IPQ410" s="172"/>
      <c r="IPR410" s="172"/>
      <c r="IPS410" s="172"/>
      <c r="IPT410" s="172"/>
      <c r="IPU410" s="172"/>
      <c r="IPV410" s="172"/>
      <c r="IPW410" s="172"/>
      <c r="IPX410" s="172"/>
      <c r="IPY410" s="172"/>
      <c r="IPZ410" s="172"/>
      <c r="IQA410" s="172"/>
      <c r="IQB410" s="172"/>
      <c r="IQC410" s="172"/>
      <c r="IQD410" s="172"/>
      <c r="IQE410" s="172"/>
      <c r="IQF410" s="172"/>
      <c r="IQG410" s="172"/>
      <c r="IQH410" s="172"/>
      <c r="IQI410" s="172"/>
      <c r="IQJ410" s="172"/>
      <c r="IQK410" s="172"/>
      <c r="IQL410" s="172"/>
      <c r="IQM410" s="172"/>
      <c r="IQN410" s="172"/>
      <c r="IQO410" s="172"/>
      <c r="IQP410" s="172"/>
      <c r="IQQ410" s="172"/>
      <c r="IQR410" s="172"/>
      <c r="IQS410" s="172"/>
      <c r="IQT410" s="172"/>
      <c r="IQU410" s="172"/>
      <c r="IQV410" s="172"/>
      <c r="IQW410" s="172"/>
      <c r="IQX410" s="172"/>
      <c r="IQY410" s="172"/>
      <c r="IQZ410" s="172"/>
      <c r="IRA410" s="172"/>
      <c r="IRB410" s="172"/>
      <c r="IRC410" s="172"/>
      <c r="IRD410" s="172"/>
      <c r="IRE410" s="172"/>
      <c r="IRF410" s="172"/>
      <c r="IRG410" s="172"/>
      <c r="IRH410" s="172"/>
      <c r="IRI410" s="172"/>
      <c r="IRJ410" s="172"/>
      <c r="IRK410" s="172"/>
      <c r="IRL410" s="172"/>
      <c r="IRM410" s="172"/>
      <c r="IRN410" s="172"/>
      <c r="IRO410" s="172"/>
      <c r="IRP410" s="172"/>
      <c r="IRQ410" s="172"/>
      <c r="IRR410" s="172"/>
      <c r="IRS410" s="172"/>
      <c r="IRT410" s="172"/>
      <c r="IRU410" s="172"/>
      <c r="IRV410" s="172"/>
      <c r="IRW410" s="172"/>
      <c r="IRX410" s="172"/>
      <c r="IRY410" s="172"/>
      <c r="IRZ410" s="172"/>
      <c r="ISA410" s="172"/>
      <c r="ISB410" s="172"/>
      <c r="ISC410" s="172"/>
      <c r="ISD410" s="172"/>
      <c r="ISE410" s="172"/>
      <c r="ISF410" s="172"/>
      <c r="ISG410" s="172"/>
      <c r="ISH410" s="172"/>
      <c r="ISI410" s="172"/>
      <c r="ISJ410" s="172"/>
      <c r="ISK410" s="172"/>
      <c r="ISL410" s="172"/>
      <c r="ISM410" s="172"/>
      <c r="ISN410" s="172"/>
      <c r="ISO410" s="172"/>
      <c r="ISP410" s="172"/>
      <c r="ISQ410" s="172"/>
      <c r="ISR410" s="172"/>
      <c r="ISS410" s="172"/>
      <c r="IST410" s="172"/>
      <c r="ISU410" s="172"/>
      <c r="ISV410" s="172"/>
      <c r="ISW410" s="172"/>
      <c r="ISX410" s="172"/>
      <c r="ISY410" s="172"/>
      <c r="ISZ410" s="172"/>
      <c r="ITA410" s="172"/>
      <c r="ITB410" s="172"/>
      <c r="ITC410" s="172"/>
      <c r="ITD410" s="172"/>
      <c r="ITE410" s="172"/>
      <c r="ITF410" s="172"/>
      <c r="ITG410" s="172"/>
      <c r="ITH410" s="172"/>
      <c r="ITI410" s="172"/>
      <c r="ITJ410" s="172"/>
      <c r="ITK410" s="172"/>
      <c r="ITL410" s="172"/>
      <c r="ITM410" s="172"/>
      <c r="ITN410" s="172"/>
      <c r="ITO410" s="172"/>
      <c r="ITP410" s="172"/>
      <c r="ITQ410" s="172"/>
      <c r="ITR410" s="172"/>
      <c r="ITS410" s="172"/>
      <c r="ITT410" s="172"/>
      <c r="ITU410" s="172"/>
      <c r="ITV410" s="172"/>
      <c r="ITW410" s="172"/>
      <c r="ITX410" s="172"/>
      <c r="ITY410" s="172"/>
      <c r="ITZ410" s="172"/>
      <c r="IUA410" s="172"/>
      <c r="IUB410" s="172"/>
      <c r="IUC410" s="172"/>
      <c r="IUD410" s="172"/>
      <c r="IUE410" s="172"/>
      <c r="IUF410" s="172"/>
      <c r="IUG410" s="172"/>
      <c r="IUH410" s="172"/>
      <c r="IUI410" s="172"/>
      <c r="IUJ410" s="172"/>
      <c r="IUK410" s="172"/>
      <c r="IUL410" s="172"/>
      <c r="IUM410" s="172"/>
      <c r="IUN410" s="172"/>
      <c r="IUO410" s="172"/>
      <c r="IUP410" s="172"/>
      <c r="IUQ410" s="172"/>
      <c r="IUR410" s="172"/>
      <c r="IUS410" s="172"/>
      <c r="IUT410" s="172"/>
      <c r="IUU410" s="172"/>
      <c r="IUV410" s="172"/>
      <c r="IUW410" s="172"/>
      <c r="IUX410" s="172"/>
      <c r="IUY410" s="172"/>
      <c r="IUZ410" s="172"/>
      <c r="IVA410" s="172"/>
      <c r="IVB410" s="172"/>
      <c r="IVC410" s="172"/>
      <c r="IVD410" s="172"/>
      <c r="IVE410" s="172"/>
      <c r="IVF410" s="172"/>
      <c r="IVG410" s="172"/>
      <c r="IVH410" s="172"/>
      <c r="IVI410" s="172"/>
      <c r="IVJ410" s="172"/>
      <c r="IVK410" s="172"/>
      <c r="IVL410" s="172"/>
      <c r="IVM410" s="172"/>
      <c r="IVN410" s="172"/>
      <c r="IVO410" s="172"/>
      <c r="IVP410" s="172"/>
      <c r="IVQ410" s="172"/>
      <c r="IVR410" s="172"/>
      <c r="IVS410" s="172"/>
      <c r="IVT410" s="172"/>
      <c r="IVU410" s="172"/>
      <c r="IVV410" s="172"/>
      <c r="IVW410" s="172"/>
      <c r="IVX410" s="172"/>
      <c r="IVY410" s="172"/>
      <c r="IVZ410" s="172"/>
      <c r="IWA410" s="172"/>
      <c r="IWB410" s="172"/>
      <c r="IWC410" s="172"/>
      <c r="IWD410" s="172"/>
      <c r="IWE410" s="172"/>
      <c r="IWF410" s="172"/>
      <c r="IWG410" s="172"/>
      <c r="IWH410" s="172"/>
      <c r="IWI410" s="172"/>
      <c r="IWJ410" s="172"/>
      <c r="IWK410" s="172"/>
      <c r="IWL410" s="172"/>
      <c r="IWM410" s="172"/>
      <c r="IWN410" s="172"/>
      <c r="IWO410" s="172"/>
      <c r="IWP410" s="172"/>
      <c r="IWQ410" s="172"/>
      <c r="IWR410" s="172"/>
      <c r="IWS410" s="172"/>
      <c r="IWT410" s="172"/>
      <c r="IWU410" s="172"/>
      <c r="IWV410" s="172"/>
      <c r="IWW410" s="172"/>
      <c r="IWX410" s="172"/>
      <c r="IWY410" s="172"/>
      <c r="IWZ410" s="172"/>
      <c r="IXA410" s="172"/>
      <c r="IXB410" s="172"/>
      <c r="IXC410" s="172"/>
      <c r="IXD410" s="172"/>
      <c r="IXE410" s="172"/>
      <c r="IXF410" s="172"/>
      <c r="IXG410" s="172"/>
      <c r="IXH410" s="172"/>
      <c r="IXI410" s="172"/>
      <c r="IXJ410" s="172"/>
      <c r="IXK410" s="172"/>
      <c r="IXL410" s="172"/>
      <c r="IXM410" s="172"/>
      <c r="IXN410" s="172"/>
      <c r="IXO410" s="172"/>
      <c r="IXP410" s="172"/>
      <c r="IXQ410" s="172"/>
      <c r="IXR410" s="172"/>
      <c r="IXS410" s="172"/>
      <c r="IXT410" s="172"/>
      <c r="IXU410" s="172"/>
      <c r="IXV410" s="172"/>
      <c r="IXW410" s="172"/>
      <c r="IXX410" s="172"/>
      <c r="IXY410" s="172"/>
      <c r="IXZ410" s="172"/>
      <c r="IYA410" s="172"/>
      <c r="IYB410" s="172"/>
      <c r="IYC410" s="172"/>
      <c r="IYD410" s="172"/>
      <c r="IYE410" s="172"/>
      <c r="IYF410" s="172"/>
      <c r="IYG410" s="172"/>
      <c r="IYH410" s="172"/>
      <c r="IYI410" s="172"/>
      <c r="IYJ410" s="172"/>
      <c r="IYK410" s="172"/>
      <c r="IYL410" s="172"/>
      <c r="IYM410" s="172"/>
      <c r="IYN410" s="172"/>
      <c r="IYO410" s="172"/>
      <c r="IYP410" s="172"/>
      <c r="IYQ410" s="172"/>
      <c r="IYR410" s="172"/>
      <c r="IYS410" s="172"/>
      <c r="IYT410" s="172"/>
      <c r="IYU410" s="172"/>
      <c r="IYV410" s="172"/>
      <c r="IYW410" s="172"/>
      <c r="IYX410" s="172"/>
      <c r="IYY410" s="172"/>
      <c r="IYZ410" s="172"/>
      <c r="IZA410" s="172"/>
      <c r="IZB410" s="172"/>
      <c r="IZC410" s="172"/>
      <c r="IZD410" s="172"/>
      <c r="IZE410" s="172"/>
      <c r="IZF410" s="172"/>
      <c r="IZG410" s="172"/>
      <c r="IZH410" s="172"/>
      <c r="IZI410" s="172"/>
      <c r="IZJ410" s="172"/>
      <c r="IZK410" s="172"/>
      <c r="IZL410" s="172"/>
      <c r="IZM410" s="172"/>
      <c r="IZN410" s="172"/>
      <c r="IZO410" s="172"/>
      <c r="IZP410" s="172"/>
      <c r="IZQ410" s="172"/>
      <c r="IZR410" s="172"/>
      <c r="IZS410" s="172"/>
      <c r="IZT410" s="172"/>
      <c r="IZU410" s="172"/>
      <c r="IZV410" s="172"/>
      <c r="IZW410" s="172"/>
      <c r="IZX410" s="172"/>
      <c r="IZY410" s="172"/>
      <c r="IZZ410" s="172"/>
      <c r="JAA410" s="172"/>
      <c r="JAB410" s="172"/>
      <c r="JAC410" s="172"/>
      <c r="JAD410" s="172"/>
      <c r="JAE410" s="172"/>
      <c r="JAF410" s="172"/>
      <c r="JAG410" s="172"/>
      <c r="JAH410" s="172"/>
      <c r="JAI410" s="172"/>
      <c r="JAJ410" s="172"/>
      <c r="JAK410" s="172"/>
      <c r="JAL410" s="172"/>
      <c r="JAM410" s="172"/>
      <c r="JAN410" s="172"/>
      <c r="JAO410" s="172"/>
      <c r="JAP410" s="172"/>
      <c r="JAQ410" s="172"/>
      <c r="JAR410" s="172"/>
      <c r="JAS410" s="172"/>
      <c r="JAT410" s="172"/>
      <c r="JAU410" s="172"/>
      <c r="JAV410" s="172"/>
      <c r="JAW410" s="172"/>
      <c r="JAX410" s="172"/>
      <c r="JAY410" s="172"/>
      <c r="JAZ410" s="172"/>
      <c r="JBA410" s="172"/>
      <c r="JBB410" s="172"/>
      <c r="JBC410" s="172"/>
      <c r="JBD410" s="172"/>
      <c r="JBE410" s="172"/>
      <c r="JBF410" s="172"/>
      <c r="JBG410" s="172"/>
      <c r="JBH410" s="172"/>
      <c r="JBI410" s="172"/>
      <c r="JBJ410" s="172"/>
      <c r="JBK410" s="172"/>
      <c r="JBL410" s="172"/>
      <c r="JBM410" s="172"/>
      <c r="JBN410" s="172"/>
      <c r="JBO410" s="172"/>
      <c r="JBP410" s="172"/>
      <c r="JBQ410" s="172"/>
      <c r="JBR410" s="172"/>
      <c r="JBS410" s="172"/>
      <c r="JBT410" s="172"/>
      <c r="JBU410" s="172"/>
      <c r="JBV410" s="172"/>
      <c r="JBW410" s="172"/>
      <c r="JBX410" s="172"/>
      <c r="JBY410" s="172"/>
      <c r="JBZ410" s="172"/>
      <c r="JCA410" s="172"/>
      <c r="JCB410" s="172"/>
      <c r="JCC410" s="172"/>
      <c r="JCD410" s="172"/>
      <c r="JCE410" s="172"/>
      <c r="JCF410" s="172"/>
      <c r="JCG410" s="172"/>
      <c r="JCH410" s="172"/>
      <c r="JCI410" s="172"/>
      <c r="JCJ410" s="172"/>
      <c r="JCK410" s="172"/>
      <c r="JCL410" s="172"/>
      <c r="JCM410" s="172"/>
      <c r="JCN410" s="172"/>
      <c r="JCO410" s="172"/>
      <c r="JCP410" s="172"/>
      <c r="JCQ410" s="172"/>
      <c r="JCR410" s="172"/>
      <c r="JCS410" s="172"/>
      <c r="JCT410" s="172"/>
      <c r="JCU410" s="172"/>
      <c r="JCV410" s="172"/>
      <c r="JCW410" s="172"/>
      <c r="JCX410" s="172"/>
      <c r="JCY410" s="172"/>
      <c r="JCZ410" s="172"/>
      <c r="JDA410" s="172"/>
      <c r="JDB410" s="172"/>
      <c r="JDC410" s="172"/>
      <c r="JDD410" s="172"/>
      <c r="JDE410" s="172"/>
      <c r="JDF410" s="172"/>
      <c r="JDG410" s="172"/>
      <c r="JDH410" s="172"/>
      <c r="JDI410" s="172"/>
      <c r="JDJ410" s="172"/>
      <c r="JDK410" s="172"/>
      <c r="JDL410" s="172"/>
      <c r="JDM410" s="172"/>
      <c r="JDN410" s="172"/>
      <c r="JDO410" s="172"/>
      <c r="JDP410" s="172"/>
      <c r="JDQ410" s="172"/>
      <c r="JDR410" s="172"/>
      <c r="JDS410" s="172"/>
      <c r="JDT410" s="172"/>
      <c r="JDU410" s="172"/>
      <c r="JDV410" s="172"/>
      <c r="JDW410" s="172"/>
      <c r="JDX410" s="172"/>
      <c r="JDY410" s="172"/>
      <c r="JDZ410" s="172"/>
      <c r="JEA410" s="172"/>
      <c r="JEB410" s="172"/>
      <c r="JEC410" s="172"/>
      <c r="JED410" s="172"/>
      <c r="JEE410" s="172"/>
      <c r="JEF410" s="172"/>
      <c r="JEG410" s="172"/>
      <c r="JEH410" s="172"/>
      <c r="JEI410" s="172"/>
      <c r="JEJ410" s="172"/>
      <c r="JEK410" s="172"/>
      <c r="JEL410" s="172"/>
      <c r="JEM410" s="172"/>
      <c r="JEN410" s="172"/>
      <c r="JEO410" s="172"/>
      <c r="JEP410" s="172"/>
      <c r="JEQ410" s="172"/>
      <c r="JER410" s="172"/>
      <c r="JES410" s="172"/>
      <c r="JET410" s="172"/>
      <c r="JEU410" s="172"/>
      <c r="JEV410" s="172"/>
      <c r="JEW410" s="172"/>
      <c r="JEX410" s="172"/>
      <c r="JEY410" s="172"/>
      <c r="JEZ410" s="172"/>
      <c r="JFA410" s="172"/>
      <c r="JFB410" s="172"/>
      <c r="JFC410" s="172"/>
      <c r="JFD410" s="172"/>
      <c r="JFE410" s="172"/>
      <c r="JFF410" s="172"/>
      <c r="JFG410" s="172"/>
      <c r="JFH410" s="172"/>
      <c r="JFI410" s="172"/>
      <c r="JFJ410" s="172"/>
      <c r="JFK410" s="172"/>
      <c r="JFL410" s="172"/>
      <c r="JFM410" s="172"/>
      <c r="JFN410" s="172"/>
      <c r="JFO410" s="172"/>
      <c r="JFP410" s="172"/>
      <c r="JFQ410" s="172"/>
      <c r="JFR410" s="172"/>
      <c r="JFS410" s="172"/>
      <c r="JFT410" s="172"/>
      <c r="JFU410" s="172"/>
      <c r="JFV410" s="172"/>
      <c r="JFW410" s="172"/>
      <c r="JFX410" s="172"/>
      <c r="JFY410" s="172"/>
      <c r="JFZ410" s="172"/>
      <c r="JGA410" s="172"/>
      <c r="JGB410" s="172"/>
      <c r="JGC410" s="172"/>
      <c r="JGD410" s="172"/>
      <c r="JGE410" s="172"/>
      <c r="JGF410" s="172"/>
      <c r="JGG410" s="172"/>
      <c r="JGH410" s="172"/>
      <c r="JGI410" s="172"/>
      <c r="JGJ410" s="172"/>
      <c r="JGK410" s="172"/>
      <c r="JGL410" s="172"/>
      <c r="JGM410" s="172"/>
      <c r="JGN410" s="172"/>
      <c r="JGO410" s="172"/>
      <c r="JGP410" s="172"/>
      <c r="JGQ410" s="172"/>
      <c r="JGR410" s="172"/>
      <c r="JGS410" s="172"/>
      <c r="JGT410" s="172"/>
      <c r="JGU410" s="172"/>
      <c r="JGV410" s="172"/>
      <c r="JGW410" s="172"/>
      <c r="JGX410" s="172"/>
      <c r="JGY410" s="172"/>
      <c r="JGZ410" s="172"/>
      <c r="JHA410" s="172"/>
      <c r="JHB410" s="172"/>
      <c r="JHC410" s="172"/>
      <c r="JHD410" s="172"/>
      <c r="JHE410" s="172"/>
      <c r="JHF410" s="172"/>
      <c r="JHG410" s="172"/>
      <c r="JHH410" s="172"/>
      <c r="JHI410" s="172"/>
      <c r="JHJ410" s="172"/>
      <c r="JHK410" s="172"/>
      <c r="JHL410" s="172"/>
      <c r="JHM410" s="172"/>
      <c r="JHN410" s="172"/>
      <c r="JHO410" s="172"/>
      <c r="JHP410" s="172"/>
      <c r="JHQ410" s="172"/>
      <c r="JHR410" s="172"/>
      <c r="JHS410" s="172"/>
      <c r="JHT410" s="172"/>
      <c r="JHU410" s="172"/>
      <c r="JHV410" s="172"/>
      <c r="JHW410" s="172"/>
      <c r="JHX410" s="172"/>
      <c r="JHY410" s="172"/>
      <c r="JHZ410" s="172"/>
      <c r="JIA410" s="172"/>
      <c r="JIB410" s="172"/>
      <c r="JIC410" s="172"/>
      <c r="JID410" s="172"/>
      <c r="JIE410" s="172"/>
      <c r="JIF410" s="172"/>
      <c r="JIG410" s="172"/>
      <c r="JIH410" s="172"/>
      <c r="JII410" s="172"/>
      <c r="JIJ410" s="172"/>
      <c r="JIK410" s="172"/>
      <c r="JIL410" s="172"/>
      <c r="JIM410" s="172"/>
      <c r="JIN410" s="172"/>
      <c r="JIO410" s="172"/>
      <c r="JIP410" s="172"/>
      <c r="JIQ410" s="172"/>
      <c r="JIR410" s="172"/>
      <c r="JIS410" s="172"/>
      <c r="JIT410" s="172"/>
      <c r="JIU410" s="172"/>
      <c r="JIV410" s="172"/>
      <c r="JIW410" s="172"/>
      <c r="JIX410" s="172"/>
      <c r="JIY410" s="172"/>
      <c r="JIZ410" s="172"/>
      <c r="JJA410" s="172"/>
      <c r="JJB410" s="172"/>
      <c r="JJC410" s="172"/>
      <c r="JJD410" s="172"/>
      <c r="JJE410" s="172"/>
      <c r="JJF410" s="172"/>
      <c r="JJG410" s="172"/>
      <c r="JJH410" s="172"/>
      <c r="JJI410" s="172"/>
      <c r="JJJ410" s="172"/>
      <c r="JJK410" s="172"/>
      <c r="JJL410" s="172"/>
      <c r="JJM410" s="172"/>
      <c r="JJN410" s="172"/>
      <c r="JJO410" s="172"/>
      <c r="JJP410" s="172"/>
      <c r="JJQ410" s="172"/>
      <c r="JJR410" s="172"/>
      <c r="JJS410" s="172"/>
      <c r="JJT410" s="172"/>
      <c r="JJU410" s="172"/>
      <c r="JJV410" s="172"/>
      <c r="JJW410" s="172"/>
      <c r="JJX410" s="172"/>
      <c r="JJY410" s="172"/>
      <c r="JJZ410" s="172"/>
      <c r="JKA410" s="172"/>
      <c r="JKB410" s="172"/>
      <c r="JKC410" s="172"/>
      <c r="JKD410" s="172"/>
      <c r="JKE410" s="172"/>
      <c r="JKF410" s="172"/>
      <c r="JKG410" s="172"/>
      <c r="JKH410" s="172"/>
      <c r="JKI410" s="172"/>
      <c r="JKJ410" s="172"/>
      <c r="JKK410" s="172"/>
      <c r="JKL410" s="172"/>
      <c r="JKM410" s="172"/>
      <c r="JKN410" s="172"/>
      <c r="JKO410" s="172"/>
      <c r="JKP410" s="172"/>
      <c r="JKQ410" s="172"/>
      <c r="JKR410" s="172"/>
      <c r="JKS410" s="172"/>
      <c r="JKT410" s="172"/>
      <c r="JKU410" s="172"/>
      <c r="JKV410" s="172"/>
      <c r="JKW410" s="172"/>
      <c r="JKX410" s="172"/>
      <c r="JKY410" s="172"/>
      <c r="JKZ410" s="172"/>
      <c r="JLA410" s="172"/>
      <c r="JLB410" s="172"/>
      <c r="JLC410" s="172"/>
      <c r="JLD410" s="172"/>
      <c r="JLE410" s="172"/>
      <c r="JLF410" s="172"/>
      <c r="JLG410" s="172"/>
      <c r="JLH410" s="172"/>
      <c r="JLI410" s="172"/>
      <c r="JLJ410" s="172"/>
      <c r="JLK410" s="172"/>
      <c r="JLL410" s="172"/>
      <c r="JLM410" s="172"/>
      <c r="JLN410" s="172"/>
      <c r="JLO410" s="172"/>
      <c r="JLP410" s="172"/>
      <c r="JLQ410" s="172"/>
      <c r="JLR410" s="172"/>
      <c r="JLS410" s="172"/>
      <c r="JLT410" s="172"/>
      <c r="JLU410" s="172"/>
      <c r="JLV410" s="172"/>
      <c r="JLW410" s="172"/>
      <c r="JLX410" s="172"/>
      <c r="JLY410" s="172"/>
      <c r="JLZ410" s="172"/>
      <c r="JMA410" s="172"/>
      <c r="JMB410" s="172"/>
      <c r="JMC410" s="172"/>
      <c r="JMD410" s="172"/>
      <c r="JME410" s="172"/>
      <c r="JMF410" s="172"/>
      <c r="JMG410" s="172"/>
      <c r="JMH410" s="172"/>
      <c r="JMI410" s="172"/>
      <c r="JMJ410" s="172"/>
      <c r="JMK410" s="172"/>
      <c r="JML410" s="172"/>
      <c r="JMM410" s="172"/>
      <c r="JMN410" s="172"/>
      <c r="JMO410" s="172"/>
      <c r="JMP410" s="172"/>
      <c r="JMQ410" s="172"/>
      <c r="JMR410" s="172"/>
      <c r="JMS410" s="172"/>
      <c r="JMT410" s="172"/>
      <c r="JMU410" s="172"/>
      <c r="JMV410" s="172"/>
      <c r="JMW410" s="172"/>
      <c r="JMX410" s="172"/>
      <c r="JMY410" s="172"/>
      <c r="JMZ410" s="172"/>
      <c r="JNA410" s="172"/>
      <c r="JNB410" s="172"/>
      <c r="JNC410" s="172"/>
      <c r="JND410" s="172"/>
      <c r="JNE410" s="172"/>
      <c r="JNF410" s="172"/>
      <c r="JNG410" s="172"/>
      <c r="JNH410" s="172"/>
      <c r="JNI410" s="172"/>
      <c r="JNJ410" s="172"/>
      <c r="JNK410" s="172"/>
      <c r="JNL410" s="172"/>
      <c r="JNM410" s="172"/>
      <c r="JNN410" s="172"/>
      <c r="JNO410" s="172"/>
      <c r="JNP410" s="172"/>
      <c r="JNQ410" s="172"/>
      <c r="JNR410" s="172"/>
      <c r="JNS410" s="172"/>
      <c r="JNT410" s="172"/>
      <c r="JNU410" s="172"/>
      <c r="JNV410" s="172"/>
      <c r="JNW410" s="172"/>
      <c r="JNX410" s="172"/>
      <c r="JNY410" s="172"/>
      <c r="JNZ410" s="172"/>
      <c r="JOA410" s="172"/>
      <c r="JOB410" s="172"/>
      <c r="JOC410" s="172"/>
      <c r="JOD410" s="172"/>
      <c r="JOE410" s="172"/>
      <c r="JOF410" s="172"/>
      <c r="JOG410" s="172"/>
      <c r="JOH410" s="172"/>
      <c r="JOI410" s="172"/>
      <c r="JOJ410" s="172"/>
      <c r="JOK410" s="172"/>
      <c r="JOL410" s="172"/>
      <c r="JOM410" s="172"/>
      <c r="JON410" s="172"/>
      <c r="JOO410" s="172"/>
      <c r="JOP410" s="172"/>
      <c r="JOQ410" s="172"/>
      <c r="JOR410" s="172"/>
      <c r="JOS410" s="172"/>
      <c r="JOT410" s="172"/>
      <c r="JOU410" s="172"/>
      <c r="JOV410" s="172"/>
      <c r="JOW410" s="172"/>
      <c r="JOX410" s="172"/>
      <c r="JOY410" s="172"/>
      <c r="JOZ410" s="172"/>
      <c r="JPA410" s="172"/>
      <c r="JPB410" s="172"/>
      <c r="JPC410" s="172"/>
      <c r="JPD410" s="172"/>
      <c r="JPE410" s="172"/>
      <c r="JPF410" s="172"/>
      <c r="JPG410" s="172"/>
      <c r="JPH410" s="172"/>
      <c r="JPI410" s="172"/>
      <c r="JPJ410" s="172"/>
      <c r="JPK410" s="172"/>
      <c r="JPL410" s="172"/>
      <c r="JPM410" s="172"/>
      <c r="JPN410" s="172"/>
      <c r="JPO410" s="172"/>
      <c r="JPP410" s="172"/>
      <c r="JPQ410" s="172"/>
      <c r="JPR410" s="172"/>
      <c r="JPS410" s="172"/>
      <c r="JPT410" s="172"/>
      <c r="JPU410" s="172"/>
      <c r="JPV410" s="172"/>
      <c r="JPW410" s="172"/>
      <c r="JPX410" s="172"/>
      <c r="JPY410" s="172"/>
      <c r="JPZ410" s="172"/>
      <c r="JQA410" s="172"/>
      <c r="JQB410" s="172"/>
      <c r="JQC410" s="172"/>
      <c r="JQD410" s="172"/>
      <c r="JQE410" s="172"/>
      <c r="JQF410" s="172"/>
      <c r="JQG410" s="172"/>
      <c r="JQH410" s="172"/>
      <c r="JQI410" s="172"/>
      <c r="JQJ410" s="172"/>
      <c r="JQK410" s="172"/>
      <c r="JQL410" s="172"/>
      <c r="JQM410" s="172"/>
      <c r="JQN410" s="172"/>
      <c r="JQO410" s="172"/>
      <c r="JQP410" s="172"/>
      <c r="JQQ410" s="172"/>
      <c r="JQR410" s="172"/>
      <c r="JQS410" s="172"/>
      <c r="JQT410" s="172"/>
      <c r="JQU410" s="172"/>
      <c r="JQV410" s="172"/>
      <c r="JQW410" s="172"/>
      <c r="JQX410" s="172"/>
      <c r="JQY410" s="172"/>
      <c r="JQZ410" s="172"/>
      <c r="JRA410" s="172"/>
      <c r="JRB410" s="172"/>
      <c r="JRC410" s="172"/>
      <c r="JRD410" s="172"/>
      <c r="JRE410" s="172"/>
      <c r="JRF410" s="172"/>
      <c r="JRG410" s="172"/>
      <c r="JRH410" s="172"/>
      <c r="JRI410" s="172"/>
      <c r="JRJ410" s="172"/>
      <c r="JRK410" s="172"/>
      <c r="JRL410" s="172"/>
      <c r="JRM410" s="172"/>
      <c r="JRN410" s="172"/>
      <c r="JRO410" s="172"/>
      <c r="JRP410" s="172"/>
      <c r="JRQ410" s="172"/>
      <c r="JRR410" s="172"/>
      <c r="JRS410" s="172"/>
      <c r="JRT410" s="172"/>
      <c r="JRU410" s="172"/>
      <c r="JRV410" s="172"/>
      <c r="JRW410" s="172"/>
      <c r="JRX410" s="172"/>
      <c r="JRY410" s="172"/>
      <c r="JRZ410" s="172"/>
      <c r="JSA410" s="172"/>
      <c r="JSB410" s="172"/>
      <c r="JSC410" s="172"/>
      <c r="JSD410" s="172"/>
      <c r="JSE410" s="172"/>
      <c r="JSF410" s="172"/>
      <c r="JSG410" s="172"/>
      <c r="JSH410" s="172"/>
      <c r="JSI410" s="172"/>
      <c r="JSJ410" s="172"/>
      <c r="JSK410" s="172"/>
      <c r="JSL410" s="172"/>
      <c r="JSM410" s="172"/>
      <c r="JSN410" s="172"/>
      <c r="JSO410" s="172"/>
      <c r="JSP410" s="172"/>
      <c r="JSQ410" s="172"/>
      <c r="JSR410" s="172"/>
      <c r="JSS410" s="172"/>
      <c r="JST410" s="172"/>
      <c r="JSU410" s="172"/>
      <c r="JSV410" s="172"/>
      <c r="JSW410" s="172"/>
      <c r="JSX410" s="172"/>
      <c r="JSY410" s="172"/>
      <c r="JSZ410" s="172"/>
      <c r="JTA410" s="172"/>
      <c r="JTB410" s="172"/>
      <c r="JTC410" s="172"/>
      <c r="JTD410" s="172"/>
      <c r="JTE410" s="172"/>
      <c r="JTF410" s="172"/>
      <c r="JTG410" s="172"/>
      <c r="JTH410" s="172"/>
      <c r="JTI410" s="172"/>
      <c r="JTJ410" s="172"/>
      <c r="JTK410" s="172"/>
      <c r="JTL410" s="172"/>
      <c r="JTM410" s="172"/>
      <c r="JTN410" s="172"/>
      <c r="JTO410" s="172"/>
      <c r="JTP410" s="172"/>
      <c r="JTQ410" s="172"/>
      <c r="JTR410" s="172"/>
      <c r="JTS410" s="172"/>
      <c r="JTT410" s="172"/>
      <c r="JTU410" s="172"/>
      <c r="JTV410" s="172"/>
      <c r="JTW410" s="172"/>
      <c r="JTX410" s="172"/>
      <c r="JTY410" s="172"/>
      <c r="JTZ410" s="172"/>
      <c r="JUA410" s="172"/>
      <c r="JUB410" s="172"/>
      <c r="JUC410" s="172"/>
      <c r="JUD410" s="172"/>
      <c r="JUE410" s="172"/>
      <c r="JUF410" s="172"/>
      <c r="JUG410" s="172"/>
      <c r="JUH410" s="172"/>
      <c r="JUI410" s="172"/>
      <c r="JUJ410" s="172"/>
      <c r="JUK410" s="172"/>
      <c r="JUL410" s="172"/>
      <c r="JUM410" s="172"/>
      <c r="JUN410" s="172"/>
      <c r="JUO410" s="172"/>
      <c r="JUP410" s="172"/>
      <c r="JUQ410" s="172"/>
      <c r="JUR410" s="172"/>
      <c r="JUS410" s="172"/>
      <c r="JUT410" s="172"/>
      <c r="JUU410" s="172"/>
      <c r="JUV410" s="172"/>
      <c r="JUW410" s="172"/>
      <c r="JUX410" s="172"/>
      <c r="JUY410" s="172"/>
      <c r="JUZ410" s="172"/>
      <c r="JVA410" s="172"/>
      <c r="JVB410" s="172"/>
      <c r="JVC410" s="172"/>
      <c r="JVD410" s="172"/>
      <c r="JVE410" s="172"/>
      <c r="JVF410" s="172"/>
      <c r="JVG410" s="172"/>
      <c r="JVH410" s="172"/>
      <c r="JVI410" s="172"/>
      <c r="JVJ410" s="172"/>
      <c r="JVK410" s="172"/>
      <c r="JVL410" s="172"/>
      <c r="JVM410" s="172"/>
      <c r="JVN410" s="172"/>
      <c r="JVO410" s="172"/>
      <c r="JVP410" s="172"/>
      <c r="JVQ410" s="172"/>
      <c r="JVR410" s="172"/>
      <c r="JVS410" s="172"/>
      <c r="JVT410" s="172"/>
      <c r="JVU410" s="172"/>
      <c r="JVV410" s="172"/>
      <c r="JVW410" s="172"/>
      <c r="JVX410" s="172"/>
      <c r="JVY410" s="172"/>
      <c r="JVZ410" s="172"/>
      <c r="JWA410" s="172"/>
      <c r="JWB410" s="172"/>
      <c r="JWC410" s="172"/>
      <c r="JWD410" s="172"/>
      <c r="JWE410" s="172"/>
      <c r="JWF410" s="172"/>
      <c r="JWG410" s="172"/>
      <c r="JWH410" s="172"/>
      <c r="JWI410" s="172"/>
      <c r="JWJ410" s="172"/>
      <c r="JWK410" s="172"/>
      <c r="JWL410" s="172"/>
      <c r="JWM410" s="172"/>
      <c r="JWN410" s="172"/>
      <c r="JWO410" s="172"/>
      <c r="JWP410" s="172"/>
      <c r="JWQ410" s="172"/>
      <c r="JWR410" s="172"/>
      <c r="JWS410" s="172"/>
      <c r="JWT410" s="172"/>
      <c r="JWU410" s="172"/>
      <c r="JWV410" s="172"/>
      <c r="JWW410" s="172"/>
      <c r="JWX410" s="172"/>
      <c r="JWY410" s="172"/>
      <c r="JWZ410" s="172"/>
      <c r="JXA410" s="172"/>
      <c r="JXB410" s="172"/>
      <c r="JXC410" s="172"/>
      <c r="JXD410" s="172"/>
      <c r="JXE410" s="172"/>
      <c r="JXF410" s="172"/>
      <c r="JXG410" s="172"/>
      <c r="JXH410" s="172"/>
      <c r="JXI410" s="172"/>
      <c r="JXJ410" s="172"/>
      <c r="JXK410" s="172"/>
      <c r="JXL410" s="172"/>
      <c r="JXM410" s="172"/>
      <c r="JXN410" s="172"/>
      <c r="JXO410" s="172"/>
      <c r="JXP410" s="172"/>
      <c r="JXQ410" s="172"/>
      <c r="JXR410" s="172"/>
      <c r="JXS410" s="172"/>
      <c r="JXT410" s="172"/>
      <c r="JXU410" s="172"/>
      <c r="JXV410" s="172"/>
      <c r="JXW410" s="172"/>
      <c r="JXX410" s="172"/>
      <c r="JXY410" s="172"/>
      <c r="JXZ410" s="172"/>
      <c r="JYA410" s="172"/>
      <c r="JYB410" s="172"/>
      <c r="JYC410" s="172"/>
      <c r="JYD410" s="172"/>
      <c r="JYE410" s="172"/>
      <c r="JYF410" s="172"/>
      <c r="JYG410" s="172"/>
      <c r="JYH410" s="172"/>
      <c r="JYI410" s="172"/>
      <c r="JYJ410" s="172"/>
      <c r="JYK410" s="172"/>
      <c r="JYL410" s="172"/>
      <c r="JYM410" s="172"/>
      <c r="JYN410" s="172"/>
      <c r="JYO410" s="172"/>
      <c r="JYP410" s="172"/>
      <c r="JYQ410" s="172"/>
      <c r="JYR410" s="172"/>
      <c r="JYS410" s="172"/>
      <c r="JYT410" s="172"/>
      <c r="JYU410" s="172"/>
      <c r="JYV410" s="172"/>
      <c r="JYW410" s="172"/>
      <c r="JYX410" s="172"/>
      <c r="JYY410" s="172"/>
      <c r="JYZ410" s="172"/>
      <c r="JZA410" s="172"/>
      <c r="JZB410" s="172"/>
      <c r="JZC410" s="172"/>
      <c r="JZD410" s="172"/>
      <c r="JZE410" s="172"/>
      <c r="JZF410" s="172"/>
      <c r="JZG410" s="172"/>
      <c r="JZH410" s="172"/>
      <c r="JZI410" s="172"/>
      <c r="JZJ410" s="172"/>
      <c r="JZK410" s="172"/>
      <c r="JZL410" s="172"/>
      <c r="JZM410" s="172"/>
      <c r="JZN410" s="172"/>
      <c r="JZO410" s="172"/>
      <c r="JZP410" s="172"/>
      <c r="JZQ410" s="172"/>
      <c r="JZR410" s="172"/>
      <c r="JZS410" s="172"/>
      <c r="JZT410" s="172"/>
      <c r="JZU410" s="172"/>
      <c r="JZV410" s="172"/>
      <c r="JZW410" s="172"/>
      <c r="JZX410" s="172"/>
      <c r="JZY410" s="172"/>
      <c r="JZZ410" s="172"/>
      <c r="KAA410" s="172"/>
      <c r="KAB410" s="172"/>
      <c r="KAC410" s="172"/>
      <c r="KAD410" s="172"/>
      <c r="KAE410" s="172"/>
      <c r="KAF410" s="172"/>
      <c r="KAG410" s="172"/>
      <c r="KAH410" s="172"/>
      <c r="KAI410" s="172"/>
      <c r="KAJ410" s="172"/>
      <c r="KAK410" s="172"/>
      <c r="KAL410" s="172"/>
      <c r="KAM410" s="172"/>
      <c r="KAN410" s="172"/>
      <c r="KAO410" s="172"/>
      <c r="KAP410" s="172"/>
      <c r="KAQ410" s="172"/>
      <c r="KAR410" s="172"/>
      <c r="KAS410" s="172"/>
      <c r="KAT410" s="172"/>
      <c r="KAU410" s="172"/>
      <c r="KAV410" s="172"/>
      <c r="KAW410" s="172"/>
      <c r="KAX410" s="172"/>
      <c r="KAY410" s="172"/>
      <c r="KAZ410" s="172"/>
      <c r="KBA410" s="172"/>
      <c r="KBB410" s="172"/>
      <c r="KBC410" s="172"/>
      <c r="KBD410" s="172"/>
      <c r="KBE410" s="172"/>
      <c r="KBF410" s="172"/>
      <c r="KBG410" s="172"/>
      <c r="KBH410" s="172"/>
      <c r="KBI410" s="172"/>
      <c r="KBJ410" s="172"/>
      <c r="KBK410" s="172"/>
      <c r="KBL410" s="172"/>
      <c r="KBM410" s="172"/>
      <c r="KBN410" s="172"/>
      <c r="KBO410" s="172"/>
      <c r="KBP410" s="172"/>
      <c r="KBQ410" s="172"/>
      <c r="KBR410" s="172"/>
      <c r="KBS410" s="172"/>
      <c r="KBT410" s="172"/>
      <c r="KBU410" s="172"/>
      <c r="KBV410" s="172"/>
      <c r="KBW410" s="172"/>
      <c r="KBX410" s="172"/>
      <c r="KBY410" s="172"/>
      <c r="KBZ410" s="172"/>
      <c r="KCA410" s="172"/>
      <c r="KCB410" s="172"/>
      <c r="KCC410" s="172"/>
      <c r="KCD410" s="172"/>
      <c r="KCE410" s="172"/>
      <c r="KCF410" s="172"/>
      <c r="KCG410" s="172"/>
      <c r="KCH410" s="172"/>
      <c r="KCI410" s="172"/>
      <c r="KCJ410" s="172"/>
      <c r="KCK410" s="172"/>
      <c r="KCL410" s="172"/>
      <c r="KCM410" s="172"/>
      <c r="KCN410" s="172"/>
      <c r="KCO410" s="172"/>
      <c r="KCP410" s="172"/>
      <c r="KCQ410" s="172"/>
      <c r="KCR410" s="172"/>
      <c r="KCS410" s="172"/>
      <c r="KCT410" s="172"/>
      <c r="KCU410" s="172"/>
      <c r="KCV410" s="172"/>
      <c r="KCW410" s="172"/>
      <c r="KCX410" s="172"/>
      <c r="KCY410" s="172"/>
      <c r="KCZ410" s="172"/>
      <c r="KDA410" s="172"/>
      <c r="KDB410" s="172"/>
      <c r="KDC410" s="172"/>
      <c r="KDD410" s="172"/>
      <c r="KDE410" s="172"/>
      <c r="KDF410" s="172"/>
      <c r="KDG410" s="172"/>
      <c r="KDH410" s="172"/>
      <c r="KDI410" s="172"/>
      <c r="KDJ410" s="172"/>
      <c r="KDK410" s="172"/>
      <c r="KDL410" s="172"/>
      <c r="KDM410" s="172"/>
      <c r="KDN410" s="172"/>
      <c r="KDO410" s="172"/>
      <c r="KDP410" s="172"/>
      <c r="KDQ410" s="172"/>
      <c r="KDR410" s="172"/>
      <c r="KDS410" s="172"/>
      <c r="KDT410" s="172"/>
      <c r="KDU410" s="172"/>
      <c r="KDV410" s="172"/>
      <c r="KDW410" s="172"/>
      <c r="KDX410" s="172"/>
      <c r="KDY410" s="172"/>
      <c r="KDZ410" s="172"/>
      <c r="KEA410" s="172"/>
      <c r="KEB410" s="172"/>
      <c r="KEC410" s="172"/>
      <c r="KED410" s="172"/>
      <c r="KEE410" s="172"/>
      <c r="KEF410" s="172"/>
      <c r="KEG410" s="172"/>
      <c r="KEH410" s="172"/>
      <c r="KEI410" s="172"/>
      <c r="KEJ410" s="172"/>
      <c r="KEK410" s="172"/>
      <c r="KEL410" s="172"/>
      <c r="KEM410" s="172"/>
      <c r="KEN410" s="172"/>
      <c r="KEO410" s="172"/>
      <c r="KEP410" s="172"/>
      <c r="KEQ410" s="172"/>
      <c r="KER410" s="172"/>
      <c r="KES410" s="172"/>
      <c r="KET410" s="172"/>
      <c r="KEU410" s="172"/>
      <c r="KEV410" s="172"/>
      <c r="KEW410" s="172"/>
      <c r="KEX410" s="172"/>
      <c r="KEY410" s="172"/>
      <c r="KEZ410" s="172"/>
      <c r="KFA410" s="172"/>
      <c r="KFB410" s="172"/>
      <c r="KFC410" s="172"/>
      <c r="KFD410" s="172"/>
      <c r="KFE410" s="172"/>
      <c r="KFF410" s="172"/>
      <c r="KFG410" s="172"/>
      <c r="KFH410" s="172"/>
      <c r="KFI410" s="172"/>
      <c r="KFJ410" s="172"/>
      <c r="KFK410" s="172"/>
      <c r="KFL410" s="172"/>
      <c r="KFM410" s="172"/>
      <c r="KFN410" s="172"/>
      <c r="KFO410" s="172"/>
      <c r="KFP410" s="172"/>
      <c r="KFQ410" s="172"/>
      <c r="KFR410" s="172"/>
      <c r="KFS410" s="172"/>
      <c r="KFT410" s="172"/>
      <c r="KFU410" s="172"/>
      <c r="KFV410" s="172"/>
      <c r="KFW410" s="172"/>
      <c r="KFX410" s="172"/>
      <c r="KFY410" s="172"/>
      <c r="KFZ410" s="172"/>
      <c r="KGA410" s="172"/>
      <c r="KGB410" s="172"/>
      <c r="KGC410" s="172"/>
      <c r="KGD410" s="172"/>
      <c r="KGE410" s="172"/>
      <c r="KGF410" s="172"/>
      <c r="KGG410" s="172"/>
      <c r="KGH410" s="172"/>
      <c r="KGI410" s="172"/>
      <c r="KGJ410" s="172"/>
      <c r="KGK410" s="172"/>
      <c r="KGL410" s="172"/>
      <c r="KGM410" s="172"/>
      <c r="KGN410" s="172"/>
      <c r="KGO410" s="172"/>
      <c r="KGP410" s="172"/>
      <c r="KGQ410" s="172"/>
      <c r="KGR410" s="172"/>
      <c r="KGS410" s="172"/>
      <c r="KGT410" s="172"/>
      <c r="KGU410" s="172"/>
      <c r="KGV410" s="172"/>
      <c r="KGW410" s="172"/>
      <c r="KGX410" s="172"/>
      <c r="KGY410" s="172"/>
      <c r="KGZ410" s="172"/>
      <c r="KHA410" s="172"/>
      <c r="KHB410" s="172"/>
      <c r="KHC410" s="172"/>
      <c r="KHD410" s="172"/>
      <c r="KHE410" s="172"/>
      <c r="KHF410" s="172"/>
      <c r="KHG410" s="172"/>
      <c r="KHH410" s="172"/>
      <c r="KHI410" s="172"/>
      <c r="KHJ410" s="172"/>
      <c r="KHK410" s="172"/>
      <c r="KHL410" s="172"/>
      <c r="KHM410" s="172"/>
      <c r="KHN410" s="172"/>
      <c r="KHO410" s="172"/>
      <c r="KHP410" s="172"/>
      <c r="KHQ410" s="172"/>
      <c r="KHR410" s="172"/>
      <c r="KHS410" s="172"/>
      <c r="KHT410" s="172"/>
      <c r="KHU410" s="172"/>
      <c r="KHV410" s="172"/>
      <c r="KHW410" s="172"/>
      <c r="KHX410" s="172"/>
      <c r="KHY410" s="172"/>
      <c r="KHZ410" s="172"/>
      <c r="KIA410" s="172"/>
      <c r="KIB410" s="172"/>
      <c r="KIC410" s="172"/>
      <c r="KID410" s="172"/>
      <c r="KIE410" s="172"/>
      <c r="KIF410" s="172"/>
      <c r="KIG410" s="172"/>
      <c r="KIH410" s="172"/>
      <c r="KII410" s="172"/>
      <c r="KIJ410" s="172"/>
      <c r="KIK410" s="172"/>
      <c r="KIL410" s="172"/>
      <c r="KIM410" s="172"/>
      <c r="KIN410" s="172"/>
      <c r="KIO410" s="172"/>
      <c r="KIP410" s="172"/>
      <c r="KIQ410" s="172"/>
      <c r="KIR410" s="172"/>
      <c r="KIS410" s="172"/>
      <c r="KIT410" s="172"/>
      <c r="KIU410" s="172"/>
      <c r="KIV410" s="172"/>
      <c r="KIW410" s="172"/>
      <c r="KIX410" s="172"/>
      <c r="KIY410" s="172"/>
      <c r="KIZ410" s="172"/>
      <c r="KJA410" s="172"/>
      <c r="KJB410" s="172"/>
      <c r="KJC410" s="172"/>
      <c r="KJD410" s="172"/>
      <c r="KJE410" s="172"/>
      <c r="KJF410" s="172"/>
      <c r="KJG410" s="172"/>
      <c r="KJH410" s="172"/>
      <c r="KJI410" s="172"/>
      <c r="KJJ410" s="172"/>
      <c r="KJK410" s="172"/>
      <c r="KJL410" s="172"/>
      <c r="KJM410" s="172"/>
      <c r="KJN410" s="172"/>
      <c r="KJO410" s="172"/>
      <c r="KJP410" s="172"/>
      <c r="KJQ410" s="172"/>
      <c r="KJR410" s="172"/>
      <c r="KJS410" s="172"/>
      <c r="KJT410" s="172"/>
      <c r="KJU410" s="172"/>
      <c r="KJV410" s="172"/>
      <c r="KJW410" s="172"/>
      <c r="KJX410" s="172"/>
      <c r="KJY410" s="172"/>
      <c r="KJZ410" s="172"/>
      <c r="KKA410" s="172"/>
      <c r="KKB410" s="172"/>
      <c r="KKC410" s="172"/>
      <c r="KKD410" s="172"/>
      <c r="KKE410" s="172"/>
      <c r="KKF410" s="172"/>
      <c r="KKG410" s="172"/>
      <c r="KKH410" s="172"/>
      <c r="KKI410" s="172"/>
      <c r="KKJ410" s="172"/>
      <c r="KKK410" s="172"/>
      <c r="KKL410" s="172"/>
      <c r="KKM410" s="172"/>
      <c r="KKN410" s="172"/>
      <c r="KKO410" s="172"/>
      <c r="KKP410" s="172"/>
      <c r="KKQ410" s="172"/>
      <c r="KKR410" s="172"/>
      <c r="KKS410" s="172"/>
      <c r="KKT410" s="172"/>
      <c r="KKU410" s="172"/>
      <c r="KKV410" s="172"/>
      <c r="KKW410" s="172"/>
      <c r="KKX410" s="172"/>
      <c r="KKY410" s="172"/>
      <c r="KKZ410" s="172"/>
      <c r="KLA410" s="172"/>
      <c r="KLB410" s="172"/>
      <c r="KLC410" s="172"/>
      <c r="KLD410" s="172"/>
      <c r="KLE410" s="172"/>
      <c r="KLF410" s="172"/>
      <c r="KLG410" s="172"/>
      <c r="KLH410" s="172"/>
      <c r="KLI410" s="172"/>
      <c r="KLJ410" s="172"/>
      <c r="KLK410" s="172"/>
      <c r="KLL410" s="172"/>
      <c r="KLM410" s="172"/>
      <c r="KLN410" s="172"/>
      <c r="KLO410" s="172"/>
      <c r="KLP410" s="172"/>
      <c r="KLQ410" s="172"/>
      <c r="KLR410" s="172"/>
      <c r="KLS410" s="172"/>
      <c r="KLT410" s="172"/>
      <c r="KLU410" s="172"/>
      <c r="KLV410" s="172"/>
      <c r="KLW410" s="172"/>
      <c r="KLX410" s="172"/>
      <c r="KLY410" s="172"/>
      <c r="KLZ410" s="172"/>
      <c r="KMA410" s="172"/>
      <c r="KMB410" s="172"/>
      <c r="KMC410" s="172"/>
      <c r="KMD410" s="172"/>
      <c r="KME410" s="172"/>
      <c r="KMF410" s="172"/>
      <c r="KMG410" s="172"/>
      <c r="KMH410" s="172"/>
      <c r="KMI410" s="172"/>
      <c r="KMJ410" s="172"/>
      <c r="KMK410" s="172"/>
      <c r="KML410" s="172"/>
      <c r="KMM410" s="172"/>
      <c r="KMN410" s="172"/>
      <c r="KMO410" s="172"/>
      <c r="KMP410" s="172"/>
      <c r="KMQ410" s="172"/>
      <c r="KMR410" s="172"/>
      <c r="KMS410" s="172"/>
      <c r="KMT410" s="172"/>
      <c r="KMU410" s="172"/>
      <c r="KMV410" s="172"/>
      <c r="KMW410" s="172"/>
      <c r="KMX410" s="172"/>
      <c r="KMY410" s="172"/>
      <c r="KMZ410" s="172"/>
      <c r="KNA410" s="172"/>
      <c r="KNB410" s="172"/>
      <c r="KNC410" s="172"/>
      <c r="KND410" s="172"/>
      <c r="KNE410" s="172"/>
      <c r="KNF410" s="172"/>
      <c r="KNG410" s="172"/>
      <c r="KNH410" s="172"/>
      <c r="KNI410" s="172"/>
      <c r="KNJ410" s="172"/>
      <c r="KNK410" s="172"/>
      <c r="KNL410" s="172"/>
      <c r="KNM410" s="172"/>
      <c r="KNN410" s="172"/>
      <c r="KNO410" s="172"/>
      <c r="KNP410" s="172"/>
      <c r="KNQ410" s="172"/>
      <c r="KNR410" s="172"/>
      <c r="KNS410" s="172"/>
      <c r="KNT410" s="172"/>
      <c r="KNU410" s="172"/>
      <c r="KNV410" s="172"/>
      <c r="KNW410" s="172"/>
      <c r="KNX410" s="172"/>
      <c r="KNY410" s="172"/>
      <c r="KNZ410" s="172"/>
      <c r="KOA410" s="172"/>
      <c r="KOB410" s="172"/>
      <c r="KOC410" s="172"/>
      <c r="KOD410" s="172"/>
      <c r="KOE410" s="172"/>
      <c r="KOF410" s="172"/>
      <c r="KOG410" s="172"/>
      <c r="KOH410" s="172"/>
      <c r="KOI410" s="172"/>
      <c r="KOJ410" s="172"/>
      <c r="KOK410" s="172"/>
      <c r="KOL410" s="172"/>
      <c r="KOM410" s="172"/>
      <c r="KON410" s="172"/>
      <c r="KOO410" s="172"/>
      <c r="KOP410" s="172"/>
      <c r="KOQ410" s="172"/>
      <c r="KOR410" s="172"/>
      <c r="KOS410" s="172"/>
      <c r="KOT410" s="172"/>
      <c r="KOU410" s="172"/>
      <c r="KOV410" s="172"/>
      <c r="KOW410" s="172"/>
      <c r="KOX410" s="172"/>
      <c r="KOY410" s="172"/>
      <c r="KOZ410" s="172"/>
      <c r="KPA410" s="172"/>
      <c r="KPB410" s="172"/>
      <c r="KPC410" s="172"/>
      <c r="KPD410" s="172"/>
      <c r="KPE410" s="172"/>
      <c r="KPF410" s="172"/>
      <c r="KPG410" s="172"/>
      <c r="KPH410" s="172"/>
      <c r="KPI410" s="172"/>
      <c r="KPJ410" s="172"/>
      <c r="KPK410" s="172"/>
      <c r="KPL410" s="172"/>
      <c r="KPM410" s="172"/>
      <c r="KPN410" s="172"/>
      <c r="KPO410" s="172"/>
      <c r="KPP410" s="172"/>
      <c r="KPQ410" s="172"/>
      <c r="KPR410" s="172"/>
      <c r="KPS410" s="172"/>
      <c r="KPT410" s="172"/>
      <c r="KPU410" s="172"/>
      <c r="KPV410" s="172"/>
      <c r="KPW410" s="172"/>
      <c r="KPX410" s="172"/>
      <c r="KPY410" s="172"/>
      <c r="KPZ410" s="172"/>
      <c r="KQA410" s="172"/>
      <c r="KQB410" s="172"/>
      <c r="KQC410" s="172"/>
      <c r="KQD410" s="172"/>
      <c r="KQE410" s="172"/>
      <c r="KQF410" s="172"/>
      <c r="KQG410" s="172"/>
      <c r="KQH410" s="172"/>
      <c r="KQI410" s="172"/>
      <c r="KQJ410" s="172"/>
      <c r="KQK410" s="172"/>
      <c r="KQL410" s="172"/>
      <c r="KQM410" s="172"/>
      <c r="KQN410" s="172"/>
      <c r="KQO410" s="172"/>
      <c r="KQP410" s="172"/>
      <c r="KQQ410" s="172"/>
      <c r="KQR410" s="172"/>
      <c r="KQS410" s="172"/>
      <c r="KQT410" s="172"/>
      <c r="KQU410" s="172"/>
      <c r="KQV410" s="172"/>
      <c r="KQW410" s="172"/>
      <c r="KQX410" s="172"/>
      <c r="KQY410" s="172"/>
      <c r="KQZ410" s="172"/>
      <c r="KRA410" s="172"/>
      <c r="KRB410" s="172"/>
      <c r="KRC410" s="172"/>
      <c r="KRD410" s="172"/>
      <c r="KRE410" s="172"/>
      <c r="KRF410" s="172"/>
      <c r="KRG410" s="172"/>
      <c r="KRH410" s="172"/>
      <c r="KRI410" s="172"/>
      <c r="KRJ410" s="172"/>
      <c r="KRK410" s="172"/>
      <c r="KRL410" s="172"/>
      <c r="KRM410" s="172"/>
      <c r="KRN410" s="172"/>
      <c r="KRO410" s="172"/>
      <c r="KRP410" s="172"/>
      <c r="KRQ410" s="172"/>
      <c r="KRR410" s="172"/>
      <c r="KRS410" s="172"/>
      <c r="KRT410" s="172"/>
      <c r="KRU410" s="172"/>
      <c r="KRV410" s="172"/>
      <c r="KRW410" s="172"/>
      <c r="KRX410" s="172"/>
      <c r="KRY410" s="172"/>
      <c r="KRZ410" s="172"/>
      <c r="KSA410" s="172"/>
      <c r="KSB410" s="172"/>
      <c r="KSC410" s="172"/>
      <c r="KSD410" s="172"/>
      <c r="KSE410" s="172"/>
      <c r="KSF410" s="172"/>
      <c r="KSG410" s="172"/>
      <c r="KSH410" s="172"/>
      <c r="KSI410" s="172"/>
      <c r="KSJ410" s="172"/>
      <c r="KSK410" s="172"/>
      <c r="KSL410" s="172"/>
      <c r="KSM410" s="172"/>
      <c r="KSN410" s="172"/>
      <c r="KSO410" s="172"/>
      <c r="KSP410" s="172"/>
      <c r="KSQ410" s="172"/>
      <c r="KSR410" s="172"/>
      <c r="KSS410" s="172"/>
      <c r="KST410" s="172"/>
      <c r="KSU410" s="172"/>
      <c r="KSV410" s="172"/>
      <c r="KSW410" s="172"/>
      <c r="KSX410" s="172"/>
      <c r="KSY410" s="172"/>
      <c r="KSZ410" s="172"/>
      <c r="KTA410" s="172"/>
      <c r="KTB410" s="172"/>
      <c r="KTC410" s="172"/>
      <c r="KTD410" s="172"/>
      <c r="KTE410" s="172"/>
      <c r="KTF410" s="172"/>
      <c r="KTG410" s="172"/>
      <c r="KTH410" s="172"/>
      <c r="KTI410" s="172"/>
      <c r="KTJ410" s="172"/>
      <c r="KTK410" s="172"/>
      <c r="KTL410" s="172"/>
      <c r="KTM410" s="172"/>
      <c r="KTN410" s="172"/>
      <c r="KTO410" s="172"/>
      <c r="KTP410" s="172"/>
      <c r="KTQ410" s="172"/>
      <c r="KTR410" s="172"/>
      <c r="KTS410" s="172"/>
      <c r="KTT410" s="172"/>
      <c r="KTU410" s="172"/>
      <c r="KTV410" s="172"/>
      <c r="KTW410" s="172"/>
      <c r="KTX410" s="172"/>
      <c r="KTY410" s="172"/>
      <c r="KTZ410" s="172"/>
      <c r="KUA410" s="172"/>
      <c r="KUB410" s="172"/>
      <c r="KUC410" s="172"/>
      <c r="KUD410" s="172"/>
      <c r="KUE410" s="172"/>
      <c r="KUF410" s="172"/>
      <c r="KUG410" s="172"/>
      <c r="KUH410" s="172"/>
      <c r="KUI410" s="172"/>
      <c r="KUJ410" s="172"/>
      <c r="KUK410" s="172"/>
      <c r="KUL410" s="172"/>
      <c r="KUM410" s="172"/>
      <c r="KUN410" s="172"/>
      <c r="KUO410" s="172"/>
      <c r="KUP410" s="172"/>
      <c r="KUQ410" s="172"/>
      <c r="KUR410" s="172"/>
      <c r="KUS410" s="172"/>
      <c r="KUT410" s="172"/>
      <c r="KUU410" s="172"/>
      <c r="KUV410" s="172"/>
      <c r="KUW410" s="172"/>
      <c r="KUX410" s="172"/>
      <c r="KUY410" s="172"/>
      <c r="KUZ410" s="172"/>
      <c r="KVA410" s="172"/>
      <c r="KVB410" s="172"/>
      <c r="KVC410" s="172"/>
      <c r="KVD410" s="172"/>
      <c r="KVE410" s="172"/>
      <c r="KVF410" s="172"/>
      <c r="KVG410" s="172"/>
      <c r="KVH410" s="172"/>
      <c r="KVI410" s="172"/>
      <c r="KVJ410" s="172"/>
      <c r="KVK410" s="172"/>
      <c r="KVL410" s="172"/>
      <c r="KVM410" s="172"/>
      <c r="KVN410" s="172"/>
      <c r="KVO410" s="172"/>
      <c r="KVP410" s="172"/>
      <c r="KVQ410" s="172"/>
      <c r="KVR410" s="172"/>
      <c r="KVS410" s="172"/>
      <c r="KVT410" s="172"/>
      <c r="KVU410" s="172"/>
      <c r="KVV410" s="172"/>
      <c r="KVW410" s="172"/>
      <c r="KVX410" s="172"/>
      <c r="KVY410" s="172"/>
      <c r="KVZ410" s="172"/>
      <c r="KWA410" s="172"/>
      <c r="KWB410" s="172"/>
      <c r="KWC410" s="172"/>
      <c r="KWD410" s="172"/>
      <c r="KWE410" s="172"/>
      <c r="KWF410" s="172"/>
      <c r="KWG410" s="172"/>
      <c r="KWH410" s="172"/>
      <c r="KWI410" s="172"/>
      <c r="KWJ410" s="172"/>
      <c r="KWK410" s="172"/>
      <c r="KWL410" s="172"/>
      <c r="KWM410" s="172"/>
      <c r="KWN410" s="172"/>
      <c r="KWO410" s="172"/>
      <c r="KWP410" s="172"/>
      <c r="KWQ410" s="172"/>
      <c r="KWR410" s="172"/>
      <c r="KWS410" s="172"/>
      <c r="KWT410" s="172"/>
      <c r="KWU410" s="172"/>
      <c r="KWV410" s="172"/>
      <c r="KWW410" s="172"/>
      <c r="KWX410" s="172"/>
      <c r="KWY410" s="172"/>
      <c r="KWZ410" s="172"/>
      <c r="KXA410" s="172"/>
      <c r="KXB410" s="172"/>
      <c r="KXC410" s="172"/>
      <c r="KXD410" s="172"/>
      <c r="KXE410" s="172"/>
      <c r="KXF410" s="172"/>
      <c r="KXG410" s="172"/>
      <c r="KXH410" s="172"/>
      <c r="KXI410" s="172"/>
      <c r="KXJ410" s="172"/>
      <c r="KXK410" s="172"/>
      <c r="KXL410" s="172"/>
      <c r="KXM410" s="172"/>
      <c r="KXN410" s="172"/>
      <c r="KXO410" s="172"/>
      <c r="KXP410" s="172"/>
      <c r="KXQ410" s="172"/>
      <c r="KXR410" s="172"/>
      <c r="KXS410" s="172"/>
      <c r="KXT410" s="172"/>
      <c r="KXU410" s="172"/>
      <c r="KXV410" s="172"/>
      <c r="KXW410" s="172"/>
      <c r="KXX410" s="172"/>
      <c r="KXY410" s="172"/>
      <c r="KXZ410" s="172"/>
      <c r="KYA410" s="172"/>
      <c r="KYB410" s="172"/>
      <c r="KYC410" s="172"/>
      <c r="KYD410" s="172"/>
      <c r="KYE410" s="172"/>
      <c r="KYF410" s="172"/>
      <c r="KYG410" s="172"/>
      <c r="KYH410" s="172"/>
      <c r="KYI410" s="172"/>
      <c r="KYJ410" s="172"/>
      <c r="KYK410" s="172"/>
      <c r="KYL410" s="172"/>
      <c r="KYM410" s="172"/>
      <c r="KYN410" s="172"/>
      <c r="KYO410" s="172"/>
      <c r="KYP410" s="172"/>
      <c r="KYQ410" s="172"/>
      <c r="KYR410" s="172"/>
      <c r="KYS410" s="172"/>
      <c r="KYT410" s="172"/>
      <c r="KYU410" s="172"/>
      <c r="KYV410" s="172"/>
      <c r="KYW410" s="172"/>
      <c r="KYX410" s="172"/>
      <c r="KYY410" s="172"/>
      <c r="KYZ410" s="172"/>
      <c r="KZA410" s="172"/>
      <c r="KZB410" s="172"/>
      <c r="KZC410" s="172"/>
      <c r="KZD410" s="172"/>
      <c r="KZE410" s="172"/>
      <c r="KZF410" s="172"/>
      <c r="KZG410" s="172"/>
      <c r="KZH410" s="172"/>
      <c r="KZI410" s="172"/>
      <c r="KZJ410" s="172"/>
      <c r="KZK410" s="172"/>
      <c r="KZL410" s="172"/>
      <c r="KZM410" s="172"/>
      <c r="KZN410" s="172"/>
      <c r="KZO410" s="172"/>
      <c r="KZP410" s="172"/>
      <c r="KZQ410" s="172"/>
      <c r="KZR410" s="172"/>
      <c r="KZS410" s="172"/>
      <c r="KZT410" s="172"/>
      <c r="KZU410" s="172"/>
      <c r="KZV410" s="172"/>
      <c r="KZW410" s="172"/>
      <c r="KZX410" s="172"/>
      <c r="KZY410" s="172"/>
      <c r="KZZ410" s="172"/>
      <c r="LAA410" s="172"/>
      <c r="LAB410" s="172"/>
      <c r="LAC410" s="172"/>
      <c r="LAD410" s="172"/>
      <c r="LAE410" s="172"/>
      <c r="LAF410" s="172"/>
      <c r="LAG410" s="172"/>
      <c r="LAH410" s="172"/>
      <c r="LAI410" s="172"/>
      <c r="LAJ410" s="172"/>
      <c r="LAK410" s="172"/>
      <c r="LAL410" s="172"/>
      <c r="LAM410" s="172"/>
      <c r="LAN410" s="172"/>
      <c r="LAO410" s="172"/>
      <c r="LAP410" s="172"/>
      <c r="LAQ410" s="172"/>
      <c r="LAR410" s="172"/>
      <c r="LAS410" s="172"/>
      <c r="LAT410" s="172"/>
      <c r="LAU410" s="172"/>
      <c r="LAV410" s="172"/>
      <c r="LAW410" s="172"/>
      <c r="LAX410" s="172"/>
      <c r="LAY410" s="172"/>
      <c r="LAZ410" s="172"/>
      <c r="LBA410" s="172"/>
      <c r="LBB410" s="172"/>
      <c r="LBC410" s="172"/>
      <c r="LBD410" s="172"/>
      <c r="LBE410" s="172"/>
      <c r="LBF410" s="172"/>
      <c r="LBG410" s="172"/>
      <c r="LBH410" s="172"/>
      <c r="LBI410" s="172"/>
      <c r="LBJ410" s="172"/>
      <c r="LBK410" s="172"/>
      <c r="LBL410" s="172"/>
      <c r="LBM410" s="172"/>
      <c r="LBN410" s="172"/>
      <c r="LBO410" s="172"/>
      <c r="LBP410" s="172"/>
      <c r="LBQ410" s="172"/>
      <c r="LBR410" s="172"/>
      <c r="LBS410" s="172"/>
      <c r="LBT410" s="172"/>
      <c r="LBU410" s="172"/>
      <c r="LBV410" s="172"/>
      <c r="LBW410" s="172"/>
      <c r="LBX410" s="172"/>
      <c r="LBY410" s="172"/>
      <c r="LBZ410" s="172"/>
      <c r="LCA410" s="172"/>
      <c r="LCB410" s="172"/>
      <c r="LCC410" s="172"/>
      <c r="LCD410" s="172"/>
      <c r="LCE410" s="172"/>
      <c r="LCF410" s="172"/>
      <c r="LCG410" s="172"/>
      <c r="LCH410" s="172"/>
      <c r="LCI410" s="172"/>
      <c r="LCJ410" s="172"/>
      <c r="LCK410" s="172"/>
      <c r="LCL410" s="172"/>
      <c r="LCM410" s="172"/>
      <c r="LCN410" s="172"/>
      <c r="LCO410" s="172"/>
      <c r="LCP410" s="172"/>
      <c r="LCQ410" s="172"/>
      <c r="LCR410" s="172"/>
      <c r="LCS410" s="172"/>
      <c r="LCT410" s="172"/>
      <c r="LCU410" s="172"/>
      <c r="LCV410" s="172"/>
      <c r="LCW410" s="172"/>
      <c r="LCX410" s="172"/>
      <c r="LCY410" s="172"/>
      <c r="LCZ410" s="172"/>
      <c r="LDA410" s="172"/>
      <c r="LDB410" s="172"/>
      <c r="LDC410" s="172"/>
      <c r="LDD410" s="172"/>
      <c r="LDE410" s="172"/>
      <c r="LDF410" s="172"/>
      <c r="LDG410" s="172"/>
      <c r="LDH410" s="172"/>
      <c r="LDI410" s="172"/>
      <c r="LDJ410" s="172"/>
      <c r="LDK410" s="172"/>
      <c r="LDL410" s="172"/>
      <c r="LDM410" s="172"/>
      <c r="LDN410" s="172"/>
      <c r="LDO410" s="172"/>
      <c r="LDP410" s="172"/>
      <c r="LDQ410" s="172"/>
      <c r="LDR410" s="172"/>
      <c r="LDS410" s="172"/>
      <c r="LDT410" s="172"/>
      <c r="LDU410" s="172"/>
      <c r="LDV410" s="172"/>
      <c r="LDW410" s="172"/>
      <c r="LDX410" s="172"/>
      <c r="LDY410" s="172"/>
      <c r="LDZ410" s="172"/>
      <c r="LEA410" s="172"/>
      <c r="LEB410" s="172"/>
      <c r="LEC410" s="172"/>
      <c r="LED410" s="172"/>
      <c r="LEE410" s="172"/>
      <c r="LEF410" s="172"/>
      <c r="LEG410" s="172"/>
      <c r="LEH410" s="172"/>
      <c r="LEI410" s="172"/>
      <c r="LEJ410" s="172"/>
      <c r="LEK410" s="172"/>
      <c r="LEL410" s="172"/>
      <c r="LEM410" s="172"/>
      <c r="LEN410" s="172"/>
      <c r="LEO410" s="172"/>
      <c r="LEP410" s="172"/>
      <c r="LEQ410" s="172"/>
      <c r="LER410" s="172"/>
      <c r="LES410" s="172"/>
      <c r="LET410" s="172"/>
      <c r="LEU410" s="172"/>
      <c r="LEV410" s="172"/>
      <c r="LEW410" s="172"/>
      <c r="LEX410" s="172"/>
      <c r="LEY410" s="172"/>
      <c r="LEZ410" s="172"/>
      <c r="LFA410" s="172"/>
      <c r="LFB410" s="172"/>
      <c r="LFC410" s="172"/>
      <c r="LFD410" s="172"/>
      <c r="LFE410" s="172"/>
      <c r="LFF410" s="172"/>
      <c r="LFG410" s="172"/>
      <c r="LFH410" s="172"/>
      <c r="LFI410" s="172"/>
      <c r="LFJ410" s="172"/>
      <c r="LFK410" s="172"/>
      <c r="LFL410" s="172"/>
      <c r="LFM410" s="172"/>
      <c r="LFN410" s="172"/>
      <c r="LFO410" s="172"/>
      <c r="LFP410" s="172"/>
      <c r="LFQ410" s="172"/>
      <c r="LFR410" s="172"/>
      <c r="LFS410" s="172"/>
      <c r="LFT410" s="172"/>
      <c r="LFU410" s="172"/>
      <c r="LFV410" s="172"/>
      <c r="LFW410" s="172"/>
      <c r="LFX410" s="172"/>
      <c r="LFY410" s="172"/>
      <c r="LFZ410" s="172"/>
      <c r="LGA410" s="172"/>
      <c r="LGB410" s="172"/>
      <c r="LGC410" s="172"/>
      <c r="LGD410" s="172"/>
      <c r="LGE410" s="172"/>
      <c r="LGF410" s="172"/>
      <c r="LGG410" s="172"/>
      <c r="LGH410" s="172"/>
      <c r="LGI410" s="172"/>
      <c r="LGJ410" s="172"/>
      <c r="LGK410" s="172"/>
      <c r="LGL410" s="172"/>
      <c r="LGM410" s="172"/>
      <c r="LGN410" s="172"/>
      <c r="LGO410" s="172"/>
      <c r="LGP410" s="172"/>
      <c r="LGQ410" s="172"/>
      <c r="LGR410" s="172"/>
      <c r="LGS410" s="172"/>
      <c r="LGT410" s="172"/>
      <c r="LGU410" s="172"/>
      <c r="LGV410" s="172"/>
      <c r="LGW410" s="172"/>
      <c r="LGX410" s="172"/>
      <c r="LGY410" s="172"/>
      <c r="LGZ410" s="172"/>
      <c r="LHA410" s="172"/>
      <c r="LHB410" s="172"/>
      <c r="LHC410" s="172"/>
      <c r="LHD410" s="172"/>
      <c r="LHE410" s="172"/>
      <c r="LHF410" s="172"/>
      <c r="LHG410" s="172"/>
      <c r="LHH410" s="172"/>
      <c r="LHI410" s="172"/>
      <c r="LHJ410" s="172"/>
      <c r="LHK410" s="172"/>
      <c r="LHL410" s="172"/>
      <c r="LHM410" s="172"/>
      <c r="LHN410" s="172"/>
      <c r="LHO410" s="172"/>
      <c r="LHP410" s="172"/>
      <c r="LHQ410" s="172"/>
      <c r="LHR410" s="172"/>
      <c r="LHS410" s="172"/>
      <c r="LHT410" s="172"/>
      <c r="LHU410" s="172"/>
      <c r="LHV410" s="172"/>
      <c r="LHW410" s="172"/>
      <c r="LHX410" s="172"/>
      <c r="LHY410" s="172"/>
      <c r="LHZ410" s="172"/>
      <c r="LIA410" s="172"/>
      <c r="LIB410" s="172"/>
      <c r="LIC410" s="172"/>
      <c r="LID410" s="172"/>
      <c r="LIE410" s="172"/>
      <c r="LIF410" s="172"/>
      <c r="LIG410" s="172"/>
      <c r="LIH410" s="172"/>
      <c r="LII410" s="172"/>
      <c r="LIJ410" s="172"/>
      <c r="LIK410" s="172"/>
      <c r="LIL410" s="172"/>
      <c r="LIM410" s="172"/>
      <c r="LIN410" s="172"/>
      <c r="LIO410" s="172"/>
      <c r="LIP410" s="172"/>
      <c r="LIQ410" s="172"/>
      <c r="LIR410" s="172"/>
      <c r="LIS410" s="172"/>
      <c r="LIT410" s="172"/>
      <c r="LIU410" s="172"/>
      <c r="LIV410" s="172"/>
      <c r="LIW410" s="172"/>
      <c r="LIX410" s="172"/>
      <c r="LIY410" s="172"/>
      <c r="LIZ410" s="172"/>
      <c r="LJA410" s="172"/>
      <c r="LJB410" s="172"/>
      <c r="LJC410" s="172"/>
      <c r="LJD410" s="172"/>
      <c r="LJE410" s="172"/>
      <c r="LJF410" s="172"/>
      <c r="LJG410" s="172"/>
      <c r="LJH410" s="172"/>
      <c r="LJI410" s="172"/>
      <c r="LJJ410" s="172"/>
      <c r="LJK410" s="172"/>
      <c r="LJL410" s="172"/>
      <c r="LJM410" s="172"/>
      <c r="LJN410" s="172"/>
      <c r="LJO410" s="172"/>
      <c r="LJP410" s="172"/>
      <c r="LJQ410" s="172"/>
      <c r="LJR410" s="172"/>
      <c r="LJS410" s="172"/>
      <c r="LJT410" s="172"/>
      <c r="LJU410" s="172"/>
      <c r="LJV410" s="172"/>
      <c r="LJW410" s="172"/>
      <c r="LJX410" s="172"/>
      <c r="LJY410" s="172"/>
      <c r="LJZ410" s="172"/>
      <c r="LKA410" s="172"/>
      <c r="LKB410" s="172"/>
      <c r="LKC410" s="172"/>
      <c r="LKD410" s="172"/>
      <c r="LKE410" s="172"/>
      <c r="LKF410" s="172"/>
      <c r="LKG410" s="172"/>
      <c r="LKH410" s="172"/>
      <c r="LKI410" s="172"/>
      <c r="LKJ410" s="172"/>
      <c r="LKK410" s="172"/>
      <c r="LKL410" s="172"/>
      <c r="LKM410" s="172"/>
      <c r="LKN410" s="172"/>
      <c r="LKO410" s="172"/>
      <c r="LKP410" s="172"/>
      <c r="LKQ410" s="172"/>
      <c r="LKR410" s="172"/>
      <c r="LKS410" s="172"/>
      <c r="LKT410" s="172"/>
      <c r="LKU410" s="172"/>
      <c r="LKV410" s="172"/>
      <c r="LKW410" s="172"/>
      <c r="LKX410" s="172"/>
      <c r="LKY410" s="172"/>
      <c r="LKZ410" s="172"/>
      <c r="LLA410" s="172"/>
      <c r="LLB410" s="172"/>
      <c r="LLC410" s="172"/>
      <c r="LLD410" s="172"/>
      <c r="LLE410" s="172"/>
      <c r="LLF410" s="172"/>
      <c r="LLG410" s="172"/>
      <c r="LLH410" s="172"/>
      <c r="LLI410" s="172"/>
      <c r="LLJ410" s="172"/>
      <c r="LLK410" s="172"/>
      <c r="LLL410" s="172"/>
      <c r="LLM410" s="172"/>
      <c r="LLN410" s="172"/>
      <c r="LLO410" s="172"/>
      <c r="LLP410" s="172"/>
      <c r="LLQ410" s="172"/>
      <c r="LLR410" s="172"/>
      <c r="LLS410" s="172"/>
      <c r="LLT410" s="172"/>
      <c r="LLU410" s="172"/>
      <c r="LLV410" s="172"/>
      <c r="LLW410" s="172"/>
      <c r="LLX410" s="172"/>
      <c r="LLY410" s="172"/>
      <c r="LLZ410" s="172"/>
      <c r="LMA410" s="172"/>
      <c r="LMB410" s="172"/>
      <c r="LMC410" s="172"/>
      <c r="LMD410" s="172"/>
      <c r="LME410" s="172"/>
      <c r="LMF410" s="172"/>
      <c r="LMG410" s="172"/>
      <c r="LMH410" s="172"/>
      <c r="LMI410" s="172"/>
      <c r="LMJ410" s="172"/>
      <c r="LMK410" s="172"/>
      <c r="LML410" s="172"/>
      <c r="LMM410" s="172"/>
      <c r="LMN410" s="172"/>
      <c r="LMO410" s="172"/>
      <c r="LMP410" s="172"/>
      <c r="LMQ410" s="172"/>
      <c r="LMR410" s="172"/>
      <c r="LMS410" s="172"/>
      <c r="LMT410" s="172"/>
      <c r="LMU410" s="172"/>
      <c r="LMV410" s="172"/>
      <c r="LMW410" s="172"/>
      <c r="LMX410" s="172"/>
      <c r="LMY410" s="172"/>
      <c r="LMZ410" s="172"/>
      <c r="LNA410" s="172"/>
      <c r="LNB410" s="172"/>
      <c r="LNC410" s="172"/>
      <c r="LND410" s="172"/>
      <c r="LNE410" s="172"/>
      <c r="LNF410" s="172"/>
      <c r="LNG410" s="172"/>
      <c r="LNH410" s="172"/>
      <c r="LNI410" s="172"/>
      <c r="LNJ410" s="172"/>
      <c r="LNK410" s="172"/>
      <c r="LNL410" s="172"/>
      <c r="LNM410" s="172"/>
      <c r="LNN410" s="172"/>
      <c r="LNO410" s="172"/>
      <c r="LNP410" s="172"/>
      <c r="LNQ410" s="172"/>
      <c r="LNR410" s="172"/>
      <c r="LNS410" s="172"/>
      <c r="LNT410" s="172"/>
      <c r="LNU410" s="172"/>
      <c r="LNV410" s="172"/>
      <c r="LNW410" s="172"/>
      <c r="LNX410" s="172"/>
      <c r="LNY410" s="172"/>
      <c r="LNZ410" s="172"/>
      <c r="LOA410" s="172"/>
      <c r="LOB410" s="172"/>
      <c r="LOC410" s="172"/>
      <c r="LOD410" s="172"/>
      <c r="LOE410" s="172"/>
      <c r="LOF410" s="172"/>
      <c r="LOG410" s="172"/>
      <c r="LOH410" s="172"/>
      <c r="LOI410" s="172"/>
      <c r="LOJ410" s="172"/>
      <c r="LOK410" s="172"/>
      <c r="LOL410" s="172"/>
      <c r="LOM410" s="172"/>
      <c r="LON410" s="172"/>
      <c r="LOO410" s="172"/>
      <c r="LOP410" s="172"/>
      <c r="LOQ410" s="172"/>
      <c r="LOR410" s="172"/>
      <c r="LOS410" s="172"/>
      <c r="LOT410" s="172"/>
      <c r="LOU410" s="172"/>
      <c r="LOV410" s="172"/>
      <c r="LOW410" s="172"/>
      <c r="LOX410" s="172"/>
      <c r="LOY410" s="172"/>
      <c r="LOZ410" s="172"/>
      <c r="LPA410" s="172"/>
      <c r="LPB410" s="172"/>
      <c r="LPC410" s="172"/>
      <c r="LPD410" s="172"/>
      <c r="LPE410" s="172"/>
      <c r="LPF410" s="172"/>
      <c r="LPG410" s="172"/>
      <c r="LPH410" s="172"/>
      <c r="LPI410" s="172"/>
      <c r="LPJ410" s="172"/>
      <c r="LPK410" s="172"/>
      <c r="LPL410" s="172"/>
      <c r="LPM410" s="172"/>
      <c r="LPN410" s="172"/>
      <c r="LPO410" s="172"/>
      <c r="LPP410" s="172"/>
      <c r="LPQ410" s="172"/>
      <c r="LPR410" s="172"/>
      <c r="LPS410" s="172"/>
      <c r="LPT410" s="172"/>
      <c r="LPU410" s="172"/>
      <c r="LPV410" s="172"/>
      <c r="LPW410" s="172"/>
      <c r="LPX410" s="172"/>
      <c r="LPY410" s="172"/>
      <c r="LPZ410" s="172"/>
      <c r="LQA410" s="172"/>
      <c r="LQB410" s="172"/>
      <c r="LQC410" s="172"/>
      <c r="LQD410" s="172"/>
      <c r="LQE410" s="172"/>
      <c r="LQF410" s="172"/>
      <c r="LQG410" s="172"/>
      <c r="LQH410" s="172"/>
      <c r="LQI410" s="172"/>
      <c r="LQJ410" s="172"/>
      <c r="LQK410" s="172"/>
      <c r="LQL410" s="172"/>
      <c r="LQM410" s="172"/>
      <c r="LQN410" s="172"/>
      <c r="LQO410" s="172"/>
      <c r="LQP410" s="172"/>
      <c r="LQQ410" s="172"/>
      <c r="LQR410" s="172"/>
      <c r="LQS410" s="172"/>
      <c r="LQT410" s="172"/>
      <c r="LQU410" s="172"/>
      <c r="LQV410" s="172"/>
      <c r="LQW410" s="172"/>
      <c r="LQX410" s="172"/>
      <c r="LQY410" s="172"/>
      <c r="LQZ410" s="172"/>
      <c r="LRA410" s="172"/>
      <c r="LRB410" s="172"/>
      <c r="LRC410" s="172"/>
      <c r="LRD410" s="172"/>
      <c r="LRE410" s="172"/>
      <c r="LRF410" s="172"/>
      <c r="LRG410" s="172"/>
      <c r="LRH410" s="172"/>
      <c r="LRI410" s="172"/>
      <c r="LRJ410" s="172"/>
      <c r="LRK410" s="172"/>
      <c r="LRL410" s="172"/>
      <c r="LRM410" s="172"/>
      <c r="LRN410" s="172"/>
      <c r="LRO410" s="172"/>
      <c r="LRP410" s="172"/>
      <c r="LRQ410" s="172"/>
      <c r="LRR410" s="172"/>
      <c r="LRS410" s="172"/>
      <c r="LRT410" s="172"/>
      <c r="LRU410" s="172"/>
      <c r="LRV410" s="172"/>
      <c r="LRW410" s="172"/>
      <c r="LRX410" s="172"/>
      <c r="LRY410" s="172"/>
      <c r="LRZ410" s="172"/>
      <c r="LSA410" s="172"/>
      <c r="LSB410" s="172"/>
      <c r="LSC410" s="172"/>
      <c r="LSD410" s="172"/>
      <c r="LSE410" s="172"/>
      <c r="LSF410" s="172"/>
      <c r="LSG410" s="172"/>
      <c r="LSH410" s="172"/>
      <c r="LSI410" s="172"/>
      <c r="LSJ410" s="172"/>
      <c r="LSK410" s="172"/>
      <c r="LSL410" s="172"/>
      <c r="LSM410" s="172"/>
      <c r="LSN410" s="172"/>
      <c r="LSO410" s="172"/>
      <c r="LSP410" s="172"/>
      <c r="LSQ410" s="172"/>
      <c r="LSR410" s="172"/>
      <c r="LSS410" s="172"/>
      <c r="LST410" s="172"/>
      <c r="LSU410" s="172"/>
      <c r="LSV410" s="172"/>
      <c r="LSW410" s="172"/>
      <c r="LSX410" s="172"/>
      <c r="LSY410" s="172"/>
      <c r="LSZ410" s="172"/>
      <c r="LTA410" s="172"/>
      <c r="LTB410" s="172"/>
      <c r="LTC410" s="172"/>
      <c r="LTD410" s="172"/>
      <c r="LTE410" s="172"/>
      <c r="LTF410" s="172"/>
      <c r="LTG410" s="172"/>
      <c r="LTH410" s="172"/>
      <c r="LTI410" s="172"/>
      <c r="LTJ410" s="172"/>
      <c r="LTK410" s="172"/>
      <c r="LTL410" s="172"/>
      <c r="LTM410" s="172"/>
      <c r="LTN410" s="172"/>
      <c r="LTO410" s="172"/>
      <c r="LTP410" s="172"/>
      <c r="LTQ410" s="172"/>
      <c r="LTR410" s="172"/>
      <c r="LTS410" s="172"/>
      <c r="LTT410" s="172"/>
      <c r="LTU410" s="172"/>
      <c r="LTV410" s="172"/>
      <c r="LTW410" s="172"/>
      <c r="LTX410" s="172"/>
      <c r="LTY410" s="172"/>
      <c r="LTZ410" s="172"/>
      <c r="LUA410" s="172"/>
      <c r="LUB410" s="172"/>
      <c r="LUC410" s="172"/>
      <c r="LUD410" s="172"/>
      <c r="LUE410" s="172"/>
      <c r="LUF410" s="172"/>
      <c r="LUG410" s="172"/>
      <c r="LUH410" s="172"/>
      <c r="LUI410" s="172"/>
      <c r="LUJ410" s="172"/>
      <c r="LUK410" s="172"/>
      <c r="LUL410" s="172"/>
      <c r="LUM410" s="172"/>
      <c r="LUN410" s="172"/>
      <c r="LUO410" s="172"/>
      <c r="LUP410" s="172"/>
      <c r="LUQ410" s="172"/>
      <c r="LUR410" s="172"/>
      <c r="LUS410" s="172"/>
      <c r="LUT410" s="172"/>
      <c r="LUU410" s="172"/>
      <c r="LUV410" s="172"/>
      <c r="LUW410" s="172"/>
      <c r="LUX410" s="172"/>
      <c r="LUY410" s="172"/>
      <c r="LUZ410" s="172"/>
      <c r="LVA410" s="172"/>
      <c r="LVB410" s="172"/>
      <c r="LVC410" s="172"/>
      <c r="LVD410" s="172"/>
      <c r="LVE410" s="172"/>
      <c r="LVF410" s="172"/>
      <c r="LVG410" s="172"/>
      <c r="LVH410" s="172"/>
      <c r="LVI410" s="172"/>
      <c r="LVJ410" s="172"/>
      <c r="LVK410" s="172"/>
      <c r="LVL410" s="172"/>
      <c r="LVM410" s="172"/>
      <c r="LVN410" s="172"/>
      <c r="LVO410" s="172"/>
      <c r="LVP410" s="172"/>
      <c r="LVQ410" s="172"/>
      <c r="LVR410" s="172"/>
      <c r="LVS410" s="172"/>
      <c r="LVT410" s="172"/>
      <c r="LVU410" s="172"/>
      <c r="LVV410" s="172"/>
      <c r="LVW410" s="172"/>
      <c r="LVX410" s="172"/>
      <c r="LVY410" s="172"/>
      <c r="LVZ410" s="172"/>
      <c r="LWA410" s="172"/>
      <c r="LWB410" s="172"/>
      <c r="LWC410" s="172"/>
      <c r="LWD410" s="172"/>
      <c r="LWE410" s="172"/>
      <c r="LWF410" s="172"/>
      <c r="LWG410" s="172"/>
      <c r="LWH410" s="172"/>
      <c r="LWI410" s="172"/>
      <c r="LWJ410" s="172"/>
      <c r="LWK410" s="172"/>
      <c r="LWL410" s="172"/>
      <c r="LWM410" s="172"/>
      <c r="LWN410" s="172"/>
      <c r="LWO410" s="172"/>
      <c r="LWP410" s="172"/>
      <c r="LWQ410" s="172"/>
      <c r="LWR410" s="172"/>
      <c r="LWS410" s="172"/>
      <c r="LWT410" s="172"/>
      <c r="LWU410" s="172"/>
      <c r="LWV410" s="172"/>
      <c r="LWW410" s="172"/>
      <c r="LWX410" s="172"/>
      <c r="LWY410" s="172"/>
      <c r="LWZ410" s="172"/>
      <c r="LXA410" s="172"/>
      <c r="LXB410" s="172"/>
      <c r="LXC410" s="172"/>
      <c r="LXD410" s="172"/>
      <c r="LXE410" s="172"/>
      <c r="LXF410" s="172"/>
      <c r="LXG410" s="172"/>
      <c r="LXH410" s="172"/>
      <c r="LXI410" s="172"/>
      <c r="LXJ410" s="172"/>
      <c r="LXK410" s="172"/>
      <c r="LXL410" s="172"/>
      <c r="LXM410" s="172"/>
      <c r="LXN410" s="172"/>
      <c r="LXO410" s="172"/>
      <c r="LXP410" s="172"/>
      <c r="LXQ410" s="172"/>
      <c r="LXR410" s="172"/>
      <c r="LXS410" s="172"/>
      <c r="LXT410" s="172"/>
      <c r="LXU410" s="172"/>
      <c r="LXV410" s="172"/>
      <c r="LXW410" s="172"/>
      <c r="LXX410" s="172"/>
      <c r="LXY410" s="172"/>
      <c r="LXZ410" s="172"/>
      <c r="LYA410" s="172"/>
      <c r="LYB410" s="172"/>
      <c r="LYC410" s="172"/>
      <c r="LYD410" s="172"/>
      <c r="LYE410" s="172"/>
      <c r="LYF410" s="172"/>
      <c r="LYG410" s="172"/>
      <c r="LYH410" s="172"/>
      <c r="LYI410" s="172"/>
      <c r="LYJ410" s="172"/>
      <c r="LYK410" s="172"/>
      <c r="LYL410" s="172"/>
      <c r="LYM410" s="172"/>
      <c r="LYN410" s="172"/>
      <c r="LYO410" s="172"/>
      <c r="LYP410" s="172"/>
      <c r="LYQ410" s="172"/>
      <c r="LYR410" s="172"/>
      <c r="LYS410" s="172"/>
      <c r="LYT410" s="172"/>
      <c r="LYU410" s="172"/>
      <c r="LYV410" s="172"/>
      <c r="LYW410" s="172"/>
      <c r="LYX410" s="172"/>
      <c r="LYY410" s="172"/>
      <c r="LYZ410" s="172"/>
      <c r="LZA410" s="172"/>
      <c r="LZB410" s="172"/>
      <c r="LZC410" s="172"/>
      <c r="LZD410" s="172"/>
      <c r="LZE410" s="172"/>
      <c r="LZF410" s="172"/>
      <c r="LZG410" s="172"/>
      <c r="LZH410" s="172"/>
      <c r="LZI410" s="172"/>
      <c r="LZJ410" s="172"/>
      <c r="LZK410" s="172"/>
      <c r="LZL410" s="172"/>
      <c r="LZM410" s="172"/>
      <c r="LZN410" s="172"/>
      <c r="LZO410" s="172"/>
      <c r="LZP410" s="172"/>
      <c r="LZQ410" s="172"/>
      <c r="LZR410" s="172"/>
      <c r="LZS410" s="172"/>
      <c r="LZT410" s="172"/>
      <c r="LZU410" s="172"/>
      <c r="LZV410" s="172"/>
      <c r="LZW410" s="172"/>
      <c r="LZX410" s="172"/>
      <c r="LZY410" s="172"/>
      <c r="LZZ410" s="172"/>
      <c r="MAA410" s="172"/>
      <c r="MAB410" s="172"/>
      <c r="MAC410" s="172"/>
      <c r="MAD410" s="172"/>
      <c r="MAE410" s="172"/>
      <c r="MAF410" s="172"/>
      <c r="MAG410" s="172"/>
      <c r="MAH410" s="172"/>
      <c r="MAI410" s="172"/>
      <c r="MAJ410" s="172"/>
      <c r="MAK410" s="172"/>
      <c r="MAL410" s="172"/>
      <c r="MAM410" s="172"/>
      <c r="MAN410" s="172"/>
      <c r="MAO410" s="172"/>
      <c r="MAP410" s="172"/>
      <c r="MAQ410" s="172"/>
      <c r="MAR410" s="172"/>
      <c r="MAS410" s="172"/>
      <c r="MAT410" s="172"/>
      <c r="MAU410" s="172"/>
      <c r="MAV410" s="172"/>
      <c r="MAW410" s="172"/>
      <c r="MAX410" s="172"/>
      <c r="MAY410" s="172"/>
      <c r="MAZ410" s="172"/>
      <c r="MBA410" s="172"/>
      <c r="MBB410" s="172"/>
      <c r="MBC410" s="172"/>
      <c r="MBD410" s="172"/>
      <c r="MBE410" s="172"/>
      <c r="MBF410" s="172"/>
      <c r="MBG410" s="172"/>
      <c r="MBH410" s="172"/>
      <c r="MBI410" s="172"/>
      <c r="MBJ410" s="172"/>
      <c r="MBK410" s="172"/>
      <c r="MBL410" s="172"/>
      <c r="MBM410" s="172"/>
      <c r="MBN410" s="172"/>
      <c r="MBO410" s="172"/>
      <c r="MBP410" s="172"/>
      <c r="MBQ410" s="172"/>
      <c r="MBR410" s="172"/>
      <c r="MBS410" s="172"/>
      <c r="MBT410" s="172"/>
      <c r="MBU410" s="172"/>
      <c r="MBV410" s="172"/>
      <c r="MBW410" s="172"/>
      <c r="MBX410" s="172"/>
      <c r="MBY410" s="172"/>
      <c r="MBZ410" s="172"/>
      <c r="MCA410" s="172"/>
      <c r="MCB410" s="172"/>
      <c r="MCC410" s="172"/>
      <c r="MCD410" s="172"/>
      <c r="MCE410" s="172"/>
      <c r="MCF410" s="172"/>
      <c r="MCG410" s="172"/>
      <c r="MCH410" s="172"/>
      <c r="MCI410" s="172"/>
      <c r="MCJ410" s="172"/>
      <c r="MCK410" s="172"/>
      <c r="MCL410" s="172"/>
      <c r="MCM410" s="172"/>
      <c r="MCN410" s="172"/>
      <c r="MCO410" s="172"/>
      <c r="MCP410" s="172"/>
      <c r="MCQ410" s="172"/>
      <c r="MCR410" s="172"/>
      <c r="MCS410" s="172"/>
      <c r="MCT410" s="172"/>
      <c r="MCU410" s="172"/>
      <c r="MCV410" s="172"/>
      <c r="MCW410" s="172"/>
      <c r="MCX410" s="172"/>
      <c r="MCY410" s="172"/>
      <c r="MCZ410" s="172"/>
      <c r="MDA410" s="172"/>
      <c r="MDB410" s="172"/>
      <c r="MDC410" s="172"/>
      <c r="MDD410" s="172"/>
      <c r="MDE410" s="172"/>
      <c r="MDF410" s="172"/>
      <c r="MDG410" s="172"/>
      <c r="MDH410" s="172"/>
      <c r="MDI410" s="172"/>
      <c r="MDJ410" s="172"/>
      <c r="MDK410" s="172"/>
      <c r="MDL410" s="172"/>
      <c r="MDM410" s="172"/>
      <c r="MDN410" s="172"/>
      <c r="MDO410" s="172"/>
      <c r="MDP410" s="172"/>
      <c r="MDQ410" s="172"/>
      <c r="MDR410" s="172"/>
      <c r="MDS410" s="172"/>
      <c r="MDT410" s="172"/>
      <c r="MDU410" s="172"/>
      <c r="MDV410" s="172"/>
      <c r="MDW410" s="172"/>
      <c r="MDX410" s="172"/>
      <c r="MDY410" s="172"/>
      <c r="MDZ410" s="172"/>
      <c r="MEA410" s="172"/>
      <c r="MEB410" s="172"/>
      <c r="MEC410" s="172"/>
      <c r="MED410" s="172"/>
      <c r="MEE410" s="172"/>
      <c r="MEF410" s="172"/>
      <c r="MEG410" s="172"/>
      <c r="MEH410" s="172"/>
      <c r="MEI410" s="172"/>
      <c r="MEJ410" s="172"/>
      <c r="MEK410" s="172"/>
      <c r="MEL410" s="172"/>
      <c r="MEM410" s="172"/>
      <c r="MEN410" s="172"/>
      <c r="MEO410" s="172"/>
      <c r="MEP410" s="172"/>
      <c r="MEQ410" s="172"/>
      <c r="MER410" s="172"/>
      <c r="MES410" s="172"/>
      <c r="MET410" s="172"/>
      <c r="MEU410" s="172"/>
      <c r="MEV410" s="172"/>
      <c r="MEW410" s="172"/>
      <c r="MEX410" s="172"/>
      <c r="MEY410" s="172"/>
      <c r="MEZ410" s="172"/>
      <c r="MFA410" s="172"/>
      <c r="MFB410" s="172"/>
      <c r="MFC410" s="172"/>
      <c r="MFD410" s="172"/>
      <c r="MFE410" s="172"/>
      <c r="MFF410" s="172"/>
      <c r="MFG410" s="172"/>
      <c r="MFH410" s="172"/>
      <c r="MFI410" s="172"/>
      <c r="MFJ410" s="172"/>
      <c r="MFK410" s="172"/>
      <c r="MFL410" s="172"/>
      <c r="MFM410" s="172"/>
      <c r="MFN410" s="172"/>
      <c r="MFO410" s="172"/>
      <c r="MFP410" s="172"/>
      <c r="MFQ410" s="172"/>
      <c r="MFR410" s="172"/>
      <c r="MFS410" s="172"/>
      <c r="MFT410" s="172"/>
      <c r="MFU410" s="172"/>
      <c r="MFV410" s="172"/>
      <c r="MFW410" s="172"/>
      <c r="MFX410" s="172"/>
      <c r="MFY410" s="172"/>
      <c r="MFZ410" s="172"/>
      <c r="MGA410" s="172"/>
      <c r="MGB410" s="172"/>
      <c r="MGC410" s="172"/>
      <c r="MGD410" s="172"/>
      <c r="MGE410" s="172"/>
      <c r="MGF410" s="172"/>
      <c r="MGG410" s="172"/>
      <c r="MGH410" s="172"/>
      <c r="MGI410" s="172"/>
      <c r="MGJ410" s="172"/>
      <c r="MGK410" s="172"/>
      <c r="MGL410" s="172"/>
      <c r="MGM410" s="172"/>
      <c r="MGN410" s="172"/>
      <c r="MGO410" s="172"/>
      <c r="MGP410" s="172"/>
      <c r="MGQ410" s="172"/>
      <c r="MGR410" s="172"/>
      <c r="MGS410" s="172"/>
      <c r="MGT410" s="172"/>
      <c r="MGU410" s="172"/>
      <c r="MGV410" s="172"/>
      <c r="MGW410" s="172"/>
      <c r="MGX410" s="172"/>
      <c r="MGY410" s="172"/>
      <c r="MGZ410" s="172"/>
      <c r="MHA410" s="172"/>
      <c r="MHB410" s="172"/>
      <c r="MHC410" s="172"/>
      <c r="MHD410" s="172"/>
      <c r="MHE410" s="172"/>
      <c r="MHF410" s="172"/>
      <c r="MHG410" s="172"/>
      <c r="MHH410" s="172"/>
      <c r="MHI410" s="172"/>
      <c r="MHJ410" s="172"/>
      <c r="MHK410" s="172"/>
      <c r="MHL410" s="172"/>
      <c r="MHM410" s="172"/>
      <c r="MHN410" s="172"/>
      <c r="MHO410" s="172"/>
      <c r="MHP410" s="172"/>
      <c r="MHQ410" s="172"/>
      <c r="MHR410" s="172"/>
      <c r="MHS410" s="172"/>
      <c r="MHT410" s="172"/>
      <c r="MHU410" s="172"/>
      <c r="MHV410" s="172"/>
      <c r="MHW410" s="172"/>
      <c r="MHX410" s="172"/>
      <c r="MHY410" s="172"/>
      <c r="MHZ410" s="172"/>
      <c r="MIA410" s="172"/>
      <c r="MIB410" s="172"/>
      <c r="MIC410" s="172"/>
      <c r="MID410" s="172"/>
      <c r="MIE410" s="172"/>
      <c r="MIF410" s="172"/>
      <c r="MIG410" s="172"/>
      <c r="MIH410" s="172"/>
      <c r="MII410" s="172"/>
      <c r="MIJ410" s="172"/>
      <c r="MIK410" s="172"/>
      <c r="MIL410" s="172"/>
      <c r="MIM410" s="172"/>
      <c r="MIN410" s="172"/>
      <c r="MIO410" s="172"/>
      <c r="MIP410" s="172"/>
      <c r="MIQ410" s="172"/>
      <c r="MIR410" s="172"/>
      <c r="MIS410" s="172"/>
      <c r="MIT410" s="172"/>
      <c r="MIU410" s="172"/>
      <c r="MIV410" s="172"/>
      <c r="MIW410" s="172"/>
      <c r="MIX410" s="172"/>
      <c r="MIY410" s="172"/>
      <c r="MIZ410" s="172"/>
      <c r="MJA410" s="172"/>
      <c r="MJB410" s="172"/>
      <c r="MJC410" s="172"/>
      <c r="MJD410" s="172"/>
      <c r="MJE410" s="172"/>
      <c r="MJF410" s="172"/>
      <c r="MJG410" s="172"/>
      <c r="MJH410" s="172"/>
      <c r="MJI410" s="172"/>
      <c r="MJJ410" s="172"/>
      <c r="MJK410" s="172"/>
      <c r="MJL410" s="172"/>
      <c r="MJM410" s="172"/>
      <c r="MJN410" s="172"/>
      <c r="MJO410" s="172"/>
      <c r="MJP410" s="172"/>
      <c r="MJQ410" s="172"/>
      <c r="MJR410" s="172"/>
      <c r="MJS410" s="172"/>
      <c r="MJT410" s="172"/>
      <c r="MJU410" s="172"/>
      <c r="MJV410" s="172"/>
      <c r="MJW410" s="172"/>
      <c r="MJX410" s="172"/>
      <c r="MJY410" s="172"/>
      <c r="MJZ410" s="172"/>
      <c r="MKA410" s="172"/>
      <c r="MKB410" s="172"/>
      <c r="MKC410" s="172"/>
      <c r="MKD410" s="172"/>
      <c r="MKE410" s="172"/>
      <c r="MKF410" s="172"/>
      <c r="MKG410" s="172"/>
      <c r="MKH410" s="172"/>
      <c r="MKI410" s="172"/>
      <c r="MKJ410" s="172"/>
      <c r="MKK410" s="172"/>
      <c r="MKL410" s="172"/>
      <c r="MKM410" s="172"/>
      <c r="MKN410" s="172"/>
      <c r="MKO410" s="172"/>
      <c r="MKP410" s="172"/>
      <c r="MKQ410" s="172"/>
      <c r="MKR410" s="172"/>
      <c r="MKS410" s="172"/>
      <c r="MKT410" s="172"/>
      <c r="MKU410" s="172"/>
      <c r="MKV410" s="172"/>
      <c r="MKW410" s="172"/>
      <c r="MKX410" s="172"/>
      <c r="MKY410" s="172"/>
      <c r="MKZ410" s="172"/>
      <c r="MLA410" s="172"/>
      <c r="MLB410" s="172"/>
      <c r="MLC410" s="172"/>
      <c r="MLD410" s="172"/>
      <c r="MLE410" s="172"/>
      <c r="MLF410" s="172"/>
      <c r="MLG410" s="172"/>
      <c r="MLH410" s="172"/>
      <c r="MLI410" s="172"/>
      <c r="MLJ410" s="172"/>
      <c r="MLK410" s="172"/>
      <c r="MLL410" s="172"/>
      <c r="MLM410" s="172"/>
      <c r="MLN410" s="172"/>
      <c r="MLO410" s="172"/>
      <c r="MLP410" s="172"/>
      <c r="MLQ410" s="172"/>
      <c r="MLR410" s="172"/>
      <c r="MLS410" s="172"/>
      <c r="MLT410" s="172"/>
      <c r="MLU410" s="172"/>
      <c r="MLV410" s="172"/>
      <c r="MLW410" s="172"/>
      <c r="MLX410" s="172"/>
      <c r="MLY410" s="172"/>
      <c r="MLZ410" s="172"/>
      <c r="MMA410" s="172"/>
      <c r="MMB410" s="172"/>
      <c r="MMC410" s="172"/>
      <c r="MMD410" s="172"/>
      <c r="MME410" s="172"/>
      <c r="MMF410" s="172"/>
      <c r="MMG410" s="172"/>
      <c r="MMH410" s="172"/>
      <c r="MMI410" s="172"/>
      <c r="MMJ410" s="172"/>
      <c r="MMK410" s="172"/>
      <c r="MML410" s="172"/>
      <c r="MMM410" s="172"/>
      <c r="MMN410" s="172"/>
      <c r="MMO410" s="172"/>
      <c r="MMP410" s="172"/>
      <c r="MMQ410" s="172"/>
      <c r="MMR410" s="172"/>
      <c r="MMS410" s="172"/>
      <c r="MMT410" s="172"/>
      <c r="MMU410" s="172"/>
      <c r="MMV410" s="172"/>
      <c r="MMW410" s="172"/>
      <c r="MMX410" s="172"/>
      <c r="MMY410" s="172"/>
      <c r="MMZ410" s="172"/>
      <c r="MNA410" s="172"/>
      <c r="MNB410" s="172"/>
      <c r="MNC410" s="172"/>
      <c r="MND410" s="172"/>
      <c r="MNE410" s="172"/>
      <c r="MNF410" s="172"/>
      <c r="MNG410" s="172"/>
      <c r="MNH410" s="172"/>
      <c r="MNI410" s="172"/>
      <c r="MNJ410" s="172"/>
      <c r="MNK410" s="172"/>
      <c r="MNL410" s="172"/>
      <c r="MNM410" s="172"/>
      <c r="MNN410" s="172"/>
      <c r="MNO410" s="172"/>
      <c r="MNP410" s="172"/>
      <c r="MNQ410" s="172"/>
      <c r="MNR410" s="172"/>
      <c r="MNS410" s="172"/>
      <c r="MNT410" s="172"/>
      <c r="MNU410" s="172"/>
      <c r="MNV410" s="172"/>
      <c r="MNW410" s="172"/>
      <c r="MNX410" s="172"/>
      <c r="MNY410" s="172"/>
      <c r="MNZ410" s="172"/>
      <c r="MOA410" s="172"/>
      <c r="MOB410" s="172"/>
      <c r="MOC410" s="172"/>
      <c r="MOD410" s="172"/>
      <c r="MOE410" s="172"/>
      <c r="MOF410" s="172"/>
      <c r="MOG410" s="172"/>
      <c r="MOH410" s="172"/>
      <c r="MOI410" s="172"/>
      <c r="MOJ410" s="172"/>
      <c r="MOK410" s="172"/>
      <c r="MOL410" s="172"/>
      <c r="MOM410" s="172"/>
      <c r="MON410" s="172"/>
      <c r="MOO410" s="172"/>
      <c r="MOP410" s="172"/>
      <c r="MOQ410" s="172"/>
      <c r="MOR410" s="172"/>
      <c r="MOS410" s="172"/>
      <c r="MOT410" s="172"/>
      <c r="MOU410" s="172"/>
      <c r="MOV410" s="172"/>
      <c r="MOW410" s="172"/>
      <c r="MOX410" s="172"/>
      <c r="MOY410" s="172"/>
      <c r="MOZ410" s="172"/>
      <c r="MPA410" s="172"/>
      <c r="MPB410" s="172"/>
      <c r="MPC410" s="172"/>
      <c r="MPD410" s="172"/>
      <c r="MPE410" s="172"/>
      <c r="MPF410" s="172"/>
      <c r="MPG410" s="172"/>
      <c r="MPH410" s="172"/>
      <c r="MPI410" s="172"/>
      <c r="MPJ410" s="172"/>
      <c r="MPK410" s="172"/>
      <c r="MPL410" s="172"/>
      <c r="MPM410" s="172"/>
      <c r="MPN410" s="172"/>
      <c r="MPO410" s="172"/>
      <c r="MPP410" s="172"/>
      <c r="MPQ410" s="172"/>
      <c r="MPR410" s="172"/>
      <c r="MPS410" s="172"/>
      <c r="MPT410" s="172"/>
      <c r="MPU410" s="172"/>
      <c r="MPV410" s="172"/>
      <c r="MPW410" s="172"/>
      <c r="MPX410" s="172"/>
      <c r="MPY410" s="172"/>
      <c r="MPZ410" s="172"/>
      <c r="MQA410" s="172"/>
      <c r="MQB410" s="172"/>
      <c r="MQC410" s="172"/>
      <c r="MQD410" s="172"/>
      <c r="MQE410" s="172"/>
      <c r="MQF410" s="172"/>
      <c r="MQG410" s="172"/>
      <c r="MQH410" s="172"/>
      <c r="MQI410" s="172"/>
      <c r="MQJ410" s="172"/>
      <c r="MQK410" s="172"/>
      <c r="MQL410" s="172"/>
      <c r="MQM410" s="172"/>
      <c r="MQN410" s="172"/>
      <c r="MQO410" s="172"/>
      <c r="MQP410" s="172"/>
      <c r="MQQ410" s="172"/>
      <c r="MQR410" s="172"/>
      <c r="MQS410" s="172"/>
      <c r="MQT410" s="172"/>
      <c r="MQU410" s="172"/>
      <c r="MQV410" s="172"/>
      <c r="MQW410" s="172"/>
      <c r="MQX410" s="172"/>
      <c r="MQY410" s="172"/>
      <c r="MQZ410" s="172"/>
      <c r="MRA410" s="172"/>
      <c r="MRB410" s="172"/>
      <c r="MRC410" s="172"/>
      <c r="MRD410" s="172"/>
      <c r="MRE410" s="172"/>
      <c r="MRF410" s="172"/>
      <c r="MRG410" s="172"/>
      <c r="MRH410" s="172"/>
      <c r="MRI410" s="172"/>
      <c r="MRJ410" s="172"/>
      <c r="MRK410" s="172"/>
      <c r="MRL410" s="172"/>
      <c r="MRM410" s="172"/>
      <c r="MRN410" s="172"/>
      <c r="MRO410" s="172"/>
      <c r="MRP410" s="172"/>
      <c r="MRQ410" s="172"/>
      <c r="MRR410" s="172"/>
      <c r="MRS410" s="172"/>
      <c r="MRT410" s="172"/>
      <c r="MRU410" s="172"/>
      <c r="MRV410" s="172"/>
      <c r="MRW410" s="172"/>
      <c r="MRX410" s="172"/>
      <c r="MRY410" s="172"/>
      <c r="MRZ410" s="172"/>
      <c r="MSA410" s="172"/>
      <c r="MSB410" s="172"/>
      <c r="MSC410" s="172"/>
      <c r="MSD410" s="172"/>
      <c r="MSE410" s="172"/>
      <c r="MSF410" s="172"/>
      <c r="MSG410" s="172"/>
      <c r="MSH410" s="172"/>
      <c r="MSI410" s="172"/>
      <c r="MSJ410" s="172"/>
      <c r="MSK410" s="172"/>
      <c r="MSL410" s="172"/>
      <c r="MSM410" s="172"/>
      <c r="MSN410" s="172"/>
      <c r="MSO410" s="172"/>
      <c r="MSP410" s="172"/>
      <c r="MSQ410" s="172"/>
      <c r="MSR410" s="172"/>
      <c r="MSS410" s="172"/>
      <c r="MST410" s="172"/>
      <c r="MSU410" s="172"/>
      <c r="MSV410" s="172"/>
      <c r="MSW410" s="172"/>
      <c r="MSX410" s="172"/>
      <c r="MSY410" s="172"/>
      <c r="MSZ410" s="172"/>
      <c r="MTA410" s="172"/>
      <c r="MTB410" s="172"/>
      <c r="MTC410" s="172"/>
      <c r="MTD410" s="172"/>
      <c r="MTE410" s="172"/>
      <c r="MTF410" s="172"/>
      <c r="MTG410" s="172"/>
      <c r="MTH410" s="172"/>
      <c r="MTI410" s="172"/>
      <c r="MTJ410" s="172"/>
      <c r="MTK410" s="172"/>
      <c r="MTL410" s="172"/>
      <c r="MTM410" s="172"/>
      <c r="MTN410" s="172"/>
      <c r="MTO410" s="172"/>
      <c r="MTP410" s="172"/>
      <c r="MTQ410" s="172"/>
      <c r="MTR410" s="172"/>
      <c r="MTS410" s="172"/>
      <c r="MTT410" s="172"/>
      <c r="MTU410" s="172"/>
      <c r="MTV410" s="172"/>
      <c r="MTW410" s="172"/>
      <c r="MTX410" s="172"/>
      <c r="MTY410" s="172"/>
      <c r="MTZ410" s="172"/>
      <c r="MUA410" s="172"/>
      <c r="MUB410" s="172"/>
      <c r="MUC410" s="172"/>
      <c r="MUD410" s="172"/>
      <c r="MUE410" s="172"/>
      <c r="MUF410" s="172"/>
      <c r="MUG410" s="172"/>
      <c r="MUH410" s="172"/>
      <c r="MUI410" s="172"/>
      <c r="MUJ410" s="172"/>
      <c r="MUK410" s="172"/>
      <c r="MUL410" s="172"/>
      <c r="MUM410" s="172"/>
      <c r="MUN410" s="172"/>
      <c r="MUO410" s="172"/>
      <c r="MUP410" s="172"/>
      <c r="MUQ410" s="172"/>
      <c r="MUR410" s="172"/>
      <c r="MUS410" s="172"/>
      <c r="MUT410" s="172"/>
      <c r="MUU410" s="172"/>
      <c r="MUV410" s="172"/>
      <c r="MUW410" s="172"/>
      <c r="MUX410" s="172"/>
      <c r="MUY410" s="172"/>
      <c r="MUZ410" s="172"/>
      <c r="MVA410" s="172"/>
      <c r="MVB410" s="172"/>
      <c r="MVC410" s="172"/>
      <c r="MVD410" s="172"/>
      <c r="MVE410" s="172"/>
      <c r="MVF410" s="172"/>
      <c r="MVG410" s="172"/>
      <c r="MVH410" s="172"/>
      <c r="MVI410" s="172"/>
      <c r="MVJ410" s="172"/>
      <c r="MVK410" s="172"/>
      <c r="MVL410" s="172"/>
      <c r="MVM410" s="172"/>
      <c r="MVN410" s="172"/>
      <c r="MVO410" s="172"/>
      <c r="MVP410" s="172"/>
      <c r="MVQ410" s="172"/>
      <c r="MVR410" s="172"/>
      <c r="MVS410" s="172"/>
      <c r="MVT410" s="172"/>
      <c r="MVU410" s="172"/>
      <c r="MVV410" s="172"/>
      <c r="MVW410" s="172"/>
      <c r="MVX410" s="172"/>
      <c r="MVY410" s="172"/>
      <c r="MVZ410" s="172"/>
      <c r="MWA410" s="172"/>
      <c r="MWB410" s="172"/>
      <c r="MWC410" s="172"/>
      <c r="MWD410" s="172"/>
      <c r="MWE410" s="172"/>
      <c r="MWF410" s="172"/>
      <c r="MWG410" s="172"/>
      <c r="MWH410" s="172"/>
      <c r="MWI410" s="172"/>
      <c r="MWJ410" s="172"/>
      <c r="MWK410" s="172"/>
      <c r="MWL410" s="172"/>
      <c r="MWM410" s="172"/>
      <c r="MWN410" s="172"/>
      <c r="MWO410" s="172"/>
      <c r="MWP410" s="172"/>
      <c r="MWQ410" s="172"/>
      <c r="MWR410" s="172"/>
      <c r="MWS410" s="172"/>
      <c r="MWT410" s="172"/>
      <c r="MWU410" s="172"/>
      <c r="MWV410" s="172"/>
      <c r="MWW410" s="172"/>
      <c r="MWX410" s="172"/>
      <c r="MWY410" s="172"/>
      <c r="MWZ410" s="172"/>
      <c r="MXA410" s="172"/>
      <c r="MXB410" s="172"/>
      <c r="MXC410" s="172"/>
      <c r="MXD410" s="172"/>
      <c r="MXE410" s="172"/>
      <c r="MXF410" s="172"/>
      <c r="MXG410" s="172"/>
      <c r="MXH410" s="172"/>
      <c r="MXI410" s="172"/>
      <c r="MXJ410" s="172"/>
      <c r="MXK410" s="172"/>
      <c r="MXL410" s="172"/>
      <c r="MXM410" s="172"/>
      <c r="MXN410" s="172"/>
      <c r="MXO410" s="172"/>
      <c r="MXP410" s="172"/>
      <c r="MXQ410" s="172"/>
      <c r="MXR410" s="172"/>
      <c r="MXS410" s="172"/>
      <c r="MXT410" s="172"/>
      <c r="MXU410" s="172"/>
      <c r="MXV410" s="172"/>
      <c r="MXW410" s="172"/>
      <c r="MXX410" s="172"/>
      <c r="MXY410" s="172"/>
      <c r="MXZ410" s="172"/>
      <c r="MYA410" s="172"/>
      <c r="MYB410" s="172"/>
      <c r="MYC410" s="172"/>
      <c r="MYD410" s="172"/>
      <c r="MYE410" s="172"/>
      <c r="MYF410" s="172"/>
      <c r="MYG410" s="172"/>
      <c r="MYH410" s="172"/>
      <c r="MYI410" s="172"/>
      <c r="MYJ410" s="172"/>
      <c r="MYK410" s="172"/>
      <c r="MYL410" s="172"/>
      <c r="MYM410" s="172"/>
      <c r="MYN410" s="172"/>
      <c r="MYO410" s="172"/>
      <c r="MYP410" s="172"/>
      <c r="MYQ410" s="172"/>
      <c r="MYR410" s="172"/>
      <c r="MYS410" s="172"/>
      <c r="MYT410" s="172"/>
      <c r="MYU410" s="172"/>
      <c r="MYV410" s="172"/>
      <c r="MYW410" s="172"/>
      <c r="MYX410" s="172"/>
      <c r="MYY410" s="172"/>
      <c r="MYZ410" s="172"/>
      <c r="MZA410" s="172"/>
      <c r="MZB410" s="172"/>
      <c r="MZC410" s="172"/>
      <c r="MZD410" s="172"/>
      <c r="MZE410" s="172"/>
      <c r="MZF410" s="172"/>
      <c r="MZG410" s="172"/>
      <c r="MZH410" s="172"/>
      <c r="MZI410" s="172"/>
      <c r="MZJ410" s="172"/>
      <c r="MZK410" s="172"/>
      <c r="MZL410" s="172"/>
      <c r="MZM410" s="172"/>
      <c r="MZN410" s="172"/>
      <c r="MZO410" s="172"/>
      <c r="MZP410" s="172"/>
      <c r="MZQ410" s="172"/>
      <c r="MZR410" s="172"/>
      <c r="MZS410" s="172"/>
      <c r="MZT410" s="172"/>
      <c r="MZU410" s="172"/>
      <c r="MZV410" s="172"/>
      <c r="MZW410" s="172"/>
      <c r="MZX410" s="172"/>
      <c r="MZY410" s="172"/>
      <c r="MZZ410" s="172"/>
      <c r="NAA410" s="172"/>
      <c r="NAB410" s="172"/>
      <c r="NAC410" s="172"/>
      <c r="NAD410" s="172"/>
      <c r="NAE410" s="172"/>
      <c r="NAF410" s="172"/>
      <c r="NAG410" s="172"/>
      <c r="NAH410" s="172"/>
      <c r="NAI410" s="172"/>
      <c r="NAJ410" s="172"/>
      <c r="NAK410" s="172"/>
      <c r="NAL410" s="172"/>
      <c r="NAM410" s="172"/>
      <c r="NAN410" s="172"/>
      <c r="NAO410" s="172"/>
      <c r="NAP410" s="172"/>
      <c r="NAQ410" s="172"/>
      <c r="NAR410" s="172"/>
      <c r="NAS410" s="172"/>
      <c r="NAT410" s="172"/>
      <c r="NAU410" s="172"/>
      <c r="NAV410" s="172"/>
      <c r="NAW410" s="172"/>
      <c r="NAX410" s="172"/>
      <c r="NAY410" s="172"/>
      <c r="NAZ410" s="172"/>
      <c r="NBA410" s="172"/>
      <c r="NBB410" s="172"/>
      <c r="NBC410" s="172"/>
      <c r="NBD410" s="172"/>
      <c r="NBE410" s="172"/>
      <c r="NBF410" s="172"/>
      <c r="NBG410" s="172"/>
      <c r="NBH410" s="172"/>
      <c r="NBI410" s="172"/>
      <c r="NBJ410" s="172"/>
      <c r="NBK410" s="172"/>
      <c r="NBL410" s="172"/>
      <c r="NBM410" s="172"/>
      <c r="NBN410" s="172"/>
      <c r="NBO410" s="172"/>
      <c r="NBP410" s="172"/>
      <c r="NBQ410" s="172"/>
      <c r="NBR410" s="172"/>
      <c r="NBS410" s="172"/>
      <c r="NBT410" s="172"/>
      <c r="NBU410" s="172"/>
      <c r="NBV410" s="172"/>
      <c r="NBW410" s="172"/>
      <c r="NBX410" s="172"/>
      <c r="NBY410" s="172"/>
      <c r="NBZ410" s="172"/>
      <c r="NCA410" s="172"/>
      <c r="NCB410" s="172"/>
      <c r="NCC410" s="172"/>
      <c r="NCD410" s="172"/>
      <c r="NCE410" s="172"/>
      <c r="NCF410" s="172"/>
      <c r="NCG410" s="172"/>
      <c r="NCH410" s="172"/>
      <c r="NCI410" s="172"/>
      <c r="NCJ410" s="172"/>
      <c r="NCK410" s="172"/>
      <c r="NCL410" s="172"/>
      <c r="NCM410" s="172"/>
      <c r="NCN410" s="172"/>
      <c r="NCO410" s="172"/>
      <c r="NCP410" s="172"/>
      <c r="NCQ410" s="172"/>
      <c r="NCR410" s="172"/>
      <c r="NCS410" s="172"/>
      <c r="NCT410" s="172"/>
      <c r="NCU410" s="172"/>
      <c r="NCV410" s="172"/>
      <c r="NCW410" s="172"/>
      <c r="NCX410" s="172"/>
      <c r="NCY410" s="172"/>
      <c r="NCZ410" s="172"/>
      <c r="NDA410" s="172"/>
      <c r="NDB410" s="172"/>
      <c r="NDC410" s="172"/>
      <c r="NDD410" s="172"/>
      <c r="NDE410" s="172"/>
      <c r="NDF410" s="172"/>
      <c r="NDG410" s="172"/>
      <c r="NDH410" s="172"/>
      <c r="NDI410" s="172"/>
      <c r="NDJ410" s="172"/>
      <c r="NDK410" s="172"/>
      <c r="NDL410" s="172"/>
      <c r="NDM410" s="172"/>
      <c r="NDN410" s="172"/>
      <c r="NDO410" s="172"/>
      <c r="NDP410" s="172"/>
      <c r="NDQ410" s="172"/>
      <c r="NDR410" s="172"/>
      <c r="NDS410" s="172"/>
      <c r="NDT410" s="172"/>
      <c r="NDU410" s="172"/>
      <c r="NDV410" s="172"/>
      <c r="NDW410" s="172"/>
      <c r="NDX410" s="172"/>
      <c r="NDY410" s="172"/>
      <c r="NDZ410" s="172"/>
      <c r="NEA410" s="172"/>
      <c r="NEB410" s="172"/>
      <c r="NEC410" s="172"/>
      <c r="NED410" s="172"/>
      <c r="NEE410" s="172"/>
      <c r="NEF410" s="172"/>
      <c r="NEG410" s="172"/>
      <c r="NEH410" s="172"/>
      <c r="NEI410" s="172"/>
      <c r="NEJ410" s="172"/>
      <c r="NEK410" s="172"/>
      <c r="NEL410" s="172"/>
      <c r="NEM410" s="172"/>
      <c r="NEN410" s="172"/>
      <c r="NEO410" s="172"/>
      <c r="NEP410" s="172"/>
      <c r="NEQ410" s="172"/>
      <c r="NER410" s="172"/>
      <c r="NES410" s="172"/>
      <c r="NET410" s="172"/>
      <c r="NEU410" s="172"/>
      <c r="NEV410" s="172"/>
      <c r="NEW410" s="172"/>
      <c r="NEX410" s="172"/>
      <c r="NEY410" s="172"/>
      <c r="NEZ410" s="172"/>
      <c r="NFA410" s="172"/>
      <c r="NFB410" s="172"/>
      <c r="NFC410" s="172"/>
      <c r="NFD410" s="172"/>
      <c r="NFE410" s="172"/>
      <c r="NFF410" s="172"/>
      <c r="NFG410" s="172"/>
      <c r="NFH410" s="172"/>
      <c r="NFI410" s="172"/>
      <c r="NFJ410" s="172"/>
      <c r="NFK410" s="172"/>
      <c r="NFL410" s="172"/>
      <c r="NFM410" s="172"/>
      <c r="NFN410" s="172"/>
      <c r="NFO410" s="172"/>
      <c r="NFP410" s="172"/>
      <c r="NFQ410" s="172"/>
      <c r="NFR410" s="172"/>
      <c r="NFS410" s="172"/>
      <c r="NFT410" s="172"/>
      <c r="NFU410" s="172"/>
      <c r="NFV410" s="172"/>
      <c r="NFW410" s="172"/>
      <c r="NFX410" s="172"/>
      <c r="NFY410" s="172"/>
      <c r="NFZ410" s="172"/>
      <c r="NGA410" s="172"/>
      <c r="NGB410" s="172"/>
      <c r="NGC410" s="172"/>
      <c r="NGD410" s="172"/>
      <c r="NGE410" s="172"/>
      <c r="NGF410" s="172"/>
      <c r="NGG410" s="172"/>
      <c r="NGH410" s="172"/>
      <c r="NGI410" s="172"/>
      <c r="NGJ410" s="172"/>
      <c r="NGK410" s="172"/>
      <c r="NGL410" s="172"/>
      <c r="NGM410" s="172"/>
      <c r="NGN410" s="172"/>
      <c r="NGO410" s="172"/>
      <c r="NGP410" s="172"/>
      <c r="NGQ410" s="172"/>
      <c r="NGR410" s="172"/>
      <c r="NGS410" s="172"/>
      <c r="NGT410" s="172"/>
      <c r="NGU410" s="172"/>
      <c r="NGV410" s="172"/>
      <c r="NGW410" s="172"/>
      <c r="NGX410" s="172"/>
      <c r="NGY410" s="172"/>
      <c r="NGZ410" s="172"/>
      <c r="NHA410" s="172"/>
      <c r="NHB410" s="172"/>
      <c r="NHC410" s="172"/>
      <c r="NHD410" s="172"/>
      <c r="NHE410" s="172"/>
      <c r="NHF410" s="172"/>
      <c r="NHG410" s="172"/>
      <c r="NHH410" s="172"/>
      <c r="NHI410" s="172"/>
      <c r="NHJ410" s="172"/>
      <c r="NHK410" s="172"/>
      <c r="NHL410" s="172"/>
      <c r="NHM410" s="172"/>
      <c r="NHN410" s="172"/>
      <c r="NHO410" s="172"/>
      <c r="NHP410" s="172"/>
      <c r="NHQ410" s="172"/>
      <c r="NHR410" s="172"/>
      <c r="NHS410" s="172"/>
      <c r="NHT410" s="172"/>
      <c r="NHU410" s="172"/>
      <c r="NHV410" s="172"/>
      <c r="NHW410" s="172"/>
      <c r="NHX410" s="172"/>
      <c r="NHY410" s="172"/>
      <c r="NHZ410" s="172"/>
      <c r="NIA410" s="172"/>
      <c r="NIB410" s="172"/>
      <c r="NIC410" s="172"/>
      <c r="NID410" s="172"/>
      <c r="NIE410" s="172"/>
      <c r="NIF410" s="172"/>
      <c r="NIG410" s="172"/>
      <c r="NIH410" s="172"/>
      <c r="NII410" s="172"/>
      <c r="NIJ410" s="172"/>
      <c r="NIK410" s="172"/>
      <c r="NIL410" s="172"/>
      <c r="NIM410" s="172"/>
      <c r="NIN410" s="172"/>
      <c r="NIO410" s="172"/>
      <c r="NIP410" s="172"/>
      <c r="NIQ410" s="172"/>
      <c r="NIR410" s="172"/>
      <c r="NIS410" s="172"/>
      <c r="NIT410" s="172"/>
      <c r="NIU410" s="172"/>
      <c r="NIV410" s="172"/>
      <c r="NIW410" s="172"/>
      <c r="NIX410" s="172"/>
      <c r="NIY410" s="172"/>
      <c r="NIZ410" s="172"/>
      <c r="NJA410" s="172"/>
      <c r="NJB410" s="172"/>
      <c r="NJC410" s="172"/>
      <c r="NJD410" s="172"/>
      <c r="NJE410" s="172"/>
      <c r="NJF410" s="172"/>
      <c r="NJG410" s="172"/>
      <c r="NJH410" s="172"/>
      <c r="NJI410" s="172"/>
      <c r="NJJ410" s="172"/>
      <c r="NJK410" s="172"/>
      <c r="NJL410" s="172"/>
      <c r="NJM410" s="172"/>
      <c r="NJN410" s="172"/>
      <c r="NJO410" s="172"/>
      <c r="NJP410" s="172"/>
      <c r="NJQ410" s="172"/>
      <c r="NJR410" s="172"/>
      <c r="NJS410" s="172"/>
      <c r="NJT410" s="172"/>
      <c r="NJU410" s="172"/>
      <c r="NJV410" s="172"/>
      <c r="NJW410" s="172"/>
      <c r="NJX410" s="172"/>
      <c r="NJY410" s="172"/>
      <c r="NJZ410" s="172"/>
      <c r="NKA410" s="172"/>
      <c r="NKB410" s="172"/>
      <c r="NKC410" s="172"/>
      <c r="NKD410" s="172"/>
      <c r="NKE410" s="172"/>
      <c r="NKF410" s="172"/>
      <c r="NKG410" s="172"/>
      <c r="NKH410" s="172"/>
      <c r="NKI410" s="172"/>
      <c r="NKJ410" s="172"/>
      <c r="NKK410" s="172"/>
      <c r="NKL410" s="172"/>
      <c r="NKM410" s="172"/>
      <c r="NKN410" s="172"/>
      <c r="NKO410" s="172"/>
      <c r="NKP410" s="172"/>
      <c r="NKQ410" s="172"/>
      <c r="NKR410" s="172"/>
      <c r="NKS410" s="172"/>
      <c r="NKT410" s="172"/>
      <c r="NKU410" s="172"/>
      <c r="NKV410" s="172"/>
      <c r="NKW410" s="172"/>
      <c r="NKX410" s="172"/>
      <c r="NKY410" s="172"/>
      <c r="NKZ410" s="172"/>
      <c r="NLA410" s="172"/>
      <c r="NLB410" s="172"/>
      <c r="NLC410" s="172"/>
      <c r="NLD410" s="172"/>
      <c r="NLE410" s="172"/>
      <c r="NLF410" s="172"/>
      <c r="NLG410" s="172"/>
      <c r="NLH410" s="172"/>
      <c r="NLI410" s="172"/>
      <c r="NLJ410" s="172"/>
      <c r="NLK410" s="172"/>
      <c r="NLL410" s="172"/>
      <c r="NLM410" s="172"/>
      <c r="NLN410" s="172"/>
      <c r="NLO410" s="172"/>
      <c r="NLP410" s="172"/>
      <c r="NLQ410" s="172"/>
      <c r="NLR410" s="172"/>
      <c r="NLS410" s="172"/>
      <c r="NLT410" s="172"/>
      <c r="NLU410" s="172"/>
      <c r="NLV410" s="172"/>
      <c r="NLW410" s="172"/>
      <c r="NLX410" s="172"/>
      <c r="NLY410" s="172"/>
      <c r="NLZ410" s="172"/>
      <c r="NMA410" s="172"/>
      <c r="NMB410" s="172"/>
      <c r="NMC410" s="172"/>
      <c r="NMD410" s="172"/>
      <c r="NME410" s="172"/>
      <c r="NMF410" s="172"/>
      <c r="NMG410" s="172"/>
      <c r="NMH410" s="172"/>
      <c r="NMI410" s="172"/>
      <c r="NMJ410" s="172"/>
      <c r="NMK410" s="172"/>
      <c r="NML410" s="172"/>
      <c r="NMM410" s="172"/>
      <c r="NMN410" s="172"/>
      <c r="NMO410" s="172"/>
      <c r="NMP410" s="172"/>
      <c r="NMQ410" s="172"/>
      <c r="NMR410" s="172"/>
      <c r="NMS410" s="172"/>
      <c r="NMT410" s="172"/>
      <c r="NMU410" s="172"/>
      <c r="NMV410" s="172"/>
      <c r="NMW410" s="172"/>
      <c r="NMX410" s="172"/>
      <c r="NMY410" s="172"/>
      <c r="NMZ410" s="172"/>
      <c r="NNA410" s="172"/>
      <c r="NNB410" s="172"/>
      <c r="NNC410" s="172"/>
      <c r="NND410" s="172"/>
      <c r="NNE410" s="172"/>
      <c r="NNF410" s="172"/>
      <c r="NNG410" s="172"/>
      <c r="NNH410" s="172"/>
      <c r="NNI410" s="172"/>
      <c r="NNJ410" s="172"/>
      <c r="NNK410" s="172"/>
      <c r="NNL410" s="172"/>
      <c r="NNM410" s="172"/>
      <c r="NNN410" s="172"/>
      <c r="NNO410" s="172"/>
      <c r="NNP410" s="172"/>
      <c r="NNQ410" s="172"/>
      <c r="NNR410" s="172"/>
      <c r="NNS410" s="172"/>
      <c r="NNT410" s="172"/>
      <c r="NNU410" s="172"/>
      <c r="NNV410" s="172"/>
      <c r="NNW410" s="172"/>
      <c r="NNX410" s="172"/>
      <c r="NNY410" s="172"/>
      <c r="NNZ410" s="172"/>
      <c r="NOA410" s="172"/>
      <c r="NOB410" s="172"/>
      <c r="NOC410" s="172"/>
      <c r="NOD410" s="172"/>
      <c r="NOE410" s="172"/>
      <c r="NOF410" s="172"/>
      <c r="NOG410" s="172"/>
      <c r="NOH410" s="172"/>
      <c r="NOI410" s="172"/>
      <c r="NOJ410" s="172"/>
      <c r="NOK410" s="172"/>
      <c r="NOL410" s="172"/>
      <c r="NOM410" s="172"/>
      <c r="NON410" s="172"/>
      <c r="NOO410" s="172"/>
      <c r="NOP410" s="172"/>
      <c r="NOQ410" s="172"/>
      <c r="NOR410" s="172"/>
      <c r="NOS410" s="172"/>
      <c r="NOT410" s="172"/>
      <c r="NOU410" s="172"/>
      <c r="NOV410" s="172"/>
      <c r="NOW410" s="172"/>
      <c r="NOX410" s="172"/>
      <c r="NOY410" s="172"/>
      <c r="NOZ410" s="172"/>
      <c r="NPA410" s="172"/>
      <c r="NPB410" s="172"/>
      <c r="NPC410" s="172"/>
      <c r="NPD410" s="172"/>
      <c r="NPE410" s="172"/>
      <c r="NPF410" s="172"/>
      <c r="NPG410" s="172"/>
      <c r="NPH410" s="172"/>
      <c r="NPI410" s="172"/>
      <c r="NPJ410" s="172"/>
      <c r="NPK410" s="172"/>
      <c r="NPL410" s="172"/>
      <c r="NPM410" s="172"/>
      <c r="NPN410" s="172"/>
      <c r="NPO410" s="172"/>
      <c r="NPP410" s="172"/>
      <c r="NPQ410" s="172"/>
      <c r="NPR410" s="172"/>
      <c r="NPS410" s="172"/>
      <c r="NPT410" s="172"/>
      <c r="NPU410" s="172"/>
      <c r="NPV410" s="172"/>
      <c r="NPW410" s="172"/>
      <c r="NPX410" s="172"/>
      <c r="NPY410" s="172"/>
      <c r="NPZ410" s="172"/>
      <c r="NQA410" s="172"/>
      <c r="NQB410" s="172"/>
      <c r="NQC410" s="172"/>
      <c r="NQD410" s="172"/>
      <c r="NQE410" s="172"/>
      <c r="NQF410" s="172"/>
      <c r="NQG410" s="172"/>
      <c r="NQH410" s="172"/>
      <c r="NQI410" s="172"/>
      <c r="NQJ410" s="172"/>
      <c r="NQK410" s="172"/>
      <c r="NQL410" s="172"/>
      <c r="NQM410" s="172"/>
      <c r="NQN410" s="172"/>
      <c r="NQO410" s="172"/>
      <c r="NQP410" s="172"/>
      <c r="NQQ410" s="172"/>
      <c r="NQR410" s="172"/>
      <c r="NQS410" s="172"/>
      <c r="NQT410" s="172"/>
      <c r="NQU410" s="172"/>
      <c r="NQV410" s="172"/>
      <c r="NQW410" s="172"/>
      <c r="NQX410" s="172"/>
      <c r="NQY410" s="172"/>
      <c r="NQZ410" s="172"/>
      <c r="NRA410" s="172"/>
      <c r="NRB410" s="172"/>
      <c r="NRC410" s="172"/>
      <c r="NRD410" s="172"/>
      <c r="NRE410" s="172"/>
      <c r="NRF410" s="172"/>
      <c r="NRG410" s="172"/>
      <c r="NRH410" s="172"/>
      <c r="NRI410" s="172"/>
      <c r="NRJ410" s="172"/>
      <c r="NRK410" s="172"/>
      <c r="NRL410" s="172"/>
      <c r="NRM410" s="172"/>
      <c r="NRN410" s="172"/>
      <c r="NRO410" s="172"/>
      <c r="NRP410" s="172"/>
      <c r="NRQ410" s="172"/>
      <c r="NRR410" s="172"/>
      <c r="NRS410" s="172"/>
      <c r="NRT410" s="172"/>
      <c r="NRU410" s="172"/>
      <c r="NRV410" s="172"/>
      <c r="NRW410" s="172"/>
      <c r="NRX410" s="172"/>
      <c r="NRY410" s="172"/>
      <c r="NRZ410" s="172"/>
      <c r="NSA410" s="172"/>
      <c r="NSB410" s="172"/>
      <c r="NSC410" s="172"/>
      <c r="NSD410" s="172"/>
      <c r="NSE410" s="172"/>
      <c r="NSF410" s="172"/>
      <c r="NSG410" s="172"/>
      <c r="NSH410" s="172"/>
      <c r="NSI410" s="172"/>
      <c r="NSJ410" s="172"/>
      <c r="NSK410" s="172"/>
      <c r="NSL410" s="172"/>
      <c r="NSM410" s="172"/>
      <c r="NSN410" s="172"/>
      <c r="NSO410" s="172"/>
      <c r="NSP410" s="172"/>
      <c r="NSQ410" s="172"/>
      <c r="NSR410" s="172"/>
      <c r="NSS410" s="172"/>
      <c r="NST410" s="172"/>
      <c r="NSU410" s="172"/>
      <c r="NSV410" s="172"/>
      <c r="NSW410" s="172"/>
      <c r="NSX410" s="172"/>
      <c r="NSY410" s="172"/>
      <c r="NSZ410" s="172"/>
      <c r="NTA410" s="172"/>
      <c r="NTB410" s="172"/>
      <c r="NTC410" s="172"/>
      <c r="NTD410" s="172"/>
      <c r="NTE410" s="172"/>
      <c r="NTF410" s="172"/>
      <c r="NTG410" s="172"/>
      <c r="NTH410" s="172"/>
      <c r="NTI410" s="172"/>
      <c r="NTJ410" s="172"/>
      <c r="NTK410" s="172"/>
      <c r="NTL410" s="172"/>
      <c r="NTM410" s="172"/>
      <c r="NTN410" s="172"/>
      <c r="NTO410" s="172"/>
      <c r="NTP410" s="172"/>
      <c r="NTQ410" s="172"/>
      <c r="NTR410" s="172"/>
      <c r="NTS410" s="172"/>
      <c r="NTT410" s="172"/>
      <c r="NTU410" s="172"/>
      <c r="NTV410" s="172"/>
      <c r="NTW410" s="172"/>
      <c r="NTX410" s="172"/>
      <c r="NTY410" s="172"/>
      <c r="NTZ410" s="172"/>
      <c r="NUA410" s="172"/>
      <c r="NUB410" s="172"/>
      <c r="NUC410" s="172"/>
      <c r="NUD410" s="172"/>
      <c r="NUE410" s="172"/>
      <c r="NUF410" s="172"/>
      <c r="NUG410" s="172"/>
      <c r="NUH410" s="172"/>
      <c r="NUI410" s="172"/>
      <c r="NUJ410" s="172"/>
      <c r="NUK410" s="172"/>
      <c r="NUL410" s="172"/>
      <c r="NUM410" s="172"/>
      <c r="NUN410" s="172"/>
      <c r="NUO410" s="172"/>
      <c r="NUP410" s="172"/>
      <c r="NUQ410" s="172"/>
      <c r="NUR410" s="172"/>
      <c r="NUS410" s="172"/>
      <c r="NUT410" s="172"/>
      <c r="NUU410" s="172"/>
      <c r="NUV410" s="172"/>
      <c r="NUW410" s="172"/>
      <c r="NUX410" s="172"/>
      <c r="NUY410" s="172"/>
      <c r="NUZ410" s="172"/>
      <c r="NVA410" s="172"/>
      <c r="NVB410" s="172"/>
      <c r="NVC410" s="172"/>
      <c r="NVD410" s="172"/>
      <c r="NVE410" s="172"/>
      <c r="NVF410" s="172"/>
      <c r="NVG410" s="172"/>
      <c r="NVH410" s="172"/>
      <c r="NVI410" s="172"/>
      <c r="NVJ410" s="172"/>
      <c r="NVK410" s="172"/>
      <c r="NVL410" s="172"/>
      <c r="NVM410" s="172"/>
      <c r="NVN410" s="172"/>
      <c r="NVO410" s="172"/>
      <c r="NVP410" s="172"/>
      <c r="NVQ410" s="172"/>
      <c r="NVR410" s="172"/>
      <c r="NVS410" s="172"/>
      <c r="NVT410" s="172"/>
      <c r="NVU410" s="172"/>
      <c r="NVV410" s="172"/>
      <c r="NVW410" s="172"/>
      <c r="NVX410" s="172"/>
      <c r="NVY410" s="172"/>
      <c r="NVZ410" s="172"/>
      <c r="NWA410" s="172"/>
      <c r="NWB410" s="172"/>
      <c r="NWC410" s="172"/>
      <c r="NWD410" s="172"/>
      <c r="NWE410" s="172"/>
      <c r="NWF410" s="172"/>
      <c r="NWG410" s="172"/>
      <c r="NWH410" s="172"/>
      <c r="NWI410" s="172"/>
      <c r="NWJ410" s="172"/>
      <c r="NWK410" s="172"/>
      <c r="NWL410" s="172"/>
      <c r="NWM410" s="172"/>
      <c r="NWN410" s="172"/>
      <c r="NWO410" s="172"/>
      <c r="NWP410" s="172"/>
      <c r="NWQ410" s="172"/>
      <c r="NWR410" s="172"/>
      <c r="NWS410" s="172"/>
      <c r="NWT410" s="172"/>
      <c r="NWU410" s="172"/>
      <c r="NWV410" s="172"/>
      <c r="NWW410" s="172"/>
      <c r="NWX410" s="172"/>
      <c r="NWY410" s="172"/>
      <c r="NWZ410" s="172"/>
      <c r="NXA410" s="172"/>
      <c r="NXB410" s="172"/>
      <c r="NXC410" s="172"/>
      <c r="NXD410" s="172"/>
      <c r="NXE410" s="172"/>
      <c r="NXF410" s="172"/>
      <c r="NXG410" s="172"/>
      <c r="NXH410" s="172"/>
      <c r="NXI410" s="172"/>
      <c r="NXJ410" s="172"/>
      <c r="NXK410" s="172"/>
      <c r="NXL410" s="172"/>
      <c r="NXM410" s="172"/>
      <c r="NXN410" s="172"/>
      <c r="NXO410" s="172"/>
      <c r="NXP410" s="172"/>
      <c r="NXQ410" s="172"/>
      <c r="NXR410" s="172"/>
      <c r="NXS410" s="172"/>
      <c r="NXT410" s="172"/>
      <c r="NXU410" s="172"/>
      <c r="NXV410" s="172"/>
      <c r="NXW410" s="172"/>
      <c r="NXX410" s="172"/>
      <c r="NXY410" s="172"/>
      <c r="NXZ410" s="172"/>
      <c r="NYA410" s="172"/>
      <c r="NYB410" s="172"/>
      <c r="NYC410" s="172"/>
      <c r="NYD410" s="172"/>
      <c r="NYE410" s="172"/>
      <c r="NYF410" s="172"/>
      <c r="NYG410" s="172"/>
      <c r="NYH410" s="172"/>
      <c r="NYI410" s="172"/>
      <c r="NYJ410" s="172"/>
      <c r="NYK410" s="172"/>
      <c r="NYL410" s="172"/>
      <c r="NYM410" s="172"/>
      <c r="NYN410" s="172"/>
      <c r="NYO410" s="172"/>
      <c r="NYP410" s="172"/>
      <c r="NYQ410" s="172"/>
      <c r="NYR410" s="172"/>
      <c r="NYS410" s="172"/>
      <c r="NYT410" s="172"/>
      <c r="NYU410" s="172"/>
      <c r="NYV410" s="172"/>
      <c r="NYW410" s="172"/>
      <c r="NYX410" s="172"/>
      <c r="NYY410" s="172"/>
      <c r="NYZ410" s="172"/>
      <c r="NZA410" s="172"/>
      <c r="NZB410" s="172"/>
      <c r="NZC410" s="172"/>
      <c r="NZD410" s="172"/>
      <c r="NZE410" s="172"/>
      <c r="NZF410" s="172"/>
      <c r="NZG410" s="172"/>
      <c r="NZH410" s="172"/>
      <c r="NZI410" s="172"/>
      <c r="NZJ410" s="172"/>
      <c r="NZK410" s="172"/>
      <c r="NZL410" s="172"/>
      <c r="NZM410" s="172"/>
      <c r="NZN410" s="172"/>
      <c r="NZO410" s="172"/>
      <c r="NZP410" s="172"/>
      <c r="NZQ410" s="172"/>
      <c r="NZR410" s="172"/>
      <c r="NZS410" s="172"/>
      <c r="NZT410" s="172"/>
      <c r="NZU410" s="172"/>
      <c r="NZV410" s="172"/>
      <c r="NZW410" s="172"/>
      <c r="NZX410" s="172"/>
      <c r="NZY410" s="172"/>
      <c r="NZZ410" s="172"/>
      <c r="OAA410" s="172"/>
      <c r="OAB410" s="172"/>
      <c r="OAC410" s="172"/>
      <c r="OAD410" s="172"/>
      <c r="OAE410" s="172"/>
      <c r="OAF410" s="172"/>
      <c r="OAG410" s="172"/>
      <c r="OAH410" s="172"/>
      <c r="OAI410" s="172"/>
      <c r="OAJ410" s="172"/>
      <c r="OAK410" s="172"/>
      <c r="OAL410" s="172"/>
      <c r="OAM410" s="172"/>
      <c r="OAN410" s="172"/>
      <c r="OAO410" s="172"/>
      <c r="OAP410" s="172"/>
      <c r="OAQ410" s="172"/>
      <c r="OAR410" s="172"/>
      <c r="OAS410" s="172"/>
      <c r="OAT410" s="172"/>
      <c r="OAU410" s="172"/>
      <c r="OAV410" s="172"/>
      <c r="OAW410" s="172"/>
      <c r="OAX410" s="172"/>
      <c r="OAY410" s="172"/>
      <c r="OAZ410" s="172"/>
      <c r="OBA410" s="172"/>
      <c r="OBB410" s="172"/>
      <c r="OBC410" s="172"/>
      <c r="OBD410" s="172"/>
      <c r="OBE410" s="172"/>
      <c r="OBF410" s="172"/>
      <c r="OBG410" s="172"/>
      <c r="OBH410" s="172"/>
      <c r="OBI410" s="172"/>
      <c r="OBJ410" s="172"/>
      <c r="OBK410" s="172"/>
      <c r="OBL410" s="172"/>
      <c r="OBM410" s="172"/>
      <c r="OBN410" s="172"/>
      <c r="OBO410" s="172"/>
      <c r="OBP410" s="172"/>
      <c r="OBQ410" s="172"/>
      <c r="OBR410" s="172"/>
      <c r="OBS410" s="172"/>
      <c r="OBT410" s="172"/>
      <c r="OBU410" s="172"/>
      <c r="OBV410" s="172"/>
      <c r="OBW410" s="172"/>
      <c r="OBX410" s="172"/>
      <c r="OBY410" s="172"/>
      <c r="OBZ410" s="172"/>
      <c r="OCA410" s="172"/>
      <c r="OCB410" s="172"/>
      <c r="OCC410" s="172"/>
      <c r="OCD410" s="172"/>
      <c r="OCE410" s="172"/>
      <c r="OCF410" s="172"/>
      <c r="OCG410" s="172"/>
      <c r="OCH410" s="172"/>
      <c r="OCI410" s="172"/>
      <c r="OCJ410" s="172"/>
      <c r="OCK410" s="172"/>
      <c r="OCL410" s="172"/>
      <c r="OCM410" s="172"/>
      <c r="OCN410" s="172"/>
      <c r="OCO410" s="172"/>
      <c r="OCP410" s="172"/>
      <c r="OCQ410" s="172"/>
      <c r="OCR410" s="172"/>
      <c r="OCS410" s="172"/>
      <c r="OCT410" s="172"/>
      <c r="OCU410" s="172"/>
      <c r="OCV410" s="172"/>
      <c r="OCW410" s="172"/>
      <c r="OCX410" s="172"/>
      <c r="OCY410" s="172"/>
      <c r="OCZ410" s="172"/>
      <c r="ODA410" s="172"/>
      <c r="ODB410" s="172"/>
      <c r="ODC410" s="172"/>
      <c r="ODD410" s="172"/>
      <c r="ODE410" s="172"/>
      <c r="ODF410" s="172"/>
      <c r="ODG410" s="172"/>
      <c r="ODH410" s="172"/>
      <c r="ODI410" s="172"/>
      <c r="ODJ410" s="172"/>
      <c r="ODK410" s="172"/>
      <c r="ODL410" s="172"/>
      <c r="ODM410" s="172"/>
      <c r="ODN410" s="172"/>
      <c r="ODO410" s="172"/>
      <c r="ODP410" s="172"/>
      <c r="ODQ410" s="172"/>
      <c r="ODR410" s="172"/>
      <c r="ODS410" s="172"/>
      <c r="ODT410" s="172"/>
      <c r="ODU410" s="172"/>
      <c r="ODV410" s="172"/>
      <c r="ODW410" s="172"/>
      <c r="ODX410" s="172"/>
      <c r="ODY410" s="172"/>
      <c r="ODZ410" s="172"/>
      <c r="OEA410" s="172"/>
      <c r="OEB410" s="172"/>
      <c r="OEC410" s="172"/>
      <c r="OED410" s="172"/>
      <c r="OEE410" s="172"/>
      <c r="OEF410" s="172"/>
      <c r="OEG410" s="172"/>
      <c r="OEH410" s="172"/>
      <c r="OEI410" s="172"/>
      <c r="OEJ410" s="172"/>
      <c r="OEK410" s="172"/>
      <c r="OEL410" s="172"/>
      <c r="OEM410" s="172"/>
      <c r="OEN410" s="172"/>
      <c r="OEO410" s="172"/>
      <c r="OEP410" s="172"/>
      <c r="OEQ410" s="172"/>
      <c r="OER410" s="172"/>
      <c r="OES410" s="172"/>
      <c r="OET410" s="172"/>
      <c r="OEU410" s="172"/>
      <c r="OEV410" s="172"/>
      <c r="OEW410" s="172"/>
      <c r="OEX410" s="172"/>
      <c r="OEY410" s="172"/>
      <c r="OEZ410" s="172"/>
      <c r="OFA410" s="172"/>
      <c r="OFB410" s="172"/>
      <c r="OFC410" s="172"/>
      <c r="OFD410" s="172"/>
      <c r="OFE410" s="172"/>
      <c r="OFF410" s="172"/>
      <c r="OFG410" s="172"/>
      <c r="OFH410" s="172"/>
      <c r="OFI410" s="172"/>
      <c r="OFJ410" s="172"/>
      <c r="OFK410" s="172"/>
      <c r="OFL410" s="172"/>
      <c r="OFM410" s="172"/>
      <c r="OFN410" s="172"/>
      <c r="OFO410" s="172"/>
      <c r="OFP410" s="172"/>
      <c r="OFQ410" s="172"/>
      <c r="OFR410" s="172"/>
      <c r="OFS410" s="172"/>
      <c r="OFT410" s="172"/>
      <c r="OFU410" s="172"/>
      <c r="OFV410" s="172"/>
      <c r="OFW410" s="172"/>
      <c r="OFX410" s="172"/>
      <c r="OFY410" s="172"/>
      <c r="OFZ410" s="172"/>
      <c r="OGA410" s="172"/>
      <c r="OGB410" s="172"/>
      <c r="OGC410" s="172"/>
      <c r="OGD410" s="172"/>
      <c r="OGE410" s="172"/>
      <c r="OGF410" s="172"/>
      <c r="OGG410" s="172"/>
      <c r="OGH410" s="172"/>
      <c r="OGI410" s="172"/>
      <c r="OGJ410" s="172"/>
      <c r="OGK410" s="172"/>
      <c r="OGL410" s="172"/>
      <c r="OGM410" s="172"/>
      <c r="OGN410" s="172"/>
      <c r="OGO410" s="172"/>
      <c r="OGP410" s="172"/>
      <c r="OGQ410" s="172"/>
      <c r="OGR410" s="172"/>
      <c r="OGS410" s="172"/>
      <c r="OGT410" s="172"/>
      <c r="OGU410" s="172"/>
      <c r="OGV410" s="172"/>
      <c r="OGW410" s="172"/>
      <c r="OGX410" s="172"/>
      <c r="OGY410" s="172"/>
      <c r="OGZ410" s="172"/>
      <c r="OHA410" s="172"/>
      <c r="OHB410" s="172"/>
      <c r="OHC410" s="172"/>
      <c r="OHD410" s="172"/>
      <c r="OHE410" s="172"/>
      <c r="OHF410" s="172"/>
      <c r="OHG410" s="172"/>
      <c r="OHH410" s="172"/>
      <c r="OHI410" s="172"/>
      <c r="OHJ410" s="172"/>
      <c r="OHK410" s="172"/>
      <c r="OHL410" s="172"/>
      <c r="OHM410" s="172"/>
      <c r="OHN410" s="172"/>
      <c r="OHO410" s="172"/>
      <c r="OHP410" s="172"/>
      <c r="OHQ410" s="172"/>
      <c r="OHR410" s="172"/>
      <c r="OHS410" s="172"/>
      <c r="OHT410" s="172"/>
      <c r="OHU410" s="172"/>
      <c r="OHV410" s="172"/>
      <c r="OHW410" s="172"/>
      <c r="OHX410" s="172"/>
      <c r="OHY410" s="172"/>
      <c r="OHZ410" s="172"/>
      <c r="OIA410" s="172"/>
      <c r="OIB410" s="172"/>
      <c r="OIC410" s="172"/>
      <c r="OID410" s="172"/>
      <c r="OIE410" s="172"/>
      <c r="OIF410" s="172"/>
      <c r="OIG410" s="172"/>
      <c r="OIH410" s="172"/>
      <c r="OII410" s="172"/>
      <c r="OIJ410" s="172"/>
      <c r="OIK410" s="172"/>
      <c r="OIL410" s="172"/>
      <c r="OIM410" s="172"/>
      <c r="OIN410" s="172"/>
      <c r="OIO410" s="172"/>
      <c r="OIP410" s="172"/>
      <c r="OIQ410" s="172"/>
      <c r="OIR410" s="172"/>
      <c r="OIS410" s="172"/>
      <c r="OIT410" s="172"/>
      <c r="OIU410" s="172"/>
      <c r="OIV410" s="172"/>
      <c r="OIW410" s="172"/>
      <c r="OIX410" s="172"/>
      <c r="OIY410" s="172"/>
      <c r="OIZ410" s="172"/>
      <c r="OJA410" s="172"/>
      <c r="OJB410" s="172"/>
      <c r="OJC410" s="172"/>
      <c r="OJD410" s="172"/>
      <c r="OJE410" s="172"/>
      <c r="OJF410" s="172"/>
      <c r="OJG410" s="172"/>
      <c r="OJH410" s="172"/>
      <c r="OJI410" s="172"/>
      <c r="OJJ410" s="172"/>
      <c r="OJK410" s="172"/>
      <c r="OJL410" s="172"/>
      <c r="OJM410" s="172"/>
      <c r="OJN410" s="172"/>
      <c r="OJO410" s="172"/>
      <c r="OJP410" s="172"/>
      <c r="OJQ410" s="172"/>
      <c r="OJR410" s="172"/>
      <c r="OJS410" s="172"/>
      <c r="OJT410" s="172"/>
      <c r="OJU410" s="172"/>
      <c r="OJV410" s="172"/>
      <c r="OJW410" s="172"/>
      <c r="OJX410" s="172"/>
      <c r="OJY410" s="172"/>
      <c r="OJZ410" s="172"/>
      <c r="OKA410" s="172"/>
      <c r="OKB410" s="172"/>
      <c r="OKC410" s="172"/>
      <c r="OKD410" s="172"/>
      <c r="OKE410" s="172"/>
      <c r="OKF410" s="172"/>
      <c r="OKG410" s="172"/>
      <c r="OKH410" s="172"/>
      <c r="OKI410" s="172"/>
      <c r="OKJ410" s="172"/>
      <c r="OKK410" s="172"/>
      <c r="OKL410" s="172"/>
      <c r="OKM410" s="172"/>
      <c r="OKN410" s="172"/>
      <c r="OKO410" s="172"/>
      <c r="OKP410" s="172"/>
      <c r="OKQ410" s="172"/>
      <c r="OKR410" s="172"/>
      <c r="OKS410" s="172"/>
      <c r="OKT410" s="172"/>
      <c r="OKU410" s="172"/>
      <c r="OKV410" s="172"/>
      <c r="OKW410" s="172"/>
      <c r="OKX410" s="172"/>
      <c r="OKY410" s="172"/>
      <c r="OKZ410" s="172"/>
      <c r="OLA410" s="172"/>
      <c r="OLB410" s="172"/>
      <c r="OLC410" s="172"/>
      <c r="OLD410" s="172"/>
      <c r="OLE410" s="172"/>
      <c r="OLF410" s="172"/>
      <c r="OLG410" s="172"/>
      <c r="OLH410" s="172"/>
      <c r="OLI410" s="172"/>
      <c r="OLJ410" s="172"/>
      <c r="OLK410" s="172"/>
      <c r="OLL410" s="172"/>
      <c r="OLM410" s="172"/>
      <c r="OLN410" s="172"/>
      <c r="OLO410" s="172"/>
      <c r="OLP410" s="172"/>
      <c r="OLQ410" s="172"/>
      <c r="OLR410" s="172"/>
      <c r="OLS410" s="172"/>
      <c r="OLT410" s="172"/>
      <c r="OLU410" s="172"/>
      <c r="OLV410" s="172"/>
      <c r="OLW410" s="172"/>
      <c r="OLX410" s="172"/>
      <c r="OLY410" s="172"/>
      <c r="OLZ410" s="172"/>
      <c r="OMA410" s="172"/>
      <c r="OMB410" s="172"/>
      <c r="OMC410" s="172"/>
      <c r="OMD410" s="172"/>
      <c r="OME410" s="172"/>
      <c r="OMF410" s="172"/>
      <c r="OMG410" s="172"/>
      <c r="OMH410" s="172"/>
      <c r="OMI410" s="172"/>
      <c r="OMJ410" s="172"/>
      <c r="OMK410" s="172"/>
      <c r="OML410" s="172"/>
      <c r="OMM410" s="172"/>
      <c r="OMN410" s="172"/>
      <c r="OMO410" s="172"/>
      <c r="OMP410" s="172"/>
      <c r="OMQ410" s="172"/>
      <c r="OMR410" s="172"/>
      <c r="OMS410" s="172"/>
      <c r="OMT410" s="172"/>
      <c r="OMU410" s="172"/>
      <c r="OMV410" s="172"/>
      <c r="OMW410" s="172"/>
      <c r="OMX410" s="172"/>
      <c r="OMY410" s="172"/>
      <c r="OMZ410" s="172"/>
      <c r="ONA410" s="172"/>
      <c r="ONB410" s="172"/>
      <c r="ONC410" s="172"/>
      <c r="OND410" s="172"/>
      <c r="ONE410" s="172"/>
      <c r="ONF410" s="172"/>
      <c r="ONG410" s="172"/>
      <c r="ONH410" s="172"/>
      <c r="ONI410" s="172"/>
      <c r="ONJ410" s="172"/>
      <c r="ONK410" s="172"/>
      <c r="ONL410" s="172"/>
      <c r="ONM410" s="172"/>
      <c r="ONN410" s="172"/>
      <c r="ONO410" s="172"/>
      <c r="ONP410" s="172"/>
      <c r="ONQ410" s="172"/>
      <c r="ONR410" s="172"/>
      <c r="ONS410" s="172"/>
      <c r="ONT410" s="172"/>
      <c r="ONU410" s="172"/>
      <c r="ONV410" s="172"/>
      <c r="ONW410" s="172"/>
      <c r="ONX410" s="172"/>
      <c r="ONY410" s="172"/>
      <c r="ONZ410" s="172"/>
      <c r="OOA410" s="172"/>
      <c r="OOB410" s="172"/>
      <c r="OOC410" s="172"/>
      <c r="OOD410" s="172"/>
      <c r="OOE410" s="172"/>
      <c r="OOF410" s="172"/>
      <c r="OOG410" s="172"/>
      <c r="OOH410" s="172"/>
      <c r="OOI410" s="172"/>
      <c r="OOJ410" s="172"/>
      <c r="OOK410" s="172"/>
      <c r="OOL410" s="172"/>
      <c r="OOM410" s="172"/>
      <c r="OON410" s="172"/>
      <c r="OOO410" s="172"/>
      <c r="OOP410" s="172"/>
      <c r="OOQ410" s="172"/>
      <c r="OOR410" s="172"/>
      <c r="OOS410" s="172"/>
      <c r="OOT410" s="172"/>
      <c r="OOU410" s="172"/>
      <c r="OOV410" s="172"/>
      <c r="OOW410" s="172"/>
      <c r="OOX410" s="172"/>
      <c r="OOY410" s="172"/>
      <c r="OOZ410" s="172"/>
      <c r="OPA410" s="172"/>
      <c r="OPB410" s="172"/>
      <c r="OPC410" s="172"/>
      <c r="OPD410" s="172"/>
      <c r="OPE410" s="172"/>
      <c r="OPF410" s="172"/>
      <c r="OPG410" s="172"/>
      <c r="OPH410" s="172"/>
      <c r="OPI410" s="172"/>
      <c r="OPJ410" s="172"/>
      <c r="OPK410" s="172"/>
      <c r="OPL410" s="172"/>
      <c r="OPM410" s="172"/>
      <c r="OPN410" s="172"/>
      <c r="OPO410" s="172"/>
      <c r="OPP410" s="172"/>
      <c r="OPQ410" s="172"/>
      <c r="OPR410" s="172"/>
      <c r="OPS410" s="172"/>
      <c r="OPT410" s="172"/>
      <c r="OPU410" s="172"/>
      <c r="OPV410" s="172"/>
      <c r="OPW410" s="172"/>
      <c r="OPX410" s="172"/>
      <c r="OPY410" s="172"/>
      <c r="OPZ410" s="172"/>
      <c r="OQA410" s="172"/>
      <c r="OQB410" s="172"/>
      <c r="OQC410" s="172"/>
      <c r="OQD410" s="172"/>
      <c r="OQE410" s="172"/>
      <c r="OQF410" s="172"/>
      <c r="OQG410" s="172"/>
      <c r="OQH410" s="172"/>
      <c r="OQI410" s="172"/>
      <c r="OQJ410" s="172"/>
      <c r="OQK410" s="172"/>
      <c r="OQL410" s="172"/>
      <c r="OQM410" s="172"/>
      <c r="OQN410" s="172"/>
      <c r="OQO410" s="172"/>
      <c r="OQP410" s="172"/>
      <c r="OQQ410" s="172"/>
      <c r="OQR410" s="172"/>
      <c r="OQS410" s="172"/>
      <c r="OQT410" s="172"/>
      <c r="OQU410" s="172"/>
      <c r="OQV410" s="172"/>
      <c r="OQW410" s="172"/>
      <c r="OQX410" s="172"/>
      <c r="OQY410" s="172"/>
      <c r="OQZ410" s="172"/>
      <c r="ORA410" s="172"/>
      <c r="ORB410" s="172"/>
      <c r="ORC410" s="172"/>
      <c r="ORD410" s="172"/>
      <c r="ORE410" s="172"/>
      <c r="ORF410" s="172"/>
      <c r="ORG410" s="172"/>
      <c r="ORH410" s="172"/>
      <c r="ORI410" s="172"/>
      <c r="ORJ410" s="172"/>
      <c r="ORK410" s="172"/>
      <c r="ORL410" s="172"/>
      <c r="ORM410" s="172"/>
      <c r="ORN410" s="172"/>
      <c r="ORO410" s="172"/>
      <c r="ORP410" s="172"/>
      <c r="ORQ410" s="172"/>
      <c r="ORR410" s="172"/>
      <c r="ORS410" s="172"/>
      <c r="ORT410" s="172"/>
      <c r="ORU410" s="172"/>
      <c r="ORV410" s="172"/>
      <c r="ORW410" s="172"/>
      <c r="ORX410" s="172"/>
      <c r="ORY410" s="172"/>
      <c r="ORZ410" s="172"/>
      <c r="OSA410" s="172"/>
      <c r="OSB410" s="172"/>
      <c r="OSC410" s="172"/>
      <c r="OSD410" s="172"/>
      <c r="OSE410" s="172"/>
      <c r="OSF410" s="172"/>
      <c r="OSG410" s="172"/>
      <c r="OSH410" s="172"/>
      <c r="OSI410" s="172"/>
      <c r="OSJ410" s="172"/>
      <c r="OSK410" s="172"/>
      <c r="OSL410" s="172"/>
      <c r="OSM410" s="172"/>
      <c r="OSN410" s="172"/>
      <c r="OSO410" s="172"/>
      <c r="OSP410" s="172"/>
      <c r="OSQ410" s="172"/>
      <c r="OSR410" s="172"/>
      <c r="OSS410" s="172"/>
      <c r="OST410" s="172"/>
      <c r="OSU410" s="172"/>
      <c r="OSV410" s="172"/>
      <c r="OSW410" s="172"/>
      <c r="OSX410" s="172"/>
      <c r="OSY410" s="172"/>
      <c r="OSZ410" s="172"/>
      <c r="OTA410" s="172"/>
      <c r="OTB410" s="172"/>
      <c r="OTC410" s="172"/>
      <c r="OTD410" s="172"/>
      <c r="OTE410" s="172"/>
      <c r="OTF410" s="172"/>
      <c r="OTG410" s="172"/>
      <c r="OTH410" s="172"/>
      <c r="OTI410" s="172"/>
      <c r="OTJ410" s="172"/>
      <c r="OTK410" s="172"/>
      <c r="OTL410" s="172"/>
      <c r="OTM410" s="172"/>
      <c r="OTN410" s="172"/>
      <c r="OTO410" s="172"/>
      <c r="OTP410" s="172"/>
      <c r="OTQ410" s="172"/>
      <c r="OTR410" s="172"/>
      <c r="OTS410" s="172"/>
      <c r="OTT410" s="172"/>
      <c r="OTU410" s="172"/>
      <c r="OTV410" s="172"/>
      <c r="OTW410" s="172"/>
      <c r="OTX410" s="172"/>
      <c r="OTY410" s="172"/>
      <c r="OTZ410" s="172"/>
      <c r="OUA410" s="172"/>
      <c r="OUB410" s="172"/>
      <c r="OUC410" s="172"/>
      <c r="OUD410" s="172"/>
      <c r="OUE410" s="172"/>
      <c r="OUF410" s="172"/>
      <c r="OUG410" s="172"/>
      <c r="OUH410" s="172"/>
      <c r="OUI410" s="172"/>
      <c r="OUJ410" s="172"/>
      <c r="OUK410" s="172"/>
      <c r="OUL410" s="172"/>
      <c r="OUM410" s="172"/>
      <c r="OUN410" s="172"/>
      <c r="OUO410" s="172"/>
      <c r="OUP410" s="172"/>
      <c r="OUQ410" s="172"/>
      <c r="OUR410" s="172"/>
      <c r="OUS410" s="172"/>
      <c r="OUT410" s="172"/>
      <c r="OUU410" s="172"/>
      <c r="OUV410" s="172"/>
      <c r="OUW410" s="172"/>
      <c r="OUX410" s="172"/>
      <c r="OUY410" s="172"/>
      <c r="OUZ410" s="172"/>
      <c r="OVA410" s="172"/>
      <c r="OVB410" s="172"/>
      <c r="OVC410" s="172"/>
      <c r="OVD410" s="172"/>
      <c r="OVE410" s="172"/>
      <c r="OVF410" s="172"/>
      <c r="OVG410" s="172"/>
      <c r="OVH410" s="172"/>
      <c r="OVI410" s="172"/>
      <c r="OVJ410" s="172"/>
      <c r="OVK410" s="172"/>
      <c r="OVL410" s="172"/>
      <c r="OVM410" s="172"/>
      <c r="OVN410" s="172"/>
      <c r="OVO410" s="172"/>
      <c r="OVP410" s="172"/>
      <c r="OVQ410" s="172"/>
      <c r="OVR410" s="172"/>
      <c r="OVS410" s="172"/>
      <c r="OVT410" s="172"/>
      <c r="OVU410" s="172"/>
      <c r="OVV410" s="172"/>
      <c r="OVW410" s="172"/>
      <c r="OVX410" s="172"/>
      <c r="OVY410" s="172"/>
      <c r="OVZ410" s="172"/>
      <c r="OWA410" s="172"/>
      <c r="OWB410" s="172"/>
      <c r="OWC410" s="172"/>
      <c r="OWD410" s="172"/>
      <c r="OWE410" s="172"/>
      <c r="OWF410" s="172"/>
      <c r="OWG410" s="172"/>
      <c r="OWH410" s="172"/>
      <c r="OWI410" s="172"/>
      <c r="OWJ410" s="172"/>
      <c r="OWK410" s="172"/>
      <c r="OWL410" s="172"/>
      <c r="OWM410" s="172"/>
      <c r="OWN410" s="172"/>
      <c r="OWO410" s="172"/>
      <c r="OWP410" s="172"/>
      <c r="OWQ410" s="172"/>
      <c r="OWR410" s="172"/>
      <c r="OWS410" s="172"/>
      <c r="OWT410" s="172"/>
      <c r="OWU410" s="172"/>
      <c r="OWV410" s="172"/>
      <c r="OWW410" s="172"/>
      <c r="OWX410" s="172"/>
      <c r="OWY410" s="172"/>
      <c r="OWZ410" s="172"/>
      <c r="OXA410" s="172"/>
      <c r="OXB410" s="172"/>
      <c r="OXC410" s="172"/>
      <c r="OXD410" s="172"/>
      <c r="OXE410" s="172"/>
      <c r="OXF410" s="172"/>
      <c r="OXG410" s="172"/>
      <c r="OXH410" s="172"/>
      <c r="OXI410" s="172"/>
      <c r="OXJ410" s="172"/>
      <c r="OXK410" s="172"/>
      <c r="OXL410" s="172"/>
      <c r="OXM410" s="172"/>
      <c r="OXN410" s="172"/>
      <c r="OXO410" s="172"/>
      <c r="OXP410" s="172"/>
      <c r="OXQ410" s="172"/>
      <c r="OXR410" s="172"/>
      <c r="OXS410" s="172"/>
      <c r="OXT410" s="172"/>
      <c r="OXU410" s="172"/>
      <c r="OXV410" s="172"/>
      <c r="OXW410" s="172"/>
      <c r="OXX410" s="172"/>
      <c r="OXY410" s="172"/>
      <c r="OXZ410" s="172"/>
      <c r="OYA410" s="172"/>
      <c r="OYB410" s="172"/>
      <c r="OYC410" s="172"/>
      <c r="OYD410" s="172"/>
      <c r="OYE410" s="172"/>
      <c r="OYF410" s="172"/>
      <c r="OYG410" s="172"/>
      <c r="OYH410" s="172"/>
      <c r="OYI410" s="172"/>
      <c r="OYJ410" s="172"/>
      <c r="OYK410" s="172"/>
      <c r="OYL410" s="172"/>
      <c r="OYM410" s="172"/>
      <c r="OYN410" s="172"/>
      <c r="OYO410" s="172"/>
      <c r="OYP410" s="172"/>
      <c r="OYQ410" s="172"/>
      <c r="OYR410" s="172"/>
      <c r="OYS410" s="172"/>
      <c r="OYT410" s="172"/>
      <c r="OYU410" s="172"/>
      <c r="OYV410" s="172"/>
      <c r="OYW410" s="172"/>
      <c r="OYX410" s="172"/>
      <c r="OYY410" s="172"/>
      <c r="OYZ410" s="172"/>
      <c r="OZA410" s="172"/>
      <c r="OZB410" s="172"/>
      <c r="OZC410" s="172"/>
      <c r="OZD410" s="172"/>
      <c r="OZE410" s="172"/>
      <c r="OZF410" s="172"/>
      <c r="OZG410" s="172"/>
      <c r="OZH410" s="172"/>
      <c r="OZI410" s="172"/>
      <c r="OZJ410" s="172"/>
      <c r="OZK410" s="172"/>
      <c r="OZL410" s="172"/>
      <c r="OZM410" s="172"/>
      <c r="OZN410" s="172"/>
      <c r="OZO410" s="172"/>
      <c r="OZP410" s="172"/>
      <c r="OZQ410" s="172"/>
      <c r="OZR410" s="172"/>
      <c r="OZS410" s="172"/>
      <c r="OZT410" s="172"/>
      <c r="OZU410" s="172"/>
      <c r="OZV410" s="172"/>
      <c r="OZW410" s="172"/>
      <c r="OZX410" s="172"/>
      <c r="OZY410" s="172"/>
      <c r="OZZ410" s="172"/>
      <c r="PAA410" s="172"/>
      <c r="PAB410" s="172"/>
      <c r="PAC410" s="172"/>
      <c r="PAD410" s="172"/>
      <c r="PAE410" s="172"/>
      <c r="PAF410" s="172"/>
      <c r="PAG410" s="172"/>
      <c r="PAH410" s="172"/>
      <c r="PAI410" s="172"/>
      <c r="PAJ410" s="172"/>
      <c r="PAK410" s="172"/>
      <c r="PAL410" s="172"/>
      <c r="PAM410" s="172"/>
      <c r="PAN410" s="172"/>
      <c r="PAO410" s="172"/>
      <c r="PAP410" s="172"/>
      <c r="PAQ410" s="172"/>
      <c r="PAR410" s="172"/>
      <c r="PAS410" s="172"/>
      <c r="PAT410" s="172"/>
      <c r="PAU410" s="172"/>
      <c r="PAV410" s="172"/>
      <c r="PAW410" s="172"/>
      <c r="PAX410" s="172"/>
      <c r="PAY410" s="172"/>
      <c r="PAZ410" s="172"/>
      <c r="PBA410" s="172"/>
      <c r="PBB410" s="172"/>
      <c r="PBC410" s="172"/>
      <c r="PBD410" s="172"/>
      <c r="PBE410" s="172"/>
      <c r="PBF410" s="172"/>
      <c r="PBG410" s="172"/>
      <c r="PBH410" s="172"/>
      <c r="PBI410" s="172"/>
      <c r="PBJ410" s="172"/>
      <c r="PBK410" s="172"/>
      <c r="PBL410" s="172"/>
      <c r="PBM410" s="172"/>
      <c r="PBN410" s="172"/>
      <c r="PBO410" s="172"/>
      <c r="PBP410" s="172"/>
      <c r="PBQ410" s="172"/>
      <c r="PBR410" s="172"/>
      <c r="PBS410" s="172"/>
      <c r="PBT410" s="172"/>
      <c r="PBU410" s="172"/>
      <c r="PBV410" s="172"/>
      <c r="PBW410" s="172"/>
      <c r="PBX410" s="172"/>
      <c r="PBY410" s="172"/>
      <c r="PBZ410" s="172"/>
      <c r="PCA410" s="172"/>
      <c r="PCB410" s="172"/>
      <c r="PCC410" s="172"/>
      <c r="PCD410" s="172"/>
      <c r="PCE410" s="172"/>
      <c r="PCF410" s="172"/>
      <c r="PCG410" s="172"/>
      <c r="PCH410" s="172"/>
      <c r="PCI410" s="172"/>
      <c r="PCJ410" s="172"/>
      <c r="PCK410" s="172"/>
      <c r="PCL410" s="172"/>
      <c r="PCM410" s="172"/>
      <c r="PCN410" s="172"/>
      <c r="PCO410" s="172"/>
      <c r="PCP410" s="172"/>
      <c r="PCQ410" s="172"/>
      <c r="PCR410" s="172"/>
      <c r="PCS410" s="172"/>
      <c r="PCT410" s="172"/>
      <c r="PCU410" s="172"/>
      <c r="PCV410" s="172"/>
      <c r="PCW410" s="172"/>
      <c r="PCX410" s="172"/>
      <c r="PCY410" s="172"/>
      <c r="PCZ410" s="172"/>
      <c r="PDA410" s="172"/>
      <c r="PDB410" s="172"/>
      <c r="PDC410" s="172"/>
      <c r="PDD410" s="172"/>
      <c r="PDE410" s="172"/>
      <c r="PDF410" s="172"/>
      <c r="PDG410" s="172"/>
      <c r="PDH410" s="172"/>
      <c r="PDI410" s="172"/>
      <c r="PDJ410" s="172"/>
      <c r="PDK410" s="172"/>
      <c r="PDL410" s="172"/>
      <c r="PDM410" s="172"/>
      <c r="PDN410" s="172"/>
      <c r="PDO410" s="172"/>
      <c r="PDP410" s="172"/>
      <c r="PDQ410" s="172"/>
      <c r="PDR410" s="172"/>
      <c r="PDS410" s="172"/>
      <c r="PDT410" s="172"/>
      <c r="PDU410" s="172"/>
      <c r="PDV410" s="172"/>
      <c r="PDW410" s="172"/>
      <c r="PDX410" s="172"/>
      <c r="PDY410" s="172"/>
      <c r="PDZ410" s="172"/>
      <c r="PEA410" s="172"/>
      <c r="PEB410" s="172"/>
      <c r="PEC410" s="172"/>
      <c r="PED410" s="172"/>
      <c r="PEE410" s="172"/>
      <c r="PEF410" s="172"/>
      <c r="PEG410" s="172"/>
      <c r="PEH410" s="172"/>
      <c r="PEI410" s="172"/>
      <c r="PEJ410" s="172"/>
      <c r="PEK410" s="172"/>
      <c r="PEL410" s="172"/>
      <c r="PEM410" s="172"/>
      <c r="PEN410" s="172"/>
      <c r="PEO410" s="172"/>
      <c r="PEP410" s="172"/>
      <c r="PEQ410" s="172"/>
      <c r="PER410" s="172"/>
      <c r="PES410" s="172"/>
      <c r="PET410" s="172"/>
      <c r="PEU410" s="172"/>
      <c r="PEV410" s="172"/>
      <c r="PEW410" s="172"/>
      <c r="PEX410" s="172"/>
      <c r="PEY410" s="172"/>
      <c r="PEZ410" s="172"/>
      <c r="PFA410" s="172"/>
      <c r="PFB410" s="172"/>
      <c r="PFC410" s="172"/>
      <c r="PFD410" s="172"/>
      <c r="PFE410" s="172"/>
      <c r="PFF410" s="172"/>
      <c r="PFG410" s="172"/>
      <c r="PFH410" s="172"/>
      <c r="PFI410" s="172"/>
      <c r="PFJ410" s="172"/>
      <c r="PFK410" s="172"/>
      <c r="PFL410" s="172"/>
      <c r="PFM410" s="172"/>
      <c r="PFN410" s="172"/>
      <c r="PFO410" s="172"/>
      <c r="PFP410" s="172"/>
      <c r="PFQ410" s="172"/>
      <c r="PFR410" s="172"/>
      <c r="PFS410" s="172"/>
      <c r="PFT410" s="172"/>
      <c r="PFU410" s="172"/>
      <c r="PFV410" s="172"/>
      <c r="PFW410" s="172"/>
      <c r="PFX410" s="172"/>
      <c r="PFY410" s="172"/>
      <c r="PFZ410" s="172"/>
      <c r="PGA410" s="172"/>
      <c r="PGB410" s="172"/>
      <c r="PGC410" s="172"/>
      <c r="PGD410" s="172"/>
      <c r="PGE410" s="172"/>
      <c r="PGF410" s="172"/>
      <c r="PGG410" s="172"/>
      <c r="PGH410" s="172"/>
      <c r="PGI410" s="172"/>
      <c r="PGJ410" s="172"/>
      <c r="PGK410" s="172"/>
      <c r="PGL410" s="172"/>
      <c r="PGM410" s="172"/>
      <c r="PGN410" s="172"/>
      <c r="PGO410" s="172"/>
      <c r="PGP410" s="172"/>
      <c r="PGQ410" s="172"/>
      <c r="PGR410" s="172"/>
      <c r="PGS410" s="172"/>
      <c r="PGT410" s="172"/>
      <c r="PGU410" s="172"/>
      <c r="PGV410" s="172"/>
      <c r="PGW410" s="172"/>
      <c r="PGX410" s="172"/>
      <c r="PGY410" s="172"/>
      <c r="PGZ410" s="172"/>
      <c r="PHA410" s="172"/>
      <c r="PHB410" s="172"/>
      <c r="PHC410" s="172"/>
      <c r="PHD410" s="172"/>
      <c r="PHE410" s="172"/>
      <c r="PHF410" s="172"/>
      <c r="PHG410" s="172"/>
      <c r="PHH410" s="172"/>
      <c r="PHI410" s="172"/>
      <c r="PHJ410" s="172"/>
      <c r="PHK410" s="172"/>
      <c r="PHL410" s="172"/>
      <c r="PHM410" s="172"/>
      <c r="PHN410" s="172"/>
      <c r="PHO410" s="172"/>
      <c r="PHP410" s="172"/>
      <c r="PHQ410" s="172"/>
      <c r="PHR410" s="172"/>
      <c r="PHS410" s="172"/>
      <c r="PHT410" s="172"/>
      <c r="PHU410" s="172"/>
      <c r="PHV410" s="172"/>
      <c r="PHW410" s="172"/>
      <c r="PHX410" s="172"/>
      <c r="PHY410" s="172"/>
      <c r="PHZ410" s="172"/>
      <c r="PIA410" s="172"/>
      <c r="PIB410" s="172"/>
      <c r="PIC410" s="172"/>
      <c r="PID410" s="172"/>
      <c r="PIE410" s="172"/>
      <c r="PIF410" s="172"/>
      <c r="PIG410" s="172"/>
      <c r="PIH410" s="172"/>
      <c r="PII410" s="172"/>
      <c r="PIJ410" s="172"/>
      <c r="PIK410" s="172"/>
      <c r="PIL410" s="172"/>
      <c r="PIM410" s="172"/>
      <c r="PIN410" s="172"/>
      <c r="PIO410" s="172"/>
      <c r="PIP410" s="172"/>
      <c r="PIQ410" s="172"/>
      <c r="PIR410" s="172"/>
      <c r="PIS410" s="172"/>
      <c r="PIT410" s="172"/>
      <c r="PIU410" s="172"/>
      <c r="PIV410" s="172"/>
      <c r="PIW410" s="172"/>
      <c r="PIX410" s="172"/>
      <c r="PIY410" s="172"/>
      <c r="PIZ410" s="172"/>
      <c r="PJA410" s="172"/>
      <c r="PJB410" s="172"/>
      <c r="PJC410" s="172"/>
      <c r="PJD410" s="172"/>
      <c r="PJE410" s="172"/>
      <c r="PJF410" s="172"/>
      <c r="PJG410" s="172"/>
      <c r="PJH410" s="172"/>
      <c r="PJI410" s="172"/>
      <c r="PJJ410" s="172"/>
      <c r="PJK410" s="172"/>
      <c r="PJL410" s="172"/>
      <c r="PJM410" s="172"/>
      <c r="PJN410" s="172"/>
      <c r="PJO410" s="172"/>
      <c r="PJP410" s="172"/>
      <c r="PJQ410" s="172"/>
      <c r="PJR410" s="172"/>
      <c r="PJS410" s="172"/>
      <c r="PJT410" s="172"/>
      <c r="PJU410" s="172"/>
      <c r="PJV410" s="172"/>
      <c r="PJW410" s="172"/>
      <c r="PJX410" s="172"/>
      <c r="PJY410" s="172"/>
      <c r="PJZ410" s="172"/>
      <c r="PKA410" s="172"/>
      <c r="PKB410" s="172"/>
      <c r="PKC410" s="172"/>
      <c r="PKD410" s="172"/>
      <c r="PKE410" s="172"/>
      <c r="PKF410" s="172"/>
      <c r="PKG410" s="172"/>
      <c r="PKH410" s="172"/>
      <c r="PKI410" s="172"/>
      <c r="PKJ410" s="172"/>
      <c r="PKK410" s="172"/>
      <c r="PKL410" s="172"/>
      <c r="PKM410" s="172"/>
      <c r="PKN410" s="172"/>
      <c r="PKO410" s="172"/>
      <c r="PKP410" s="172"/>
      <c r="PKQ410" s="172"/>
      <c r="PKR410" s="172"/>
      <c r="PKS410" s="172"/>
      <c r="PKT410" s="172"/>
      <c r="PKU410" s="172"/>
      <c r="PKV410" s="172"/>
      <c r="PKW410" s="172"/>
      <c r="PKX410" s="172"/>
      <c r="PKY410" s="172"/>
      <c r="PKZ410" s="172"/>
      <c r="PLA410" s="172"/>
      <c r="PLB410" s="172"/>
      <c r="PLC410" s="172"/>
      <c r="PLD410" s="172"/>
      <c r="PLE410" s="172"/>
      <c r="PLF410" s="172"/>
      <c r="PLG410" s="172"/>
      <c r="PLH410" s="172"/>
      <c r="PLI410" s="172"/>
      <c r="PLJ410" s="172"/>
      <c r="PLK410" s="172"/>
      <c r="PLL410" s="172"/>
      <c r="PLM410" s="172"/>
      <c r="PLN410" s="172"/>
      <c r="PLO410" s="172"/>
      <c r="PLP410" s="172"/>
      <c r="PLQ410" s="172"/>
      <c r="PLR410" s="172"/>
      <c r="PLS410" s="172"/>
      <c r="PLT410" s="172"/>
      <c r="PLU410" s="172"/>
      <c r="PLV410" s="172"/>
      <c r="PLW410" s="172"/>
      <c r="PLX410" s="172"/>
      <c r="PLY410" s="172"/>
      <c r="PLZ410" s="172"/>
      <c r="PMA410" s="172"/>
      <c r="PMB410" s="172"/>
      <c r="PMC410" s="172"/>
      <c r="PMD410" s="172"/>
      <c r="PME410" s="172"/>
      <c r="PMF410" s="172"/>
      <c r="PMG410" s="172"/>
      <c r="PMH410" s="172"/>
      <c r="PMI410" s="172"/>
      <c r="PMJ410" s="172"/>
      <c r="PMK410" s="172"/>
      <c r="PML410" s="172"/>
      <c r="PMM410" s="172"/>
      <c r="PMN410" s="172"/>
      <c r="PMO410" s="172"/>
      <c r="PMP410" s="172"/>
      <c r="PMQ410" s="172"/>
      <c r="PMR410" s="172"/>
      <c r="PMS410" s="172"/>
      <c r="PMT410" s="172"/>
      <c r="PMU410" s="172"/>
      <c r="PMV410" s="172"/>
      <c r="PMW410" s="172"/>
      <c r="PMX410" s="172"/>
      <c r="PMY410" s="172"/>
      <c r="PMZ410" s="172"/>
      <c r="PNA410" s="172"/>
      <c r="PNB410" s="172"/>
      <c r="PNC410" s="172"/>
      <c r="PND410" s="172"/>
      <c r="PNE410" s="172"/>
      <c r="PNF410" s="172"/>
      <c r="PNG410" s="172"/>
      <c r="PNH410" s="172"/>
      <c r="PNI410" s="172"/>
      <c r="PNJ410" s="172"/>
      <c r="PNK410" s="172"/>
      <c r="PNL410" s="172"/>
      <c r="PNM410" s="172"/>
      <c r="PNN410" s="172"/>
      <c r="PNO410" s="172"/>
      <c r="PNP410" s="172"/>
      <c r="PNQ410" s="172"/>
      <c r="PNR410" s="172"/>
      <c r="PNS410" s="172"/>
      <c r="PNT410" s="172"/>
      <c r="PNU410" s="172"/>
      <c r="PNV410" s="172"/>
      <c r="PNW410" s="172"/>
      <c r="PNX410" s="172"/>
      <c r="PNY410" s="172"/>
      <c r="PNZ410" s="172"/>
      <c r="POA410" s="172"/>
      <c r="POB410" s="172"/>
      <c r="POC410" s="172"/>
      <c r="POD410" s="172"/>
      <c r="POE410" s="172"/>
      <c r="POF410" s="172"/>
      <c r="POG410" s="172"/>
      <c r="POH410" s="172"/>
      <c r="POI410" s="172"/>
      <c r="POJ410" s="172"/>
      <c r="POK410" s="172"/>
      <c r="POL410" s="172"/>
      <c r="POM410" s="172"/>
      <c r="PON410" s="172"/>
      <c r="POO410" s="172"/>
      <c r="POP410" s="172"/>
      <c r="POQ410" s="172"/>
      <c r="POR410" s="172"/>
      <c r="POS410" s="172"/>
      <c r="POT410" s="172"/>
      <c r="POU410" s="172"/>
      <c r="POV410" s="172"/>
      <c r="POW410" s="172"/>
      <c r="POX410" s="172"/>
      <c r="POY410" s="172"/>
      <c r="POZ410" s="172"/>
      <c r="PPA410" s="172"/>
      <c r="PPB410" s="172"/>
      <c r="PPC410" s="172"/>
      <c r="PPD410" s="172"/>
      <c r="PPE410" s="172"/>
      <c r="PPF410" s="172"/>
      <c r="PPG410" s="172"/>
      <c r="PPH410" s="172"/>
      <c r="PPI410" s="172"/>
      <c r="PPJ410" s="172"/>
      <c r="PPK410" s="172"/>
      <c r="PPL410" s="172"/>
      <c r="PPM410" s="172"/>
      <c r="PPN410" s="172"/>
      <c r="PPO410" s="172"/>
      <c r="PPP410" s="172"/>
      <c r="PPQ410" s="172"/>
      <c r="PPR410" s="172"/>
      <c r="PPS410" s="172"/>
      <c r="PPT410" s="172"/>
      <c r="PPU410" s="172"/>
      <c r="PPV410" s="172"/>
      <c r="PPW410" s="172"/>
      <c r="PPX410" s="172"/>
      <c r="PPY410" s="172"/>
      <c r="PPZ410" s="172"/>
      <c r="PQA410" s="172"/>
      <c r="PQB410" s="172"/>
      <c r="PQC410" s="172"/>
      <c r="PQD410" s="172"/>
      <c r="PQE410" s="172"/>
      <c r="PQF410" s="172"/>
      <c r="PQG410" s="172"/>
      <c r="PQH410" s="172"/>
      <c r="PQI410" s="172"/>
      <c r="PQJ410" s="172"/>
      <c r="PQK410" s="172"/>
      <c r="PQL410" s="172"/>
      <c r="PQM410" s="172"/>
      <c r="PQN410" s="172"/>
      <c r="PQO410" s="172"/>
      <c r="PQP410" s="172"/>
      <c r="PQQ410" s="172"/>
      <c r="PQR410" s="172"/>
      <c r="PQS410" s="172"/>
      <c r="PQT410" s="172"/>
      <c r="PQU410" s="172"/>
      <c r="PQV410" s="172"/>
      <c r="PQW410" s="172"/>
      <c r="PQX410" s="172"/>
      <c r="PQY410" s="172"/>
      <c r="PQZ410" s="172"/>
      <c r="PRA410" s="172"/>
      <c r="PRB410" s="172"/>
      <c r="PRC410" s="172"/>
      <c r="PRD410" s="172"/>
      <c r="PRE410" s="172"/>
      <c r="PRF410" s="172"/>
      <c r="PRG410" s="172"/>
      <c r="PRH410" s="172"/>
      <c r="PRI410" s="172"/>
      <c r="PRJ410" s="172"/>
      <c r="PRK410" s="172"/>
      <c r="PRL410" s="172"/>
      <c r="PRM410" s="172"/>
      <c r="PRN410" s="172"/>
      <c r="PRO410" s="172"/>
      <c r="PRP410" s="172"/>
      <c r="PRQ410" s="172"/>
      <c r="PRR410" s="172"/>
      <c r="PRS410" s="172"/>
      <c r="PRT410" s="172"/>
      <c r="PRU410" s="172"/>
      <c r="PRV410" s="172"/>
      <c r="PRW410" s="172"/>
      <c r="PRX410" s="172"/>
      <c r="PRY410" s="172"/>
      <c r="PRZ410" s="172"/>
      <c r="PSA410" s="172"/>
      <c r="PSB410" s="172"/>
      <c r="PSC410" s="172"/>
      <c r="PSD410" s="172"/>
      <c r="PSE410" s="172"/>
      <c r="PSF410" s="172"/>
      <c r="PSG410" s="172"/>
      <c r="PSH410" s="172"/>
      <c r="PSI410" s="172"/>
      <c r="PSJ410" s="172"/>
      <c r="PSK410" s="172"/>
      <c r="PSL410" s="172"/>
      <c r="PSM410" s="172"/>
      <c r="PSN410" s="172"/>
      <c r="PSO410" s="172"/>
      <c r="PSP410" s="172"/>
      <c r="PSQ410" s="172"/>
      <c r="PSR410" s="172"/>
      <c r="PSS410" s="172"/>
      <c r="PST410" s="172"/>
      <c r="PSU410" s="172"/>
      <c r="PSV410" s="172"/>
      <c r="PSW410" s="172"/>
      <c r="PSX410" s="172"/>
      <c r="PSY410" s="172"/>
      <c r="PSZ410" s="172"/>
      <c r="PTA410" s="172"/>
      <c r="PTB410" s="172"/>
      <c r="PTC410" s="172"/>
      <c r="PTD410" s="172"/>
      <c r="PTE410" s="172"/>
      <c r="PTF410" s="172"/>
      <c r="PTG410" s="172"/>
      <c r="PTH410" s="172"/>
      <c r="PTI410" s="172"/>
      <c r="PTJ410" s="172"/>
      <c r="PTK410" s="172"/>
      <c r="PTL410" s="172"/>
      <c r="PTM410" s="172"/>
      <c r="PTN410" s="172"/>
      <c r="PTO410" s="172"/>
      <c r="PTP410" s="172"/>
      <c r="PTQ410" s="172"/>
      <c r="PTR410" s="172"/>
      <c r="PTS410" s="172"/>
      <c r="PTT410" s="172"/>
      <c r="PTU410" s="172"/>
      <c r="PTV410" s="172"/>
      <c r="PTW410" s="172"/>
      <c r="PTX410" s="172"/>
      <c r="PTY410" s="172"/>
      <c r="PTZ410" s="172"/>
      <c r="PUA410" s="172"/>
      <c r="PUB410" s="172"/>
      <c r="PUC410" s="172"/>
      <c r="PUD410" s="172"/>
      <c r="PUE410" s="172"/>
      <c r="PUF410" s="172"/>
      <c r="PUG410" s="172"/>
      <c r="PUH410" s="172"/>
      <c r="PUI410" s="172"/>
      <c r="PUJ410" s="172"/>
      <c r="PUK410" s="172"/>
      <c r="PUL410" s="172"/>
      <c r="PUM410" s="172"/>
      <c r="PUN410" s="172"/>
      <c r="PUO410" s="172"/>
      <c r="PUP410" s="172"/>
      <c r="PUQ410" s="172"/>
      <c r="PUR410" s="172"/>
      <c r="PUS410" s="172"/>
      <c r="PUT410" s="172"/>
      <c r="PUU410" s="172"/>
      <c r="PUV410" s="172"/>
      <c r="PUW410" s="172"/>
      <c r="PUX410" s="172"/>
      <c r="PUY410" s="172"/>
      <c r="PUZ410" s="172"/>
      <c r="PVA410" s="172"/>
      <c r="PVB410" s="172"/>
      <c r="PVC410" s="172"/>
      <c r="PVD410" s="172"/>
      <c r="PVE410" s="172"/>
      <c r="PVF410" s="172"/>
      <c r="PVG410" s="172"/>
      <c r="PVH410" s="172"/>
      <c r="PVI410" s="172"/>
      <c r="PVJ410" s="172"/>
      <c r="PVK410" s="172"/>
      <c r="PVL410" s="172"/>
      <c r="PVM410" s="172"/>
      <c r="PVN410" s="172"/>
      <c r="PVO410" s="172"/>
      <c r="PVP410" s="172"/>
      <c r="PVQ410" s="172"/>
      <c r="PVR410" s="172"/>
      <c r="PVS410" s="172"/>
      <c r="PVT410" s="172"/>
      <c r="PVU410" s="172"/>
      <c r="PVV410" s="172"/>
      <c r="PVW410" s="172"/>
      <c r="PVX410" s="172"/>
      <c r="PVY410" s="172"/>
      <c r="PVZ410" s="172"/>
      <c r="PWA410" s="172"/>
      <c r="PWB410" s="172"/>
      <c r="PWC410" s="172"/>
      <c r="PWD410" s="172"/>
      <c r="PWE410" s="172"/>
      <c r="PWF410" s="172"/>
      <c r="PWG410" s="172"/>
      <c r="PWH410" s="172"/>
      <c r="PWI410" s="172"/>
      <c r="PWJ410" s="172"/>
      <c r="PWK410" s="172"/>
      <c r="PWL410" s="172"/>
      <c r="PWM410" s="172"/>
      <c r="PWN410" s="172"/>
      <c r="PWO410" s="172"/>
      <c r="PWP410" s="172"/>
      <c r="PWQ410" s="172"/>
      <c r="PWR410" s="172"/>
      <c r="PWS410" s="172"/>
      <c r="PWT410" s="172"/>
      <c r="PWU410" s="172"/>
      <c r="PWV410" s="172"/>
      <c r="PWW410" s="172"/>
      <c r="PWX410" s="172"/>
      <c r="PWY410" s="172"/>
      <c r="PWZ410" s="172"/>
      <c r="PXA410" s="172"/>
      <c r="PXB410" s="172"/>
      <c r="PXC410" s="172"/>
      <c r="PXD410" s="172"/>
      <c r="PXE410" s="172"/>
      <c r="PXF410" s="172"/>
      <c r="PXG410" s="172"/>
      <c r="PXH410" s="172"/>
      <c r="PXI410" s="172"/>
      <c r="PXJ410" s="172"/>
      <c r="PXK410" s="172"/>
      <c r="PXL410" s="172"/>
      <c r="PXM410" s="172"/>
      <c r="PXN410" s="172"/>
      <c r="PXO410" s="172"/>
      <c r="PXP410" s="172"/>
      <c r="PXQ410" s="172"/>
      <c r="PXR410" s="172"/>
      <c r="PXS410" s="172"/>
      <c r="PXT410" s="172"/>
      <c r="PXU410" s="172"/>
      <c r="PXV410" s="172"/>
      <c r="PXW410" s="172"/>
      <c r="PXX410" s="172"/>
      <c r="PXY410" s="172"/>
      <c r="PXZ410" s="172"/>
      <c r="PYA410" s="172"/>
      <c r="PYB410" s="172"/>
      <c r="PYC410" s="172"/>
      <c r="PYD410" s="172"/>
      <c r="PYE410" s="172"/>
      <c r="PYF410" s="172"/>
      <c r="PYG410" s="172"/>
      <c r="PYH410" s="172"/>
      <c r="PYI410" s="172"/>
      <c r="PYJ410" s="172"/>
      <c r="PYK410" s="172"/>
      <c r="PYL410" s="172"/>
      <c r="PYM410" s="172"/>
      <c r="PYN410" s="172"/>
      <c r="PYO410" s="172"/>
      <c r="PYP410" s="172"/>
      <c r="PYQ410" s="172"/>
      <c r="PYR410" s="172"/>
      <c r="PYS410" s="172"/>
      <c r="PYT410" s="172"/>
      <c r="PYU410" s="172"/>
      <c r="PYV410" s="172"/>
      <c r="PYW410" s="172"/>
      <c r="PYX410" s="172"/>
      <c r="PYY410" s="172"/>
      <c r="PYZ410" s="172"/>
      <c r="PZA410" s="172"/>
      <c r="PZB410" s="172"/>
      <c r="PZC410" s="172"/>
      <c r="PZD410" s="172"/>
      <c r="PZE410" s="172"/>
      <c r="PZF410" s="172"/>
      <c r="PZG410" s="172"/>
      <c r="PZH410" s="172"/>
      <c r="PZI410" s="172"/>
      <c r="PZJ410" s="172"/>
      <c r="PZK410" s="172"/>
      <c r="PZL410" s="172"/>
      <c r="PZM410" s="172"/>
      <c r="PZN410" s="172"/>
      <c r="PZO410" s="172"/>
      <c r="PZP410" s="172"/>
      <c r="PZQ410" s="172"/>
      <c r="PZR410" s="172"/>
      <c r="PZS410" s="172"/>
      <c r="PZT410" s="172"/>
      <c r="PZU410" s="172"/>
      <c r="PZV410" s="172"/>
      <c r="PZW410" s="172"/>
      <c r="PZX410" s="172"/>
      <c r="PZY410" s="172"/>
      <c r="PZZ410" s="172"/>
      <c r="QAA410" s="172"/>
      <c r="QAB410" s="172"/>
      <c r="QAC410" s="172"/>
      <c r="QAD410" s="172"/>
      <c r="QAE410" s="172"/>
      <c r="QAF410" s="172"/>
      <c r="QAG410" s="172"/>
      <c r="QAH410" s="172"/>
      <c r="QAI410" s="172"/>
      <c r="QAJ410" s="172"/>
      <c r="QAK410" s="172"/>
      <c r="QAL410" s="172"/>
      <c r="QAM410" s="172"/>
      <c r="QAN410" s="172"/>
      <c r="QAO410" s="172"/>
      <c r="QAP410" s="172"/>
      <c r="QAQ410" s="172"/>
      <c r="QAR410" s="172"/>
      <c r="QAS410" s="172"/>
      <c r="QAT410" s="172"/>
      <c r="QAU410" s="172"/>
      <c r="QAV410" s="172"/>
      <c r="QAW410" s="172"/>
      <c r="QAX410" s="172"/>
      <c r="QAY410" s="172"/>
      <c r="QAZ410" s="172"/>
      <c r="QBA410" s="172"/>
      <c r="QBB410" s="172"/>
      <c r="QBC410" s="172"/>
      <c r="QBD410" s="172"/>
      <c r="QBE410" s="172"/>
      <c r="QBF410" s="172"/>
      <c r="QBG410" s="172"/>
      <c r="QBH410" s="172"/>
      <c r="QBI410" s="172"/>
      <c r="QBJ410" s="172"/>
      <c r="QBK410" s="172"/>
      <c r="QBL410" s="172"/>
      <c r="QBM410" s="172"/>
      <c r="QBN410" s="172"/>
      <c r="QBO410" s="172"/>
      <c r="QBP410" s="172"/>
      <c r="QBQ410" s="172"/>
      <c r="QBR410" s="172"/>
      <c r="QBS410" s="172"/>
      <c r="QBT410" s="172"/>
      <c r="QBU410" s="172"/>
      <c r="QBV410" s="172"/>
      <c r="QBW410" s="172"/>
      <c r="QBX410" s="172"/>
      <c r="QBY410" s="172"/>
      <c r="QBZ410" s="172"/>
      <c r="QCA410" s="172"/>
      <c r="QCB410" s="172"/>
      <c r="QCC410" s="172"/>
      <c r="QCD410" s="172"/>
      <c r="QCE410" s="172"/>
      <c r="QCF410" s="172"/>
      <c r="QCG410" s="172"/>
      <c r="QCH410" s="172"/>
      <c r="QCI410" s="172"/>
      <c r="QCJ410" s="172"/>
      <c r="QCK410" s="172"/>
      <c r="QCL410" s="172"/>
      <c r="QCM410" s="172"/>
      <c r="QCN410" s="172"/>
      <c r="QCO410" s="172"/>
      <c r="QCP410" s="172"/>
      <c r="QCQ410" s="172"/>
      <c r="QCR410" s="172"/>
      <c r="QCS410" s="172"/>
      <c r="QCT410" s="172"/>
      <c r="QCU410" s="172"/>
      <c r="QCV410" s="172"/>
      <c r="QCW410" s="172"/>
      <c r="QCX410" s="172"/>
      <c r="QCY410" s="172"/>
      <c r="QCZ410" s="172"/>
      <c r="QDA410" s="172"/>
      <c r="QDB410" s="172"/>
      <c r="QDC410" s="172"/>
      <c r="QDD410" s="172"/>
      <c r="QDE410" s="172"/>
      <c r="QDF410" s="172"/>
      <c r="QDG410" s="172"/>
      <c r="QDH410" s="172"/>
      <c r="QDI410" s="172"/>
      <c r="QDJ410" s="172"/>
      <c r="QDK410" s="172"/>
      <c r="QDL410" s="172"/>
      <c r="QDM410" s="172"/>
      <c r="QDN410" s="172"/>
      <c r="QDO410" s="172"/>
      <c r="QDP410" s="172"/>
      <c r="QDQ410" s="172"/>
      <c r="QDR410" s="172"/>
      <c r="QDS410" s="172"/>
      <c r="QDT410" s="172"/>
      <c r="QDU410" s="172"/>
      <c r="QDV410" s="172"/>
      <c r="QDW410" s="172"/>
      <c r="QDX410" s="172"/>
      <c r="QDY410" s="172"/>
      <c r="QDZ410" s="172"/>
      <c r="QEA410" s="172"/>
      <c r="QEB410" s="172"/>
      <c r="QEC410" s="172"/>
      <c r="QED410" s="172"/>
      <c r="QEE410" s="172"/>
      <c r="QEF410" s="172"/>
      <c r="QEG410" s="172"/>
      <c r="QEH410" s="172"/>
      <c r="QEI410" s="172"/>
      <c r="QEJ410" s="172"/>
      <c r="QEK410" s="172"/>
      <c r="QEL410" s="172"/>
      <c r="QEM410" s="172"/>
      <c r="QEN410" s="172"/>
      <c r="QEO410" s="172"/>
      <c r="QEP410" s="172"/>
      <c r="QEQ410" s="172"/>
      <c r="QER410" s="172"/>
      <c r="QES410" s="172"/>
      <c r="QET410" s="172"/>
      <c r="QEU410" s="172"/>
      <c r="QEV410" s="172"/>
      <c r="QEW410" s="172"/>
      <c r="QEX410" s="172"/>
      <c r="QEY410" s="172"/>
      <c r="QEZ410" s="172"/>
      <c r="QFA410" s="172"/>
      <c r="QFB410" s="172"/>
      <c r="QFC410" s="172"/>
      <c r="QFD410" s="172"/>
      <c r="QFE410" s="172"/>
      <c r="QFF410" s="172"/>
      <c r="QFG410" s="172"/>
      <c r="QFH410" s="172"/>
      <c r="QFI410" s="172"/>
      <c r="QFJ410" s="172"/>
      <c r="QFK410" s="172"/>
      <c r="QFL410" s="172"/>
      <c r="QFM410" s="172"/>
      <c r="QFN410" s="172"/>
      <c r="QFO410" s="172"/>
      <c r="QFP410" s="172"/>
      <c r="QFQ410" s="172"/>
      <c r="QFR410" s="172"/>
      <c r="QFS410" s="172"/>
      <c r="QFT410" s="172"/>
      <c r="QFU410" s="172"/>
      <c r="QFV410" s="172"/>
      <c r="QFW410" s="172"/>
      <c r="QFX410" s="172"/>
      <c r="QFY410" s="172"/>
      <c r="QFZ410" s="172"/>
      <c r="QGA410" s="172"/>
      <c r="QGB410" s="172"/>
      <c r="QGC410" s="172"/>
      <c r="QGD410" s="172"/>
      <c r="QGE410" s="172"/>
      <c r="QGF410" s="172"/>
      <c r="QGG410" s="172"/>
      <c r="QGH410" s="172"/>
      <c r="QGI410" s="172"/>
      <c r="QGJ410" s="172"/>
      <c r="QGK410" s="172"/>
      <c r="QGL410" s="172"/>
      <c r="QGM410" s="172"/>
      <c r="QGN410" s="172"/>
      <c r="QGO410" s="172"/>
      <c r="QGP410" s="172"/>
      <c r="QGQ410" s="172"/>
      <c r="QGR410" s="172"/>
      <c r="QGS410" s="172"/>
      <c r="QGT410" s="172"/>
      <c r="QGU410" s="172"/>
      <c r="QGV410" s="172"/>
      <c r="QGW410" s="172"/>
      <c r="QGX410" s="172"/>
      <c r="QGY410" s="172"/>
      <c r="QGZ410" s="172"/>
      <c r="QHA410" s="172"/>
      <c r="QHB410" s="172"/>
      <c r="QHC410" s="172"/>
      <c r="QHD410" s="172"/>
      <c r="QHE410" s="172"/>
      <c r="QHF410" s="172"/>
      <c r="QHG410" s="172"/>
      <c r="QHH410" s="172"/>
      <c r="QHI410" s="172"/>
      <c r="QHJ410" s="172"/>
      <c r="QHK410" s="172"/>
      <c r="QHL410" s="172"/>
      <c r="QHM410" s="172"/>
      <c r="QHN410" s="172"/>
      <c r="QHO410" s="172"/>
      <c r="QHP410" s="172"/>
      <c r="QHQ410" s="172"/>
      <c r="QHR410" s="172"/>
      <c r="QHS410" s="172"/>
      <c r="QHT410" s="172"/>
      <c r="QHU410" s="172"/>
      <c r="QHV410" s="172"/>
      <c r="QHW410" s="172"/>
      <c r="QHX410" s="172"/>
      <c r="QHY410" s="172"/>
      <c r="QHZ410" s="172"/>
      <c r="QIA410" s="172"/>
      <c r="QIB410" s="172"/>
      <c r="QIC410" s="172"/>
      <c r="QID410" s="172"/>
      <c r="QIE410" s="172"/>
      <c r="QIF410" s="172"/>
      <c r="QIG410" s="172"/>
      <c r="QIH410" s="172"/>
      <c r="QII410" s="172"/>
      <c r="QIJ410" s="172"/>
      <c r="QIK410" s="172"/>
      <c r="QIL410" s="172"/>
      <c r="QIM410" s="172"/>
      <c r="QIN410" s="172"/>
      <c r="QIO410" s="172"/>
      <c r="QIP410" s="172"/>
      <c r="QIQ410" s="172"/>
      <c r="QIR410" s="172"/>
      <c r="QIS410" s="172"/>
      <c r="QIT410" s="172"/>
      <c r="QIU410" s="172"/>
      <c r="QIV410" s="172"/>
      <c r="QIW410" s="172"/>
      <c r="QIX410" s="172"/>
      <c r="QIY410" s="172"/>
      <c r="QIZ410" s="172"/>
      <c r="QJA410" s="172"/>
      <c r="QJB410" s="172"/>
      <c r="QJC410" s="172"/>
      <c r="QJD410" s="172"/>
      <c r="QJE410" s="172"/>
      <c r="QJF410" s="172"/>
      <c r="QJG410" s="172"/>
      <c r="QJH410" s="172"/>
      <c r="QJI410" s="172"/>
      <c r="QJJ410" s="172"/>
      <c r="QJK410" s="172"/>
      <c r="QJL410" s="172"/>
      <c r="QJM410" s="172"/>
      <c r="QJN410" s="172"/>
      <c r="QJO410" s="172"/>
      <c r="QJP410" s="172"/>
      <c r="QJQ410" s="172"/>
      <c r="QJR410" s="172"/>
      <c r="QJS410" s="172"/>
      <c r="QJT410" s="172"/>
      <c r="QJU410" s="172"/>
      <c r="QJV410" s="172"/>
      <c r="QJW410" s="172"/>
      <c r="QJX410" s="172"/>
      <c r="QJY410" s="172"/>
      <c r="QJZ410" s="172"/>
      <c r="QKA410" s="172"/>
      <c r="QKB410" s="172"/>
      <c r="QKC410" s="172"/>
      <c r="QKD410" s="172"/>
      <c r="QKE410" s="172"/>
      <c r="QKF410" s="172"/>
      <c r="QKG410" s="172"/>
      <c r="QKH410" s="172"/>
      <c r="QKI410" s="172"/>
      <c r="QKJ410" s="172"/>
      <c r="QKK410" s="172"/>
      <c r="QKL410" s="172"/>
      <c r="QKM410" s="172"/>
      <c r="QKN410" s="172"/>
      <c r="QKO410" s="172"/>
      <c r="QKP410" s="172"/>
      <c r="QKQ410" s="172"/>
      <c r="QKR410" s="172"/>
      <c r="QKS410" s="172"/>
      <c r="QKT410" s="172"/>
      <c r="QKU410" s="172"/>
      <c r="QKV410" s="172"/>
      <c r="QKW410" s="172"/>
      <c r="QKX410" s="172"/>
      <c r="QKY410" s="172"/>
      <c r="QKZ410" s="172"/>
      <c r="QLA410" s="172"/>
      <c r="QLB410" s="172"/>
      <c r="QLC410" s="172"/>
      <c r="QLD410" s="172"/>
      <c r="QLE410" s="172"/>
      <c r="QLF410" s="172"/>
      <c r="QLG410" s="172"/>
      <c r="QLH410" s="172"/>
      <c r="QLI410" s="172"/>
      <c r="QLJ410" s="172"/>
      <c r="QLK410" s="172"/>
      <c r="QLL410" s="172"/>
      <c r="QLM410" s="172"/>
      <c r="QLN410" s="172"/>
      <c r="QLO410" s="172"/>
      <c r="QLP410" s="172"/>
      <c r="QLQ410" s="172"/>
      <c r="QLR410" s="172"/>
      <c r="QLS410" s="172"/>
      <c r="QLT410" s="172"/>
      <c r="QLU410" s="172"/>
      <c r="QLV410" s="172"/>
      <c r="QLW410" s="172"/>
      <c r="QLX410" s="172"/>
      <c r="QLY410" s="172"/>
      <c r="QLZ410" s="172"/>
      <c r="QMA410" s="172"/>
      <c r="QMB410" s="172"/>
      <c r="QMC410" s="172"/>
      <c r="QMD410" s="172"/>
      <c r="QME410" s="172"/>
      <c r="QMF410" s="172"/>
      <c r="QMG410" s="172"/>
      <c r="QMH410" s="172"/>
      <c r="QMI410" s="172"/>
      <c r="QMJ410" s="172"/>
      <c r="QMK410" s="172"/>
      <c r="QML410" s="172"/>
      <c r="QMM410" s="172"/>
      <c r="QMN410" s="172"/>
      <c r="QMO410" s="172"/>
      <c r="QMP410" s="172"/>
      <c r="QMQ410" s="172"/>
      <c r="QMR410" s="172"/>
      <c r="QMS410" s="172"/>
      <c r="QMT410" s="172"/>
      <c r="QMU410" s="172"/>
      <c r="QMV410" s="172"/>
      <c r="QMW410" s="172"/>
      <c r="QMX410" s="172"/>
      <c r="QMY410" s="172"/>
      <c r="QMZ410" s="172"/>
      <c r="QNA410" s="172"/>
      <c r="QNB410" s="172"/>
      <c r="QNC410" s="172"/>
      <c r="QND410" s="172"/>
      <c r="QNE410" s="172"/>
      <c r="QNF410" s="172"/>
      <c r="QNG410" s="172"/>
      <c r="QNH410" s="172"/>
      <c r="QNI410" s="172"/>
      <c r="QNJ410" s="172"/>
      <c r="QNK410" s="172"/>
      <c r="QNL410" s="172"/>
      <c r="QNM410" s="172"/>
      <c r="QNN410" s="172"/>
      <c r="QNO410" s="172"/>
      <c r="QNP410" s="172"/>
      <c r="QNQ410" s="172"/>
      <c r="QNR410" s="172"/>
      <c r="QNS410" s="172"/>
      <c r="QNT410" s="172"/>
      <c r="QNU410" s="172"/>
      <c r="QNV410" s="172"/>
      <c r="QNW410" s="172"/>
      <c r="QNX410" s="172"/>
      <c r="QNY410" s="172"/>
      <c r="QNZ410" s="172"/>
      <c r="QOA410" s="172"/>
      <c r="QOB410" s="172"/>
      <c r="QOC410" s="172"/>
      <c r="QOD410" s="172"/>
      <c r="QOE410" s="172"/>
      <c r="QOF410" s="172"/>
      <c r="QOG410" s="172"/>
      <c r="QOH410" s="172"/>
      <c r="QOI410" s="172"/>
      <c r="QOJ410" s="172"/>
      <c r="QOK410" s="172"/>
      <c r="QOL410" s="172"/>
      <c r="QOM410" s="172"/>
      <c r="QON410" s="172"/>
      <c r="QOO410" s="172"/>
      <c r="QOP410" s="172"/>
      <c r="QOQ410" s="172"/>
      <c r="QOR410" s="172"/>
      <c r="QOS410" s="172"/>
      <c r="QOT410" s="172"/>
      <c r="QOU410" s="172"/>
      <c r="QOV410" s="172"/>
      <c r="QOW410" s="172"/>
      <c r="QOX410" s="172"/>
      <c r="QOY410" s="172"/>
      <c r="QOZ410" s="172"/>
      <c r="QPA410" s="172"/>
      <c r="QPB410" s="172"/>
      <c r="QPC410" s="172"/>
      <c r="QPD410" s="172"/>
      <c r="QPE410" s="172"/>
      <c r="QPF410" s="172"/>
      <c r="QPG410" s="172"/>
      <c r="QPH410" s="172"/>
      <c r="QPI410" s="172"/>
      <c r="QPJ410" s="172"/>
      <c r="QPK410" s="172"/>
      <c r="QPL410" s="172"/>
      <c r="QPM410" s="172"/>
      <c r="QPN410" s="172"/>
      <c r="QPO410" s="172"/>
      <c r="QPP410" s="172"/>
      <c r="QPQ410" s="172"/>
      <c r="QPR410" s="172"/>
      <c r="QPS410" s="172"/>
      <c r="QPT410" s="172"/>
      <c r="QPU410" s="172"/>
      <c r="QPV410" s="172"/>
      <c r="QPW410" s="172"/>
      <c r="QPX410" s="172"/>
      <c r="QPY410" s="172"/>
      <c r="QPZ410" s="172"/>
      <c r="QQA410" s="172"/>
      <c r="QQB410" s="172"/>
      <c r="QQC410" s="172"/>
      <c r="QQD410" s="172"/>
      <c r="QQE410" s="172"/>
      <c r="QQF410" s="172"/>
      <c r="QQG410" s="172"/>
      <c r="QQH410" s="172"/>
      <c r="QQI410" s="172"/>
      <c r="QQJ410" s="172"/>
      <c r="QQK410" s="172"/>
      <c r="QQL410" s="172"/>
      <c r="QQM410" s="172"/>
      <c r="QQN410" s="172"/>
      <c r="QQO410" s="172"/>
      <c r="QQP410" s="172"/>
      <c r="QQQ410" s="172"/>
      <c r="QQR410" s="172"/>
      <c r="QQS410" s="172"/>
      <c r="QQT410" s="172"/>
      <c r="QQU410" s="172"/>
      <c r="QQV410" s="172"/>
      <c r="QQW410" s="172"/>
      <c r="QQX410" s="172"/>
      <c r="QQY410" s="172"/>
      <c r="QQZ410" s="172"/>
      <c r="QRA410" s="172"/>
      <c r="QRB410" s="172"/>
      <c r="QRC410" s="172"/>
      <c r="QRD410" s="172"/>
      <c r="QRE410" s="172"/>
      <c r="QRF410" s="172"/>
      <c r="QRG410" s="172"/>
      <c r="QRH410" s="172"/>
      <c r="QRI410" s="172"/>
      <c r="QRJ410" s="172"/>
      <c r="QRK410" s="172"/>
      <c r="QRL410" s="172"/>
      <c r="QRM410" s="172"/>
      <c r="QRN410" s="172"/>
      <c r="QRO410" s="172"/>
      <c r="QRP410" s="172"/>
      <c r="QRQ410" s="172"/>
      <c r="QRR410" s="172"/>
      <c r="QRS410" s="172"/>
      <c r="QRT410" s="172"/>
      <c r="QRU410" s="172"/>
      <c r="QRV410" s="172"/>
      <c r="QRW410" s="172"/>
      <c r="QRX410" s="172"/>
      <c r="QRY410" s="172"/>
      <c r="QRZ410" s="172"/>
      <c r="QSA410" s="172"/>
      <c r="QSB410" s="172"/>
      <c r="QSC410" s="172"/>
      <c r="QSD410" s="172"/>
      <c r="QSE410" s="172"/>
      <c r="QSF410" s="172"/>
      <c r="QSG410" s="172"/>
      <c r="QSH410" s="172"/>
      <c r="QSI410" s="172"/>
      <c r="QSJ410" s="172"/>
      <c r="QSK410" s="172"/>
      <c r="QSL410" s="172"/>
      <c r="QSM410" s="172"/>
      <c r="QSN410" s="172"/>
      <c r="QSO410" s="172"/>
      <c r="QSP410" s="172"/>
      <c r="QSQ410" s="172"/>
      <c r="QSR410" s="172"/>
      <c r="QSS410" s="172"/>
      <c r="QST410" s="172"/>
      <c r="QSU410" s="172"/>
      <c r="QSV410" s="172"/>
      <c r="QSW410" s="172"/>
      <c r="QSX410" s="172"/>
      <c r="QSY410" s="172"/>
      <c r="QSZ410" s="172"/>
      <c r="QTA410" s="172"/>
      <c r="QTB410" s="172"/>
      <c r="QTC410" s="172"/>
      <c r="QTD410" s="172"/>
      <c r="QTE410" s="172"/>
      <c r="QTF410" s="172"/>
      <c r="QTG410" s="172"/>
      <c r="QTH410" s="172"/>
      <c r="QTI410" s="172"/>
      <c r="QTJ410" s="172"/>
      <c r="QTK410" s="172"/>
      <c r="QTL410" s="172"/>
      <c r="QTM410" s="172"/>
      <c r="QTN410" s="172"/>
      <c r="QTO410" s="172"/>
      <c r="QTP410" s="172"/>
      <c r="QTQ410" s="172"/>
      <c r="QTR410" s="172"/>
      <c r="QTS410" s="172"/>
      <c r="QTT410" s="172"/>
      <c r="QTU410" s="172"/>
      <c r="QTV410" s="172"/>
      <c r="QTW410" s="172"/>
      <c r="QTX410" s="172"/>
      <c r="QTY410" s="172"/>
      <c r="QTZ410" s="172"/>
      <c r="QUA410" s="172"/>
      <c r="QUB410" s="172"/>
      <c r="QUC410" s="172"/>
      <c r="QUD410" s="172"/>
      <c r="QUE410" s="172"/>
      <c r="QUF410" s="172"/>
      <c r="QUG410" s="172"/>
      <c r="QUH410" s="172"/>
      <c r="QUI410" s="172"/>
      <c r="QUJ410" s="172"/>
      <c r="QUK410" s="172"/>
      <c r="QUL410" s="172"/>
      <c r="QUM410" s="172"/>
      <c r="QUN410" s="172"/>
      <c r="QUO410" s="172"/>
      <c r="QUP410" s="172"/>
      <c r="QUQ410" s="172"/>
      <c r="QUR410" s="172"/>
      <c r="QUS410" s="172"/>
      <c r="QUT410" s="172"/>
      <c r="QUU410" s="172"/>
      <c r="QUV410" s="172"/>
      <c r="QUW410" s="172"/>
      <c r="QUX410" s="172"/>
      <c r="QUY410" s="172"/>
      <c r="QUZ410" s="172"/>
      <c r="QVA410" s="172"/>
      <c r="QVB410" s="172"/>
      <c r="QVC410" s="172"/>
      <c r="QVD410" s="172"/>
      <c r="QVE410" s="172"/>
      <c r="QVF410" s="172"/>
      <c r="QVG410" s="172"/>
      <c r="QVH410" s="172"/>
      <c r="QVI410" s="172"/>
      <c r="QVJ410" s="172"/>
      <c r="QVK410" s="172"/>
      <c r="QVL410" s="172"/>
      <c r="QVM410" s="172"/>
      <c r="QVN410" s="172"/>
      <c r="QVO410" s="172"/>
      <c r="QVP410" s="172"/>
      <c r="QVQ410" s="172"/>
      <c r="QVR410" s="172"/>
      <c r="QVS410" s="172"/>
      <c r="QVT410" s="172"/>
      <c r="QVU410" s="172"/>
      <c r="QVV410" s="172"/>
      <c r="QVW410" s="172"/>
      <c r="QVX410" s="172"/>
      <c r="QVY410" s="172"/>
      <c r="QVZ410" s="172"/>
      <c r="QWA410" s="172"/>
      <c r="QWB410" s="172"/>
      <c r="QWC410" s="172"/>
      <c r="QWD410" s="172"/>
      <c r="QWE410" s="172"/>
      <c r="QWF410" s="172"/>
      <c r="QWG410" s="172"/>
      <c r="QWH410" s="172"/>
      <c r="QWI410" s="172"/>
      <c r="QWJ410" s="172"/>
      <c r="QWK410" s="172"/>
      <c r="QWL410" s="172"/>
      <c r="QWM410" s="172"/>
      <c r="QWN410" s="172"/>
      <c r="QWO410" s="172"/>
      <c r="QWP410" s="172"/>
      <c r="QWQ410" s="172"/>
      <c r="QWR410" s="172"/>
      <c r="QWS410" s="172"/>
      <c r="QWT410" s="172"/>
      <c r="QWU410" s="172"/>
      <c r="QWV410" s="172"/>
      <c r="QWW410" s="172"/>
      <c r="QWX410" s="172"/>
      <c r="QWY410" s="172"/>
      <c r="QWZ410" s="172"/>
      <c r="QXA410" s="172"/>
      <c r="QXB410" s="172"/>
      <c r="QXC410" s="172"/>
      <c r="QXD410" s="172"/>
      <c r="QXE410" s="172"/>
      <c r="QXF410" s="172"/>
      <c r="QXG410" s="172"/>
      <c r="QXH410" s="172"/>
      <c r="QXI410" s="172"/>
      <c r="QXJ410" s="172"/>
      <c r="QXK410" s="172"/>
      <c r="QXL410" s="172"/>
      <c r="QXM410" s="172"/>
      <c r="QXN410" s="172"/>
      <c r="QXO410" s="172"/>
      <c r="QXP410" s="172"/>
      <c r="QXQ410" s="172"/>
      <c r="QXR410" s="172"/>
      <c r="QXS410" s="172"/>
      <c r="QXT410" s="172"/>
      <c r="QXU410" s="172"/>
      <c r="QXV410" s="172"/>
      <c r="QXW410" s="172"/>
      <c r="QXX410" s="172"/>
      <c r="QXY410" s="172"/>
      <c r="QXZ410" s="172"/>
      <c r="QYA410" s="172"/>
      <c r="QYB410" s="172"/>
      <c r="QYC410" s="172"/>
      <c r="QYD410" s="172"/>
      <c r="QYE410" s="172"/>
      <c r="QYF410" s="172"/>
      <c r="QYG410" s="172"/>
      <c r="QYH410" s="172"/>
      <c r="QYI410" s="172"/>
      <c r="QYJ410" s="172"/>
      <c r="QYK410" s="172"/>
      <c r="QYL410" s="172"/>
      <c r="QYM410" s="172"/>
      <c r="QYN410" s="172"/>
      <c r="QYO410" s="172"/>
      <c r="QYP410" s="172"/>
      <c r="QYQ410" s="172"/>
      <c r="QYR410" s="172"/>
      <c r="QYS410" s="172"/>
      <c r="QYT410" s="172"/>
      <c r="QYU410" s="172"/>
      <c r="QYV410" s="172"/>
      <c r="QYW410" s="172"/>
      <c r="QYX410" s="172"/>
      <c r="QYY410" s="172"/>
      <c r="QYZ410" s="172"/>
      <c r="QZA410" s="172"/>
      <c r="QZB410" s="172"/>
      <c r="QZC410" s="172"/>
      <c r="QZD410" s="172"/>
      <c r="QZE410" s="172"/>
      <c r="QZF410" s="172"/>
      <c r="QZG410" s="172"/>
      <c r="QZH410" s="172"/>
      <c r="QZI410" s="172"/>
      <c r="QZJ410" s="172"/>
      <c r="QZK410" s="172"/>
      <c r="QZL410" s="172"/>
      <c r="QZM410" s="172"/>
      <c r="QZN410" s="172"/>
      <c r="QZO410" s="172"/>
      <c r="QZP410" s="172"/>
      <c r="QZQ410" s="172"/>
      <c r="QZR410" s="172"/>
      <c r="QZS410" s="172"/>
      <c r="QZT410" s="172"/>
      <c r="QZU410" s="172"/>
      <c r="QZV410" s="172"/>
      <c r="QZW410" s="172"/>
      <c r="QZX410" s="172"/>
      <c r="QZY410" s="172"/>
      <c r="QZZ410" s="172"/>
      <c r="RAA410" s="172"/>
      <c r="RAB410" s="172"/>
      <c r="RAC410" s="172"/>
      <c r="RAD410" s="172"/>
      <c r="RAE410" s="172"/>
      <c r="RAF410" s="172"/>
      <c r="RAG410" s="172"/>
      <c r="RAH410" s="172"/>
      <c r="RAI410" s="172"/>
      <c r="RAJ410" s="172"/>
      <c r="RAK410" s="172"/>
      <c r="RAL410" s="172"/>
      <c r="RAM410" s="172"/>
      <c r="RAN410" s="172"/>
      <c r="RAO410" s="172"/>
      <c r="RAP410" s="172"/>
      <c r="RAQ410" s="172"/>
      <c r="RAR410" s="172"/>
      <c r="RAS410" s="172"/>
      <c r="RAT410" s="172"/>
      <c r="RAU410" s="172"/>
      <c r="RAV410" s="172"/>
      <c r="RAW410" s="172"/>
      <c r="RAX410" s="172"/>
      <c r="RAY410" s="172"/>
      <c r="RAZ410" s="172"/>
      <c r="RBA410" s="172"/>
      <c r="RBB410" s="172"/>
      <c r="RBC410" s="172"/>
      <c r="RBD410" s="172"/>
      <c r="RBE410" s="172"/>
      <c r="RBF410" s="172"/>
      <c r="RBG410" s="172"/>
      <c r="RBH410" s="172"/>
      <c r="RBI410" s="172"/>
      <c r="RBJ410" s="172"/>
      <c r="RBK410" s="172"/>
      <c r="RBL410" s="172"/>
      <c r="RBM410" s="172"/>
      <c r="RBN410" s="172"/>
      <c r="RBO410" s="172"/>
      <c r="RBP410" s="172"/>
      <c r="RBQ410" s="172"/>
      <c r="RBR410" s="172"/>
      <c r="RBS410" s="172"/>
      <c r="RBT410" s="172"/>
      <c r="RBU410" s="172"/>
      <c r="RBV410" s="172"/>
      <c r="RBW410" s="172"/>
      <c r="RBX410" s="172"/>
      <c r="RBY410" s="172"/>
      <c r="RBZ410" s="172"/>
      <c r="RCA410" s="172"/>
      <c r="RCB410" s="172"/>
      <c r="RCC410" s="172"/>
      <c r="RCD410" s="172"/>
      <c r="RCE410" s="172"/>
      <c r="RCF410" s="172"/>
      <c r="RCG410" s="172"/>
      <c r="RCH410" s="172"/>
      <c r="RCI410" s="172"/>
      <c r="RCJ410" s="172"/>
      <c r="RCK410" s="172"/>
      <c r="RCL410" s="172"/>
      <c r="RCM410" s="172"/>
      <c r="RCN410" s="172"/>
      <c r="RCO410" s="172"/>
      <c r="RCP410" s="172"/>
      <c r="RCQ410" s="172"/>
      <c r="RCR410" s="172"/>
      <c r="RCS410" s="172"/>
      <c r="RCT410" s="172"/>
      <c r="RCU410" s="172"/>
      <c r="RCV410" s="172"/>
      <c r="RCW410" s="172"/>
      <c r="RCX410" s="172"/>
      <c r="RCY410" s="172"/>
      <c r="RCZ410" s="172"/>
      <c r="RDA410" s="172"/>
      <c r="RDB410" s="172"/>
      <c r="RDC410" s="172"/>
      <c r="RDD410" s="172"/>
      <c r="RDE410" s="172"/>
      <c r="RDF410" s="172"/>
      <c r="RDG410" s="172"/>
      <c r="RDH410" s="172"/>
      <c r="RDI410" s="172"/>
      <c r="RDJ410" s="172"/>
      <c r="RDK410" s="172"/>
      <c r="RDL410" s="172"/>
      <c r="RDM410" s="172"/>
      <c r="RDN410" s="172"/>
      <c r="RDO410" s="172"/>
      <c r="RDP410" s="172"/>
      <c r="RDQ410" s="172"/>
      <c r="RDR410" s="172"/>
      <c r="RDS410" s="172"/>
      <c r="RDT410" s="172"/>
      <c r="RDU410" s="172"/>
      <c r="RDV410" s="172"/>
      <c r="RDW410" s="172"/>
      <c r="RDX410" s="172"/>
      <c r="RDY410" s="172"/>
      <c r="RDZ410" s="172"/>
      <c r="REA410" s="172"/>
      <c r="REB410" s="172"/>
      <c r="REC410" s="172"/>
      <c r="RED410" s="172"/>
      <c r="REE410" s="172"/>
      <c r="REF410" s="172"/>
      <c r="REG410" s="172"/>
      <c r="REH410" s="172"/>
      <c r="REI410" s="172"/>
      <c r="REJ410" s="172"/>
      <c r="REK410" s="172"/>
      <c r="REL410" s="172"/>
      <c r="REM410" s="172"/>
      <c r="REN410" s="172"/>
      <c r="REO410" s="172"/>
      <c r="REP410" s="172"/>
      <c r="REQ410" s="172"/>
      <c r="RER410" s="172"/>
      <c r="RES410" s="172"/>
      <c r="RET410" s="172"/>
      <c r="REU410" s="172"/>
      <c r="REV410" s="172"/>
      <c r="REW410" s="172"/>
      <c r="REX410" s="172"/>
      <c r="REY410" s="172"/>
      <c r="REZ410" s="172"/>
      <c r="RFA410" s="172"/>
      <c r="RFB410" s="172"/>
      <c r="RFC410" s="172"/>
      <c r="RFD410" s="172"/>
      <c r="RFE410" s="172"/>
      <c r="RFF410" s="172"/>
      <c r="RFG410" s="172"/>
      <c r="RFH410" s="172"/>
      <c r="RFI410" s="172"/>
      <c r="RFJ410" s="172"/>
      <c r="RFK410" s="172"/>
      <c r="RFL410" s="172"/>
      <c r="RFM410" s="172"/>
      <c r="RFN410" s="172"/>
      <c r="RFO410" s="172"/>
      <c r="RFP410" s="172"/>
      <c r="RFQ410" s="172"/>
      <c r="RFR410" s="172"/>
      <c r="RFS410" s="172"/>
      <c r="RFT410" s="172"/>
      <c r="RFU410" s="172"/>
      <c r="RFV410" s="172"/>
      <c r="RFW410" s="172"/>
      <c r="RFX410" s="172"/>
      <c r="RFY410" s="172"/>
      <c r="RFZ410" s="172"/>
      <c r="RGA410" s="172"/>
      <c r="RGB410" s="172"/>
      <c r="RGC410" s="172"/>
      <c r="RGD410" s="172"/>
      <c r="RGE410" s="172"/>
      <c r="RGF410" s="172"/>
      <c r="RGG410" s="172"/>
      <c r="RGH410" s="172"/>
      <c r="RGI410" s="172"/>
      <c r="RGJ410" s="172"/>
      <c r="RGK410" s="172"/>
      <c r="RGL410" s="172"/>
      <c r="RGM410" s="172"/>
      <c r="RGN410" s="172"/>
      <c r="RGO410" s="172"/>
      <c r="RGP410" s="172"/>
      <c r="RGQ410" s="172"/>
      <c r="RGR410" s="172"/>
      <c r="RGS410" s="172"/>
      <c r="RGT410" s="172"/>
      <c r="RGU410" s="172"/>
      <c r="RGV410" s="172"/>
      <c r="RGW410" s="172"/>
      <c r="RGX410" s="172"/>
      <c r="RGY410" s="172"/>
      <c r="RGZ410" s="172"/>
      <c r="RHA410" s="172"/>
      <c r="RHB410" s="172"/>
      <c r="RHC410" s="172"/>
      <c r="RHD410" s="172"/>
      <c r="RHE410" s="172"/>
      <c r="RHF410" s="172"/>
      <c r="RHG410" s="172"/>
      <c r="RHH410" s="172"/>
      <c r="RHI410" s="172"/>
      <c r="RHJ410" s="172"/>
      <c r="RHK410" s="172"/>
      <c r="RHL410" s="172"/>
      <c r="RHM410" s="172"/>
      <c r="RHN410" s="172"/>
      <c r="RHO410" s="172"/>
      <c r="RHP410" s="172"/>
      <c r="RHQ410" s="172"/>
      <c r="RHR410" s="172"/>
      <c r="RHS410" s="172"/>
      <c r="RHT410" s="172"/>
      <c r="RHU410" s="172"/>
      <c r="RHV410" s="172"/>
      <c r="RHW410" s="172"/>
      <c r="RHX410" s="172"/>
      <c r="RHY410" s="172"/>
      <c r="RHZ410" s="172"/>
      <c r="RIA410" s="172"/>
      <c r="RIB410" s="172"/>
      <c r="RIC410" s="172"/>
      <c r="RID410" s="172"/>
      <c r="RIE410" s="172"/>
      <c r="RIF410" s="172"/>
      <c r="RIG410" s="172"/>
      <c r="RIH410" s="172"/>
      <c r="RII410" s="172"/>
      <c r="RIJ410" s="172"/>
      <c r="RIK410" s="172"/>
      <c r="RIL410" s="172"/>
      <c r="RIM410" s="172"/>
      <c r="RIN410" s="172"/>
      <c r="RIO410" s="172"/>
      <c r="RIP410" s="172"/>
      <c r="RIQ410" s="172"/>
      <c r="RIR410" s="172"/>
      <c r="RIS410" s="172"/>
      <c r="RIT410" s="172"/>
      <c r="RIU410" s="172"/>
      <c r="RIV410" s="172"/>
      <c r="RIW410" s="172"/>
      <c r="RIX410" s="172"/>
      <c r="RIY410" s="172"/>
      <c r="RIZ410" s="172"/>
      <c r="RJA410" s="172"/>
      <c r="RJB410" s="172"/>
      <c r="RJC410" s="172"/>
      <c r="RJD410" s="172"/>
      <c r="RJE410" s="172"/>
      <c r="RJF410" s="172"/>
      <c r="RJG410" s="172"/>
      <c r="RJH410" s="172"/>
      <c r="RJI410" s="172"/>
      <c r="RJJ410" s="172"/>
      <c r="RJK410" s="172"/>
      <c r="RJL410" s="172"/>
      <c r="RJM410" s="172"/>
      <c r="RJN410" s="172"/>
      <c r="RJO410" s="172"/>
      <c r="RJP410" s="172"/>
      <c r="RJQ410" s="172"/>
      <c r="RJR410" s="172"/>
      <c r="RJS410" s="172"/>
      <c r="RJT410" s="172"/>
      <c r="RJU410" s="172"/>
      <c r="RJV410" s="172"/>
      <c r="RJW410" s="172"/>
      <c r="RJX410" s="172"/>
      <c r="RJY410" s="172"/>
      <c r="RJZ410" s="172"/>
      <c r="RKA410" s="172"/>
      <c r="RKB410" s="172"/>
      <c r="RKC410" s="172"/>
      <c r="RKD410" s="172"/>
      <c r="RKE410" s="172"/>
      <c r="RKF410" s="172"/>
      <c r="RKG410" s="172"/>
      <c r="RKH410" s="172"/>
      <c r="RKI410" s="172"/>
      <c r="RKJ410" s="172"/>
      <c r="RKK410" s="172"/>
      <c r="RKL410" s="172"/>
      <c r="RKM410" s="172"/>
      <c r="RKN410" s="172"/>
      <c r="RKO410" s="172"/>
      <c r="RKP410" s="172"/>
      <c r="RKQ410" s="172"/>
      <c r="RKR410" s="172"/>
      <c r="RKS410" s="172"/>
      <c r="RKT410" s="172"/>
      <c r="RKU410" s="172"/>
      <c r="RKV410" s="172"/>
      <c r="RKW410" s="172"/>
      <c r="RKX410" s="172"/>
      <c r="RKY410" s="172"/>
      <c r="RKZ410" s="172"/>
      <c r="RLA410" s="172"/>
      <c r="RLB410" s="172"/>
      <c r="RLC410" s="172"/>
      <c r="RLD410" s="172"/>
      <c r="RLE410" s="172"/>
      <c r="RLF410" s="172"/>
      <c r="RLG410" s="172"/>
      <c r="RLH410" s="172"/>
      <c r="RLI410" s="172"/>
      <c r="RLJ410" s="172"/>
      <c r="RLK410" s="172"/>
      <c r="RLL410" s="172"/>
      <c r="RLM410" s="172"/>
      <c r="RLN410" s="172"/>
      <c r="RLO410" s="172"/>
      <c r="RLP410" s="172"/>
      <c r="RLQ410" s="172"/>
      <c r="RLR410" s="172"/>
      <c r="RLS410" s="172"/>
      <c r="RLT410" s="172"/>
      <c r="RLU410" s="172"/>
      <c r="RLV410" s="172"/>
      <c r="RLW410" s="172"/>
      <c r="RLX410" s="172"/>
      <c r="RLY410" s="172"/>
      <c r="RLZ410" s="172"/>
      <c r="RMA410" s="172"/>
      <c r="RMB410" s="172"/>
      <c r="RMC410" s="172"/>
      <c r="RMD410" s="172"/>
      <c r="RME410" s="172"/>
      <c r="RMF410" s="172"/>
      <c r="RMG410" s="172"/>
      <c r="RMH410" s="172"/>
      <c r="RMI410" s="172"/>
      <c r="RMJ410" s="172"/>
      <c r="RMK410" s="172"/>
      <c r="RML410" s="172"/>
      <c r="RMM410" s="172"/>
      <c r="RMN410" s="172"/>
      <c r="RMO410" s="172"/>
      <c r="RMP410" s="172"/>
      <c r="RMQ410" s="172"/>
      <c r="RMR410" s="172"/>
      <c r="RMS410" s="172"/>
      <c r="RMT410" s="172"/>
      <c r="RMU410" s="172"/>
      <c r="RMV410" s="172"/>
      <c r="RMW410" s="172"/>
      <c r="RMX410" s="172"/>
      <c r="RMY410" s="172"/>
      <c r="RMZ410" s="172"/>
      <c r="RNA410" s="172"/>
      <c r="RNB410" s="172"/>
      <c r="RNC410" s="172"/>
      <c r="RND410" s="172"/>
      <c r="RNE410" s="172"/>
      <c r="RNF410" s="172"/>
      <c r="RNG410" s="172"/>
      <c r="RNH410" s="172"/>
      <c r="RNI410" s="172"/>
      <c r="RNJ410" s="172"/>
      <c r="RNK410" s="172"/>
      <c r="RNL410" s="172"/>
      <c r="RNM410" s="172"/>
      <c r="RNN410" s="172"/>
      <c r="RNO410" s="172"/>
      <c r="RNP410" s="172"/>
      <c r="RNQ410" s="172"/>
      <c r="RNR410" s="172"/>
      <c r="RNS410" s="172"/>
      <c r="RNT410" s="172"/>
      <c r="RNU410" s="172"/>
      <c r="RNV410" s="172"/>
      <c r="RNW410" s="172"/>
      <c r="RNX410" s="172"/>
      <c r="RNY410" s="172"/>
      <c r="RNZ410" s="172"/>
      <c r="ROA410" s="172"/>
      <c r="ROB410" s="172"/>
      <c r="ROC410" s="172"/>
      <c r="ROD410" s="172"/>
      <c r="ROE410" s="172"/>
      <c r="ROF410" s="172"/>
      <c r="ROG410" s="172"/>
      <c r="ROH410" s="172"/>
      <c r="ROI410" s="172"/>
      <c r="ROJ410" s="172"/>
      <c r="ROK410" s="172"/>
      <c r="ROL410" s="172"/>
      <c r="ROM410" s="172"/>
      <c r="RON410" s="172"/>
      <c r="ROO410" s="172"/>
      <c r="ROP410" s="172"/>
      <c r="ROQ410" s="172"/>
      <c r="ROR410" s="172"/>
      <c r="ROS410" s="172"/>
      <c r="ROT410" s="172"/>
      <c r="ROU410" s="172"/>
      <c r="ROV410" s="172"/>
      <c r="ROW410" s="172"/>
      <c r="ROX410" s="172"/>
      <c r="ROY410" s="172"/>
      <c r="ROZ410" s="172"/>
      <c r="RPA410" s="172"/>
      <c r="RPB410" s="172"/>
      <c r="RPC410" s="172"/>
      <c r="RPD410" s="172"/>
      <c r="RPE410" s="172"/>
      <c r="RPF410" s="172"/>
      <c r="RPG410" s="172"/>
      <c r="RPH410" s="172"/>
      <c r="RPI410" s="172"/>
      <c r="RPJ410" s="172"/>
      <c r="RPK410" s="172"/>
      <c r="RPL410" s="172"/>
      <c r="RPM410" s="172"/>
      <c r="RPN410" s="172"/>
      <c r="RPO410" s="172"/>
      <c r="RPP410" s="172"/>
      <c r="RPQ410" s="172"/>
      <c r="RPR410" s="172"/>
      <c r="RPS410" s="172"/>
      <c r="RPT410" s="172"/>
      <c r="RPU410" s="172"/>
      <c r="RPV410" s="172"/>
      <c r="RPW410" s="172"/>
      <c r="RPX410" s="172"/>
      <c r="RPY410" s="172"/>
      <c r="RPZ410" s="172"/>
      <c r="RQA410" s="172"/>
      <c r="RQB410" s="172"/>
      <c r="RQC410" s="172"/>
      <c r="RQD410" s="172"/>
      <c r="RQE410" s="172"/>
      <c r="RQF410" s="172"/>
      <c r="RQG410" s="172"/>
      <c r="RQH410" s="172"/>
      <c r="RQI410" s="172"/>
      <c r="RQJ410" s="172"/>
      <c r="RQK410" s="172"/>
      <c r="RQL410" s="172"/>
      <c r="RQM410" s="172"/>
      <c r="RQN410" s="172"/>
      <c r="RQO410" s="172"/>
      <c r="RQP410" s="172"/>
      <c r="RQQ410" s="172"/>
      <c r="RQR410" s="172"/>
      <c r="RQS410" s="172"/>
      <c r="RQT410" s="172"/>
      <c r="RQU410" s="172"/>
      <c r="RQV410" s="172"/>
      <c r="RQW410" s="172"/>
      <c r="RQX410" s="172"/>
      <c r="RQY410" s="172"/>
      <c r="RQZ410" s="172"/>
      <c r="RRA410" s="172"/>
      <c r="RRB410" s="172"/>
      <c r="RRC410" s="172"/>
      <c r="RRD410" s="172"/>
      <c r="RRE410" s="172"/>
      <c r="RRF410" s="172"/>
      <c r="RRG410" s="172"/>
      <c r="RRH410" s="172"/>
      <c r="RRI410" s="172"/>
      <c r="RRJ410" s="172"/>
      <c r="RRK410" s="172"/>
      <c r="RRL410" s="172"/>
      <c r="RRM410" s="172"/>
      <c r="RRN410" s="172"/>
      <c r="RRO410" s="172"/>
      <c r="RRP410" s="172"/>
      <c r="RRQ410" s="172"/>
      <c r="RRR410" s="172"/>
      <c r="RRS410" s="172"/>
      <c r="RRT410" s="172"/>
      <c r="RRU410" s="172"/>
      <c r="RRV410" s="172"/>
      <c r="RRW410" s="172"/>
      <c r="RRX410" s="172"/>
      <c r="RRY410" s="172"/>
      <c r="RRZ410" s="172"/>
      <c r="RSA410" s="172"/>
      <c r="RSB410" s="172"/>
      <c r="RSC410" s="172"/>
      <c r="RSD410" s="172"/>
      <c r="RSE410" s="172"/>
      <c r="RSF410" s="172"/>
      <c r="RSG410" s="172"/>
      <c r="RSH410" s="172"/>
      <c r="RSI410" s="172"/>
      <c r="RSJ410" s="172"/>
      <c r="RSK410" s="172"/>
      <c r="RSL410" s="172"/>
      <c r="RSM410" s="172"/>
      <c r="RSN410" s="172"/>
      <c r="RSO410" s="172"/>
      <c r="RSP410" s="172"/>
      <c r="RSQ410" s="172"/>
      <c r="RSR410" s="172"/>
      <c r="RSS410" s="172"/>
      <c r="RST410" s="172"/>
      <c r="RSU410" s="172"/>
      <c r="RSV410" s="172"/>
      <c r="RSW410" s="172"/>
      <c r="RSX410" s="172"/>
      <c r="RSY410" s="172"/>
      <c r="RSZ410" s="172"/>
      <c r="RTA410" s="172"/>
      <c r="RTB410" s="172"/>
      <c r="RTC410" s="172"/>
      <c r="RTD410" s="172"/>
      <c r="RTE410" s="172"/>
      <c r="RTF410" s="172"/>
      <c r="RTG410" s="172"/>
      <c r="RTH410" s="172"/>
      <c r="RTI410" s="172"/>
      <c r="RTJ410" s="172"/>
      <c r="RTK410" s="172"/>
      <c r="RTL410" s="172"/>
      <c r="RTM410" s="172"/>
      <c r="RTN410" s="172"/>
      <c r="RTO410" s="172"/>
      <c r="RTP410" s="172"/>
      <c r="RTQ410" s="172"/>
      <c r="RTR410" s="172"/>
      <c r="RTS410" s="172"/>
      <c r="RTT410" s="172"/>
      <c r="RTU410" s="172"/>
      <c r="RTV410" s="172"/>
      <c r="RTW410" s="172"/>
      <c r="RTX410" s="172"/>
      <c r="RTY410" s="172"/>
      <c r="RTZ410" s="172"/>
      <c r="RUA410" s="172"/>
      <c r="RUB410" s="172"/>
      <c r="RUC410" s="172"/>
      <c r="RUD410" s="172"/>
      <c r="RUE410" s="172"/>
      <c r="RUF410" s="172"/>
      <c r="RUG410" s="172"/>
      <c r="RUH410" s="172"/>
      <c r="RUI410" s="172"/>
      <c r="RUJ410" s="172"/>
      <c r="RUK410" s="172"/>
      <c r="RUL410" s="172"/>
      <c r="RUM410" s="172"/>
      <c r="RUN410" s="172"/>
      <c r="RUO410" s="172"/>
      <c r="RUP410" s="172"/>
      <c r="RUQ410" s="172"/>
      <c r="RUR410" s="172"/>
      <c r="RUS410" s="172"/>
      <c r="RUT410" s="172"/>
      <c r="RUU410" s="172"/>
      <c r="RUV410" s="172"/>
      <c r="RUW410" s="172"/>
      <c r="RUX410" s="172"/>
      <c r="RUY410" s="172"/>
      <c r="RUZ410" s="172"/>
      <c r="RVA410" s="172"/>
      <c r="RVB410" s="172"/>
      <c r="RVC410" s="172"/>
      <c r="RVD410" s="172"/>
      <c r="RVE410" s="172"/>
      <c r="RVF410" s="172"/>
      <c r="RVG410" s="172"/>
      <c r="RVH410" s="172"/>
      <c r="RVI410" s="172"/>
      <c r="RVJ410" s="172"/>
      <c r="RVK410" s="172"/>
      <c r="RVL410" s="172"/>
      <c r="RVM410" s="172"/>
      <c r="RVN410" s="172"/>
      <c r="RVO410" s="172"/>
      <c r="RVP410" s="172"/>
      <c r="RVQ410" s="172"/>
      <c r="RVR410" s="172"/>
      <c r="RVS410" s="172"/>
      <c r="RVT410" s="172"/>
      <c r="RVU410" s="172"/>
      <c r="RVV410" s="172"/>
      <c r="RVW410" s="172"/>
      <c r="RVX410" s="172"/>
      <c r="RVY410" s="172"/>
      <c r="RVZ410" s="172"/>
      <c r="RWA410" s="172"/>
      <c r="RWB410" s="172"/>
      <c r="RWC410" s="172"/>
      <c r="RWD410" s="172"/>
      <c r="RWE410" s="172"/>
      <c r="RWF410" s="172"/>
      <c r="RWG410" s="172"/>
      <c r="RWH410" s="172"/>
      <c r="RWI410" s="172"/>
      <c r="RWJ410" s="172"/>
      <c r="RWK410" s="172"/>
      <c r="RWL410" s="172"/>
      <c r="RWM410" s="172"/>
      <c r="RWN410" s="172"/>
      <c r="RWO410" s="172"/>
      <c r="RWP410" s="172"/>
      <c r="RWQ410" s="172"/>
      <c r="RWR410" s="172"/>
      <c r="RWS410" s="172"/>
      <c r="RWT410" s="172"/>
      <c r="RWU410" s="172"/>
      <c r="RWV410" s="172"/>
      <c r="RWW410" s="172"/>
      <c r="RWX410" s="172"/>
      <c r="RWY410" s="172"/>
      <c r="RWZ410" s="172"/>
      <c r="RXA410" s="172"/>
      <c r="RXB410" s="172"/>
      <c r="RXC410" s="172"/>
      <c r="RXD410" s="172"/>
      <c r="RXE410" s="172"/>
      <c r="RXF410" s="172"/>
      <c r="RXG410" s="172"/>
      <c r="RXH410" s="172"/>
      <c r="RXI410" s="172"/>
      <c r="RXJ410" s="172"/>
      <c r="RXK410" s="172"/>
      <c r="RXL410" s="172"/>
      <c r="RXM410" s="172"/>
      <c r="RXN410" s="172"/>
      <c r="RXO410" s="172"/>
      <c r="RXP410" s="172"/>
      <c r="RXQ410" s="172"/>
      <c r="RXR410" s="172"/>
      <c r="RXS410" s="172"/>
      <c r="RXT410" s="172"/>
      <c r="RXU410" s="172"/>
      <c r="RXV410" s="172"/>
      <c r="RXW410" s="172"/>
      <c r="RXX410" s="172"/>
      <c r="RXY410" s="172"/>
      <c r="RXZ410" s="172"/>
      <c r="RYA410" s="172"/>
      <c r="RYB410" s="172"/>
      <c r="RYC410" s="172"/>
      <c r="RYD410" s="172"/>
      <c r="RYE410" s="172"/>
      <c r="RYF410" s="172"/>
      <c r="RYG410" s="172"/>
      <c r="RYH410" s="172"/>
      <c r="RYI410" s="172"/>
      <c r="RYJ410" s="172"/>
      <c r="RYK410" s="172"/>
      <c r="RYL410" s="172"/>
      <c r="RYM410" s="172"/>
      <c r="RYN410" s="172"/>
      <c r="RYO410" s="172"/>
      <c r="RYP410" s="172"/>
      <c r="RYQ410" s="172"/>
      <c r="RYR410" s="172"/>
      <c r="RYS410" s="172"/>
      <c r="RYT410" s="172"/>
      <c r="RYU410" s="172"/>
      <c r="RYV410" s="172"/>
      <c r="RYW410" s="172"/>
      <c r="RYX410" s="172"/>
      <c r="RYY410" s="172"/>
      <c r="RYZ410" s="172"/>
      <c r="RZA410" s="172"/>
      <c r="RZB410" s="172"/>
      <c r="RZC410" s="172"/>
      <c r="RZD410" s="172"/>
      <c r="RZE410" s="172"/>
      <c r="RZF410" s="172"/>
      <c r="RZG410" s="172"/>
      <c r="RZH410" s="172"/>
      <c r="RZI410" s="172"/>
      <c r="RZJ410" s="172"/>
      <c r="RZK410" s="172"/>
      <c r="RZL410" s="172"/>
      <c r="RZM410" s="172"/>
      <c r="RZN410" s="172"/>
      <c r="RZO410" s="172"/>
      <c r="RZP410" s="172"/>
      <c r="RZQ410" s="172"/>
      <c r="RZR410" s="172"/>
      <c r="RZS410" s="172"/>
      <c r="RZT410" s="172"/>
      <c r="RZU410" s="172"/>
      <c r="RZV410" s="172"/>
      <c r="RZW410" s="172"/>
      <c r="RZX410" s="172"/>
      <c r="RZY410" s="172"/>
      <c r="RZZ410" s="172"/>
      <c r="SAA410" s="172"/>
      <c r="SAB410" s="172"/>
      <c r="SAC410" s="172"/>
      <c r="SAD410" s="172"/>
      <c r="SAE410" s="172"/>
      <c r="SAF410" s="172"/>
      <c r="SAG410" s="172"/>
      <c r="SAH410" s="172"/>
      <c r="SAI410" s="172"/>
      <c r="SAJ410" s="172"/>
      <c r="SAK410" s="172"/>
      <c r="SAL410" s="172"/>
      <c r="SAM410" s="172"/>
      <c r="SAN410" s="172"/>
      <c r="SAO410" s="172"/>
      <c r="SAP410" s="172"/>
      <c r="SAQ410" s="172"/>
      <c r="SAR410" s="172"/>
      <c r="SAS410" s="172"/>
      <c r="SAT410" s="172"/>
      <c r="SAU410" s="172"/>
      <c r="SAV410" s="172"/>
      <c r="SAW410" s="172"/>
      <c r="SAX410" s="172"/>
      <c r="SAY410" s="172"/>
      <c r="SAZ410" s="172"/>
      <c r="SBA410" s="172"/>
      <c r="SBB410" s="172"/>
      <c r="SBC410" s="172"/>
      <c r="SBD410" s="172"/>
      <c r="SBE410" s="172"/>
      <c r="SBF410" s="172"/>
      <c r="SBG410" s="172"/>
      <c r="SBH410" s="172"/>
      <c r="SBI410" s="172"/>
      <c r="SBJ410" s="172"/>
      <c r="SBK410" s="172"/>
      <c r="SBL410" s="172"/>
      <c r="SBM410" s="172"/>
      <c r="SBN410" s="172"/>
      <c r="SBO410" s="172"/>
      <c r="SBP410" s="172"/>
      <c r="SBQ410" s="172"/>
      <c r="SBR410" s="172"/>
      <c r="SBS410" s="172"/>
      <c r="SBT410" s="172"/>
      <c r="SBU410" s="172"/>
      <c r="SBV410" s="172"/>
      <c r="SBW410" s="172"/>
      <c r="SBX410" s="172"/>
      <c r="SBY410" s="172"/>
      <c r="SBZ410" s="172"/>
      <c r="SCA410" s="172"/>
      <c r="SCB410" s="172"/>
      <c r="SCC410" s="172"/>
      <c r="SCD410" s="172"/>
      <c r="SCE410" s="172"/>
      <c r="SCF410" s="172"/>
      <c r="SCG410" s="172"/>
      <c r="SCH410" s="172"/>
      <c r="SCI410" s="172"/>
      <c r="SCJ410" s="172"/>
      <c r="SCK410" s="172"/>
      <c r="SCL410" s="172"/>
      <c r="SCM410" s="172"/>
      <c r="SCN410" s="172"/>
      <c r="SCO410" s="172"/>
      <c r="SCP410" s="172"/>
      <c r="SCQ410" s="172"/>
      <c r="SCR410" s="172"/>
      <c r="SCS410" s="172"/>
      <c r="SCT410" s="172"/>
      <c r="SCU410" s="172"/>
      <c r="SCV410" s="172"/>
      <c r="SCW410" s="172"/>
      <c r="SCX410" s="172"/>
      <c r="SCY410" s="172"/>
      <c r="SCZ410" s="172"/>
      <c r="SDA410" s="172"/>
      <c r="SDB410" s="172"/>
      <c r="SDC410" s="172"/>
      <c r="SDD410" s="172"/>
      <c r="SDE410" s="172"/>
      <c r="SDF410" s="172"/>
      <c r="SDG410" s="172"/>
      <c r="SDH410" s="172"/>
      <c r="SDI410" s="172"/>
      <c r="SDJ410" s="172"/>
      <c r="SDK410" s="172"/>
      <c r="SDL410" s="172"/>
      <c r="SDM410" s="172"/>
      <c r="SDN410" s="172"/>
      <c r="SDO410" s="172"/>
      <c r="SDP410" s="172"/>
      <c r="SDQ410" s="172"/>
      <c r="SDR410" s="172"/>
      <c r="SDS410" s="172"/>
      <c r="SDT410" s="172"/>
      <c r="SDU410" s="172"/>
      <c r="SDV410" s="172"/>
      <c r="SDW410" s="172"/>
      <c r="SDX410" s="172"/>
      <c r="SDY410" s="172"/>
      <c r="SDZ410" s="172"/>
      <c r="SEA410" s="172"/>
      <c r="SEB410" s="172"/>
      <c r="SEC410" s="172"/>
      <c r="SED410" s="172"/>
      <c r="SEE410" s="172"/>
      <c r="SEF410" s="172"/>
      <c r="SEG410" s="172"/>
      <c r="SEH410" s="172"/>
      <c r="SEI410" s="172"/>
      <c r="SEJ410" s="172"/>
      <c r="SEK410" s="172"/>
      <c r="SEL410" s="172"/>
      <c r="SEM410" s="172"/>
      <c r="SEN410" s="172"/>
      <c r="SEO410" s="172"/>
      <c r="SEP410" s="172"/>
      <c r="SEQ410" s="172"/>
      <c r="SER410" s="172"/>
      <c r="SES410" s="172"/>
      <c r="SET410" s="172"/>
      <c r="SEU410" s="172"/>
      <c r="SEV410" s="172"/>
      <c r="SEW410" s="172"/>
      <c r="SEX410" s="172"/>
      <c r="SEY410" s="172"/>
      <c r="SEZ410" s="172"/>
      <c r="SFA410" s="172"/>
      <c r="SFB410" s="172"/>
      <c r="SFC410" s="172"/>
      <c r="SFD410" s="172"/>
      <c r="SFE410" s="172"/>
      <c r="SFF410" s="172"/>
      <c r="SFG410" s="172"/>
      <c r="SFH410" s="172"/>
      <c r="SFI410" s="172"/>
      <c r="SFJ410" s="172"/>
      <c r="SFK410" s="172"/>
      <c r="SFL410" s="172"/>
      <c r="SFM410" s="172"/>
      <c r="SFN410" s="172"/>
      <c r="SFO410" s="172"/>
      <c r="SFP410" s="172"/>
      <c r="SFQ410" s="172"/>
      <c r="SFR410" s="172"/>
      <c r="SFS410" s="172"/>
      <c r="SFT410" s="172"/>
      <c r="SFU410" s="172"/>
      <c r="SFV410" s="172"/>
      <c r="SFW410" s="172"/>
      <c r="SFX410" s="172"/>
      <c r="SFY410" s="172"/>
      <c r="SFZ410" s="172"/>
      <c r="SGA410" s="172"/>
      <c r="SGB410" s="172"/>
      <c r="SGC410" s="172"/>
      <c r="SGD410" s="172"/>
      <c r="SGE410" s="172"/>
      <c r="SGF410" s="172"/>
      <c r="SGG410" s="172"/>
      <c r="SGH410" s="172"/>
      <c r="SGI410" s="172"/>
      <c r="SGJ410" s="172"/>
      <c r="SGK410" s="172"/>
      <c r="SGL410" s="172"/>
      <c r="SGM410" s="172"/>
      <c r="SGN410" s="172"/>
      <c r="SGO410" s="172"/>
      <c r="SGP410" s="172"/>
      <c r="SGQ410" s="172"/>
      <c r="SGR410" s="172"/>
      <c r="SGS410" s="172"/>
      <c r="SGT410" s="172"/>
      <c r="SGU410" s="172"/>
      <c r="SGV410" s="172"/>
      <c r="SGW410" s="172"/>
      <c r="SGX410" s="172"/>
      <c r="SGY410" s="172"/>
      <c r="SGZ410" s="172"/>
      <c r="SHA410" s="172"/>
      <c r="SHB410" s="172"/>
      <c r="SHC410" s="172"/>
      <c r="SHD410" s="172"/>
      <c r="SHE410" s="172"/>
      <c r="SHF410" s="172"/>
      <c r="SHG410" s="172"/>
      <c r="SHH410" s="172"/>
      <c r="SHI410" s="172"/>
      <c r="SHJ410" s="172"/>
      <c r="SHK410" s="172"/>
      <c r="SHL410" s="172"/>
      <c r="SHM410" s="172"/>
      <c r="SHN410" s="172"/>
      <c r="SHO410" s="172"/>
      <c r="SHP410" s="172"/>
      <c r="SHQ410" s="172"/>
      <c r="SHR410" s="172"/>
      <c r="SHS410" s="172"/>
      <c r="SHT410" s="172"/>
      <c r="SHU410" s="172"/>
      <c r="SHV410" s="172"/>
      <c r="SHW410" s="172"/>
      <c r="SHX410" s="172"/>
      <c r="SHY410" s="172"/>
      <c r="SHZ410" s="172"/>
      <c r="SIA410" s="172"/>
      <c r="SIB410" s="172"/>
      <c r="SIC410" s="172"/>
      <c r="SID410" s="172"/>
      <c r="SIE410" s="172"/>
      <c r="SIF410" s="172"/>
      <c r="SIG410" s="172"/>
      <c r="SIH410" s="172"/>
      <c r="SII410" s="172"/>
      <c r="SIJ410" s="172"/>
      <c r="SIK410" s="172"/>
      <c r="SIL410" s="172"/>
      <c r="SIM410" s="172"/>
      <c r="SIN410" s="172"/>
      <c r="SIO410" s="172"/>
      <c r="SIP410" s="172"/>
      <c r="SIQ410" s="172"/>
      <c r="SIR410" s="172"/>
      <c r="SIS410" s="172"/>
      <c r="SIT410" s="172"/>
      <c r="SIU410" s="172"/>
      <c r="SIV410" s="172"/>
      <c r="SIW410" s="172"/>
      <c r="SIX410" s="172"/>
      <c r="SIY410" s="172"/>
      <c r="SIZ410" s="172"/>
      <c r="SJA410" s="172"/>
      <c r="SJB410" s="172"/>
      <c r="SJC410" s="172"/>
      <c r="SJD410" s="172"/>
      <c r="SJE410" s="172"/>
      <c r="SJF410" s="172"/>
      <c r="SJG410" s="172"/>
      <c r="SJH410" s="172"/>
      <c r="SJI410" s="172"/>
      <c r="SJJ410" s="172"/>
      <c r="SJK410" s="172"/>
      <c r="SJL410" s="172"/>
      <c r="SJM410" s="172"/>
      <c r="SJN410" s="172"/>
      <c r="SJO410" s="172"/>
      <c r="SJP410" s="172"/>
      <c r="SJQ410" s="172"/>
      <c r="SJR410" s="172"/>
      <c r="SJS410" s="172"/>
      <c r="SJT410" s="172"/>
      <c r="SJU410" s="172"/>
      <c r="SJV410" s="172"/>
      <c r="SJW410" s="172"/>
      <c r="SJX410" s="172"/>
      <c r="SJY410" s="172"/>
      <c r="SJZ410" s="172"/>
      <c r="SKA410" s="172"/>
      <c r="SKB410" s="172"/>
      <c r="SKC410" s="172"/>
      <c r="SKD410" s="172"/>
      <c r="SKE410" s="172"/>
      <c r="SKF410" s="172"/>
      <c r="SKG410" s="172"/>
      <c r="SKH410" s="172"/>
      <c r="SKI410" s="172"/>
      <c r="SKJ410" s="172"/>
      <c r="SKK410" s="172"/>
      <c r="SKL410" s="172"/>
      <c r="SKM410" s="172"/>
      <c r="SKN410" s="172"/>
      <c r="SKO410" s="172"/>
      <c r="SKP410" s="172"/>
      <c r="SKQ410" s="172"/>
      <c r="SKR410" s="172"/>
      <c r="SKS410" s="172"/>
      <c r="SKT410" s="172"/>
      <c r="SKU410" s="172"/>
      <c r="SKV410" s="172"/>
      <c r="SKW410" s="172"/>
      <c r="SKX410" s="172"/>
      <c r="SKY410" s="172"/>
      <c r="SKZ410" s="172"/>
      <c r="SLA410" s="172"/>
      <c r="SLB410" s="172"/>
      <c r="SLC410" s="172"/>
      <c r="SLD410" s="172"/>
      <c r="SLE410" s="172"/>
      <c r="SLF410" s="172"/>
      <c r="SLG410" s="172"/>
      <c r="SLH410" s="172"/>
      <c r="SLI410" s="172"/>
      <c r="SLJ410" s="172"/>
      <c r="SLK410" s="172"/>
      <c r="SLL410" s="172"/>
      <c r="SLM410" s="172"/>
      <c r="SLN410" s="172"/>
      <c r="SLO410" s="172"/>
      <c r="SLP410" s="172"/>
      <c r="SLQ410" s="172"/>
      <c r="SLR410" s="172"/>
      <c r="SLS410" s="172"/>
      <c r="SLT410" s="172"/>
      <c r="SLU410" s="172"/>
      <c r="SLV410" s="172"/>
      <c r="SLW410" s="172"/>
      <c r="SLX410" s="172"/>
      <c r="SLY410" s="172"/>
      <c r="SLZ410" s="172"/>
      <c r="SMA410" s="172"/>
      <c r="SMB410" s="172"/>
      <c r="SMC410" s="172"/>
      <c r="SMD410" s="172"/>
      <c r="SME410" s="172"/>
      <c r="SMF410" s="172"/>
      <c r="SMG410" s="172"/>
      <c r="SMH410" s="172"/>
      <c r="SMI410" s="172"/>
      <c r="SMJ410" s="172"/>
      <c r="SMK410" s="172"/>
      <c r="SML410" s="172"/>
      <c r="SMM410" s="172"/>
      <c r="SMN410" s="172"/>
      <c r="SMO410" s="172"/>
      <c r="SMP410" s="172"/>
      <c r="SMQ410" s="172"/>
      <c r="SMR410" s="172"/>
      <c r="SMS410" s="172"/>
      <c r="SMT410" s="172"/>
      <c r="SMU410" s="172"/>
      <c r="SMV410" s="172"/>
      <c r="SMW410" s="172"/>
      <c r="SMX410" s="172"/>
      <c r="SMY410" s="172"/>
      <c r="SMZ410" s="172"/>
      <c r="SNA410" s="172"/>
      <c r="SNB410" s="172"/>
      <c r="SNC410" s="172"/>
      <c r="SND410" s="172"/>
      <c r="SNE410" s="172"/>
      <c r="SNF410" s="172"/>
      <c r="SNG410" s="172"/>
      <c r="SNH410" s="172"/>
      <c r="SNI410" s="172"/>
      <c r="SNJ410" s="172"/>
      <c r="SNK410" s="172"/>
      <c r="SNL410" s="172"/>
      <c r="SNM410" s="172"/>
      <c r="SNN410" s="172"/>
      <c r="SNO410" s="172"/>
      <c r="SNP410" s="172"/>
      <c r="SNQ410" s="172"/>
      <c r="SNR410" s="172"/>
      <c r="SNS410" s="172"/>
      <c r="SNT410" s="172"/>
      <c r="SNU410" s="172"/>
      <c r="SNV410" s="172"/>
      <c r="SNW410" s="172"/>
      <c r="SNX410" s="172"/>
      <c r="SNY410" s="172"/>
      <c r="SNZ410" s="172"/>
      <c r="SOA410" s="172"/>
      <c r="SOB410" s="172"/>
      <c r="SOC410" s="172"/>
      <c r="SOD410" s="172"/>
      <c r="SOE410" s="172"/>
      <c r="SOF410" s="172"/>
      <c r="SOG410" s="172"/>
      <c r="SOH410" s="172"/>
      <c r="SOI410" s="172"/>
      <c r="SOJ410" s="172"/>
      <c r="SOK410" s="172"/>
      <c r="SOL410" s="172"/>
      <c r="SOM410" s="172"/>
      <c r="SON410" s="172"/>
      <c r="SOO410" s="172"/>
      <c r="SOP410" s="172"/>
      <c r="SOQ410" s="172"/>
      <c r="SOR410" s="172"/>
      <c r="SOS410" s="172"/>
      <c r="SOT410" s="172"/>
      <c r="SOU410" s="172"/>
      <c r="SOV410" s="172"/>
      <c r="SOW410" s="172"/>
      <c r="SOX410" s="172"/>
      <c r="SOY410" s="172"/>
      <c r="SOZ410" s="172"/>
      <c r="SPA410" s="172"/>
      <c r="SPB410" s="172"/>
      <c r="SPC410" s="172"/>
      <c r="SPD410" s="172"/>
      <c r="SPE410" s="172"/>
      <c r="SPF410" s="172"/>
      <c r="SPG410" s="172"/>
      <c r="SPH410" s="172"/>
      <c r="SPI410" s="172"/>
      <c r="SPJ410" s="172"/>
      <c r="SPK410" s="172"/>
      <c r="SPL410" s="172"/>
      <c r="SPM410" s="172"/>
      <c r="SPN410" s="172"/>
      <c r="SPO410" s="172"/>
      <c r="SPP410" s="172"/>
      <c r="SPQ410" s="172"/>
      <c r="SPR410" s="172"/>
      <c r="SPS410" s="172"/>
      <c r="SPT410" s="172"/>
      <c r="SPU410" s="172"/>
      <c r="SPV410" s="172"/>
      <c r="SPW410" s="172"/>
      <c r="SPX410" s="172"/>
      <c r="SPY410" s="172"/>
      <c r="SPZ410" s="172"/>
      <c r="SQA410" s="172"/>
      <c r="SQB410" s="172"/>
      <c r="SQC410" s="172"/>
      <c r="SQD410" s="172"/>
      <c r="SQE410" s="172"/>
      <c r="SQF410" s="172"/>
      <c r="SQG410" s="172"/>
      <c r="SQH410" s="172"/>
      <c r="SQI410" s="172"/>
      <c r="SQJ410" s="172"/>
      <c r="SQK410" s="172"/>
      <c r="SQL410" s="172"/>
      <c r="SQM410" s="172"/>
      <c r="SQN410" s="172"/>
      <c r="SQO410" s="172"/>
      <c r="SQP410" s="172"/>
      <c r="SQQ410" s="172"/>
      <c r="SQR410" s="172"/>
      <c r="SQS410" s="172"/>
      <c r="SQT410" s="172"/>
      <c r="SQU410" s="172"/>
      <c r="SQV410" s="172"/>
      <c r="SQW410" s="172"/>
      <c r="SQX410" s="172"/>
      <c r="SQY410" s="172"/>
      <c r="SQZ410" s="172"/>
      <c r="SRA410" s="172"/>
      <c r="SRB410" s="172"/>
      <c r="SRC410" s="172"/>
      <c r="SRD410" s="172"/>
      <c r="SRE410" s="172"/>
      <c r="SRF410" s="172"/>
      <c r="SRG410" s="172"/>
      <c r="SRH410" s="172"/>
      <c r="SRI410" s="172"/>
      <c r="SRJ410" s="172"/>
      <c r="SRK410" s="172"/>
      <c r="SRL410" s="172"/>
      <c r="SRM410" s="172"/>
      <c r="SRN410" s="172"/>
      <c r="SRO410" s="172"/>
      <c r="SRP410" s="172"/>
      <c r="SRQ410" s="172"/>
      <c r="SRR410" s="172"/>
      <c r="SRS410" s="172"/>
      <c r="SRT410" s="172"/>
      <c r="SRU410" s="172"/>
      <c r="SRV410" s="172"/>
      <c r="SRW410" s="172"/>
      <c r="SRX410" s="172"/>
      <c r="SRY410" s="172"/>
      <c r="SRZ410" s="172"/>
      <c r="SSA410" s="172"/>
      <c r="SSB410" s="172"/>
      <c r="SSC410" s="172"/>
      <c r="SSD410" s="172"/>
      <c r="SSE410" s="172"/>
      <c r="SSF410" s="172"/>
      <c r="SSG410" s="172"/>
      <c r="SSH410" s="172"/>
      <c r="SSI410" s="172"/>
      <c r="SSJ410" s="172"/>
      <c r="SSK410" s="172"/>
      <c r="SSL410" s="172"/>
      <c r="SSM410" s="172"/>
      <c r="SSN410" s="172"/>
      <c r="SSO410" s="172"/>
      <c r="SSP410" s="172"/>
      <c r="SSQ410" s="172"/>
      <c r="SSR410" s="172"/>
      <c r="SSS410" s="172"/>
      <c r="SST410" s="172"/>
      <c r="SSU410" s="172"/>
      <c r="SSV410" s="172"/>
      <c r="SSW410" s="172"/>
      <c r="SSX410" s="172"/>
      <c r="SSY410" s="172"/>
      <c r="SSZ410" s="172"/>
      <c r="STA410" s="172"/>
      <c r="STB410" s="172"/>
      <c r="STC410" s="172"/>
      <c r="STD410" s="172"/>
      <c r="STE410" s="172"/>
      <c r="STF410" s="172"/>
      <c r="STG410" s="172"/>
      <c r="STH410" s="172"/>
      <c r="STI410" s="172"/>
      <c r="STJ410" s="172"/>
      <c r="STK410" s="172"/>
      <c r="STL410" s="172"/>
      <c r="STM410" s="172"/>
      <c r="STN410" s="172"/>
      <c r="STO410" s="172"/>
      <c r="STP410" s="172"/>
      <c r="STQ410" s="172"/>
      <c r="STR410" s="172"/>
      <c r="STS410" s="172"/>
      <c r="STT410" s="172"/>
      <c r="STU410" s="172"/>
      <c r="STV410" s="172"/>
      <c r="STW410" s="172"/>
      <c r="STX410" s="172"/>
      <c r="STY410" s="172"/>
      <c r="STZ410" s="172"/>
      <c r="SUA410" s="172"/>
      <c r="SUB410" s="172"/>
      <c r="SUC410" s="172"/>
      <c r="SUD410" s="172"/>
      <c r="SUE410" s="172"/>
      <c r="SUF410" s="172"/>
      <c r="SUG410" s="172"/>
      <c r="SUH410" s="172"/>
      <c r="SUI410" s="172"/>
      <c r="SUJ410" s="172"/>
      <c r="SUK410" s="172"/>
      <c r="SUL410" s="172"/>
      <c r="SUM410" s="172"/>
      <c r="SUN410" s="172"/>
      <c r="SUO410" s="172"/>
      <c r="SUP410" s="172"/>
      <c r="SUQ410" s="172"/>
      <c r="SUR410" s="172"/>
      <c r="SUS410" s="172"/>
      <c r="SUT410" s="172"/>
      <c r="SUU410" s="172"/>
      <c r="SUV410" s="172"/>
      <c r="SUW410" s="172"/>
      <c r="SUX410" s="172"/>
      <c r="SUY410" s="172"/>
      <c r="SUZ410" s="172"/>
      <c r="SVA410" s="172"/>
      <c r="SVB410" s="172"/>
      <c r="SVC410" s="172"/>
      <c r="SVD410" s="172"/>
      <c r="SVE410" s="172"/>
      <c r="SVF410" s="172"/>
      <c r="SVG410" s="172"/>
      <c r="SVH410" s="172"/>
      <c r="SVI410" s="172"/>
      <c r="SVJ410" s="172"/>
      <c r="SVK410" s="172"/>
      <c r="SVL410" s="172"/>
      <c r="SVM410" s="172"/>
      <c r="SVN410" s="172"/>
      <c r="SVO410" s="172"/>
      <c r="SVP410" s="172"/>
      <c r="SVQ410" s="172"/>
      <c r="SVR410" s="172"/>
      <c r="SVS410" s="172"/>
      <c r="SVT410" s="172"/>
      <c r="SVU410" s="172"/>
      <c r="SVV410" s="172"/>
      <c r="SVW410" s="172"/>
      <c r="SVX410" s="172"/>
      <c r="SVY410" s="172"/>
      <c r="SVZ410" s="172"/>
      <c r="SWA410" s="172"/>
      <c r="SWB410" s="172"/>
      <c r="SWC410" s="172"/>
      <c r="SWD410" s="172"/>
      <c r="SWE410" s="172"/>
      <c r="SWF410" s="172"/>
      <c r="SWG410" s="172"/>
      <c r="SWH410" s="172"/>
      <c r="SWI410" s="172"/>
      <c r="SWJ410" s="172"/>
      <c r="SWK410" s="172"/>
      <c r="SWL410" s="172"/>
      <c r="SWM410" s="172"/>
      <c r="SWN410" s="172"/>
      <c r="SWO410" s="172"/>
      <c r="SWP410" s="172"/>
      <c r="SWQ410" s="172"/>
      <c r="SWR410" s="172"/>
      <c r="SWS410" s="172"/>
      <c r="SWT410" s="172"/>
      <c r="SWU410" s="172"/>
      <c r="SWV410" s="172"/>
      <c r="SWW410" s="172"/>
      <c r="SWX410" s="172"/>
      <c r="SWY410" s="172"/>
      <c r="SWZ410" s="172"/>
      <c r="SXA410" s="172"/>
      <c r="SXB410" s="172"/>
      <c r="SXC410" s="172"/>
      <c r="SXD410" s="172"/>
      <c r="SXE410" s="172"/>
      <c r="SXF410" s="172"/>
      <c r="SXG410" s="172"/>
      <c r="SXH410" s="172"/>
      <c r="SXI410" s="172"/>
      <c r="SXJ410" s="172"/>
      <c r="SXK410" s="172"/>
      <c r="SXL410" s="172"/>
      <c r="SXM410" s="172"/>
      <c r="SXN410" s="172"/>
      <c r="SXO410" s="172"/>
      <c r="SXP410" s="172"/>
      <c r="SXQ410" s="172"/>
      <c r="SXR410" s="172"/>
      <c r="SXS410" s="172"/>
      <c r="SXT410" s="172"/>
      <c r="SXU410" s="172"/>
      <c r="SXV410" s="172"/>
      <c r="SXW410" s="172"/>
      <c r="SXX410" s="172"/>
      <c r="SXY410" s="172"/>
      <c r="SXZ410" s="172"/>
      <c r="SYA410" s="172"/>
      <c r="SYB410" s="172"/>
      <c r="SYC410" s="172"/>
      <c r="SYD410" s="172"/>
      <c r="SYE410" s="172"/>
      <c r="SYF410" s="172"/>
      <c r="SYG410" s="172"/>
      <c r="SYH410" s="172"/>
      <c r="SYI410" s="172"/>
      <c r="SYJ410" s="172"/>
      <c r="SYK410" s="172"/>
      <c r="SYL410" s="172"/>
      <c r="SYM410" s="172"/>
      <c r="SYN410" s="172"/>
      <c r="SYO410" s="172"/>
      <c r="SYP410" s="172"/>
      <c r="SYQ410" s="172"/>
      <c r="SYR410" s="172"/>
      <c r="SYS410" s="172"/>
      <c r="SYT410" s="172"/>
      <c r="SYU410" s="172"/>
      <c r="SYV410" s="172"/>
      <c r="SYW410" s="172"/>
      <c r="SYX410" s="172"/>
      <c r="SYY410" s="172"/>
      <c r="SYZ410" s="172"/>
      <c r="SZA410" s="172"/>
      <c r="SZB410" s="172"/>
      <c r="SZC410" s="172"/>
      <c r="SZD410" s="172"/>
      <c r="SZE410" s="172"/>
      <c r="SZF410" s="172"/>
      <c r="SZG410" s="172"/>
      <c r="SZH410" s="172"/>
      <c r="SZI410" s="172"/>
      <c r="SZJ410" s="172"/>
      <c r="SZK410" s="172"/>
      <c r="SZL410" s="172"/>
      <c r="SZM410" s="172"/>
      <c r="SZN410" s="172"/>
      <c r="SZO410" s="172"/>
      <c r="SZP410" s="172"/>
      <c r="SZQ410" s="172"/>
      <c r="SZR410" s="172"/>
      <c r="SZS410" s="172"/>
      <c r="SZT410" s="172"/>
      <c r="SZU410" s="172"/>
      <c r="SZV410" s="172"/>
      <c r="SZW410" s="172"/>
      <c r="SZX410" s="172"/>
      <c r="SZY410" s="172"/>
      <c r="SZZ410" s="172"/>
      <c r="TAA410" s="172"/>
      <c r="TAB410" s="172"/>
      <c r="TAC410" s="172"/>
      <c r="TAD410" s="172"/>
      <c r="TAE410" s="172"/>
      <c r="TAF410" s="172"/>
      <c r="TAG410" s="172"/>
      <c r="TAH410" s="172"/>
      <c r="TAI410" s="172"/>
      <c r="TAJ410" s="172"/>
      <c r="TAK410" s="172"/>
      <c r="TAL410" s="172"/>
      <c r="TAM410" s="172"/>
      <c r="TAN410" s="172"/>
      <c r="TAO410" s="172"/>
      <c r="TAP410" s="172"/>
      <c r="TAQ410" s="172"/>
      <c r="TAR410" s="172"/>
      <c r="TAS410" s="172"/>
      <c r="TAT410" s="172"/>
      <c r="TAU410" s="172"/>
      <c r="TAV410" s="172"/>
      <c r="TAW410" s="172"/>
      <c r="TAX410" s="172"/>
      <c r="TAY410" s="172"/>
      <c r="TAZ410" s="172"/>
      <c r="TBA410" s="172"/>
      <c r="TBB410" s="172"/>
      <c r="TBC410" s="172"/>
      <c r="TBD410" s="172"/>
      <c r="TBE410" s="172"/>
      <c r="TBF410" s="172"/>
      <c r="TBG410" s="172"/>
      <c r="TBH410" s="172"/>
      <c r="TBI410" s="172"/>
      <c r="TBJ410" s="172"/>
      <c r="TBK410" s="172"/>
      <c r="TBL410" s="172"/>
      <c r="TBM410" s="172"/>
      <c r="TBN410" s="172"/>
      <c r="TBO410" s="172"/>
      <c r="TBP410" s="172"/>
      <c r="TBQ410" s="172"/>
      <c r="TBR410" s="172"/>
      <c r="TBS410" s="172"/>
      <c r="TBT410" s="172"/>
      <c r="TBU410" s="172"/>
      <c r="TBV410" s="172"/>
      <c r="TBW410" s="172"/>
      <c r="TBX410" s="172"/>
      <c r="TBY410" s="172"/>
      <c r="TBZ410" s="172"/>
      <c r="TCA410" s="172"/>
      <c r="TCB410" s="172"/>
      <c r="TCC410" s="172"/>
      <c r="TCD410" s="172"/>
      <c r="TCE410" s="172"/>
      <c r="TCF410" s="172"/>
      <c r="TCG410" s="172"/>
      <c r="TCH410" s="172"/>
      <c r="TCI410" s="172"/>
      <c r="TCJ410" s="172"/>
      <c r="TCK410" s="172"/>
      <c r="TCL410" s="172"/>
      <c r="TCM410" s="172"/>
      <c r="TCN410" s="172"/>
      <c r="TCO410" s="172"/>
      <c r="TCP410" s="172"/>
      <c r="TCQ410" s="172"/>
      <c r="TCR410" s="172"/>
      <c r="TCS410" s="172"/>
      <c r="TCT410" s="172"/>
      <c r="TCU410" s="172"/>
      <c r="TCV410" s="172"/>
      <c r="TCW410" s="172"/>
      <c r="TCX410" s="172"/>
      <c r="TCY410" s="172"/>
      <c r="TCZ410" s="172"/>
      <c r="TDA410" s="172"/>
      <c r="TDB410" s="172"/>
      <c r="TDC410" s="172"/>
      <c r="TDD410" s="172"/>
      <c r="TDE410" s="172"/>
      <c r="TDF410" s="172"/>
      <c r="TDG410" s="172"/>
      <c r="TDH410" s="172"/>
      <c r="TDI410" s="172"/>
      <c r="TDJ410" s="172"/>
      <c r="TDK410" s="172"/>
      <c r="TDL410" s="172"/>
      <c r="TDM410" s="172"/>
      <c r="TDN410" s="172"/>
      <c r="TDO410" s="172"/>
      <c r="TDP410" s="172"/>
      <c r="TDQ410" s="172"/>
      <c r="TDR410" s="172"/>
      <c r="TDS410" s="172"/>
      <c r="TDT410" s="172"/>
      <c r="TDU410" s="172"/>
      <c r="TDV410" s="172"/>
      <c r="TDW410" s="172"/>
      <c r="TDX410" s="172"/>
      <c r="TDY410" s="172"/>
      <c r="TDZ410" s="172"/>
      <c r="TEA410" s="172"/>
      <c r="TEB410" s="172"/>
      <c r="TEC410" s="172"/>
      <c r="TED410" s="172"/>
      <c r="TEE410" s="172"/>
      <c r="TEF410" s="172"/>
      <c r="TEG410" s="172"/>
      <c r="TEH410" s="172"/>
      <c r="TEI410" s="172"/>
      <c r="TEJ410" s="172"/>
      <c r="TEK410" s="172"/>
      <c r="TEL410" s="172"/>
      <c r="TEM410" s="172"/>
      <c r="TEN410" s="172"/>
      <c r="TEO410" s="172"/>
      <c r="TEP410" s="172"/>
      <c r="TEQ410" s="172"/>
      <c r="TER410" s="172"/>
      <c r="TES410" s="172"/>
      <c r="TET410" s="172"/>
      <c r="TEU410" s="172"/>
      <c r="TEV410" s="172"/>
      <c r="TEW410" s="172"/>
      <c r="TEX410" s="172"/>
      <c r="TEY410" s="172"/>
      <c r="TEZ410" s="172"/>
      <c r="TFA410" s="172"/>
      <c r="TFB410" s="172"/>
      <c r="TFC410" s="172"/>
      <c r="TFD410" s="172"/>
      <c r="TFE410" s="172"/>
      <c r="TFF410" s="172"/>
      <c r="TFG410" s="172"/>
      <c r="TFH410" s="172"/>
      <c r="TFI410" s="172"/>
      <c r="TFJ410" s="172"/>
      <c r="TFK410" s="172"/>
      <c r="TFL410" s="172"/>
      <c r="TFM410" s="172"/>
      <c r="TFN410" s="172"/>
      <c r="TFO410" s="172"/>
      <c r="TFP410" s="172"/>
      <c r="TFQ410" s="172"/>
      <c r="TFR410" s="172"/>
      <c r="TFS410" s="172"/>
      <c r="TFT410" s="172"/>
      <c r="TFU410" s="172"/>
      <c r="TFV410" s="172"/>
      <c r="TFW410" s="172"/>
      <c r="TFX410" s="172"/>
      <c r="TFY410" s="172"/>
      <c r="TFZ410" s="172"/>
      <c r="TGA410" s="172"/>
      <c r="TGB410" s="172"/>
      <c r="TGC410" s="172"/>
      <c r="TGD410" s="172"/>
      <c r="TGE410" s="172"/>
      <c r="TGF410" s="172"/>
      <c r="TGG410" s="172"/>
      <c r="TGH410" s="172"/>
      <c r="TGI410" s="172"/>
      <c r="TGJ410" s="172"/>
      <c r="TGK410" s="172"/>
      <c r="TGL410" s="172"/>
      <c r="TGM410" s="172"/>
      <c r="TGN410" s="172"/>
      <c r="TGO410" s="172"/>
      <c r="TGP410" s="172"/>
      <c r="TGQ410" s="172"/>
      <c r="TGR410" s="172"/>
      <c r="TGS410" s="172"/>
      <c r="TGT410" s="172"/>
      <c r="TGU410" s="172"/>
      <c r="TGV410" s="172"/>
      <c r="TGW410" s="172"/>
      <c r="TGX410" s="172"/>
      <c r="TGY410" s="172"/>
      <c r="TGZ410" s="172"/>
      <c r="THA410" s="172"/>
      <c r="THB410" s="172"/>
      <c r="THC410" s="172"/>
      <c r="THD410" s="172"/>
      <c r="THE410" s="172"/>
      <c r="THF410" s="172"/>
      <c r="THG410" s="172"/>
      <c r="THH410" s="172"/>
      <c r="THI410" s="172"/>
      <c r="THJ410" s="172"/>
      <c r="THK410" s="172"/>
      <c r="THL410" s="172"/>
      <c r="THM410" s="172"/>
      <c r="THN410" s="172"/>
      <c r="THO410" s="172"/>
      <c r="THP410" s="172"/>
      <c r="THQ410" s="172"/>
      <c r="THR410" s="172"/>
      <c r="THS410" s="172"/>
      <c r="THT410" s="172"/>
      <c r="THU410" s="172"/>
      <c r="THV410" s="172"/>
      <c r="THW410" s="172"/>
      <c r="THX410" s="172"/>
      <c r="THY410" s="172"/>
      <c r="THZ410" s="172"/>
      <c r="TIA410" s="172"/>
      <c r="TIB410" s="172"/>
      <c r="TIC410" s="172"/>
      <c r="TID410" s="172"/>
      <c r="TIE410" s="172"/>
      <c r="TIF410" s="172"/>
      <c r="TIG410" s="172"/>
      <c r="TIH410" s="172"/>
      <c r="TII410" s="172"/>
      <c r="TIJ410" s="172"/>
      <c r="TIK410" s="172"/>
      <c r="TIL410" s="172"/>
      <c r="TIM410" s="172"/>
      <c r="TIN410" s="172"/>
      <c r="TIO410" s="172"/>
      <c r="TIP410" s="172"/>
      <c r="TIQ410" s="172"/>
      <c r="TIR410" s="172"/>
      <c r="TIS410" s="172"/>
      <c r="TIT410" s="172"/>
      <c r="TIU410" s="172"/>
      <c r="TIV410" s="172"/>
      <c r="TIW410" s="172"/>
      <c r="TIX410" s="172"/>
      <c r="TIY410" s="172"/>
      <c r="TIZ410" s="172"/>
      <c r="TJA410" s="172"/>
      <c r="TJB410" s="172"/>
      <c r="TJC410" s="172"/>
      <c r="TJD410" s="172"/>
      <c r="TJE410" s="172"/>
      <c r="TJF410" s="172"/>
      <c r="TJG410" s="172"/>
      <c r="TJH410" s="172"/>
      <c r="TJI410" s="172"/>
      <c r="TJJ410" s="172"/>
      <c r="TJK410" s="172"/>
      <c r="TJL410" s="172"/>
      <c r="TJM410" s="172"/>
      <c r="TJN410" s="172"/>
      <c r="TJO410" s="172"/>
      <c r="TJP410" s="172"/>
      <c r="TJQ410" s="172"/>
      <c r="TJR410" s="172"/>
      <c r="TJS410" s="172"/>
      <c r="TJT410" s="172"/>
      <c r="TJU410" s="172"/>
      <c r="TJV410" s="172"/>
      <c r="TJW410" s="172"/>
      <c r="TJX410" s="172"/>
      <c r="TJY410" s="172"/>
      <c r="TJZ410" s="172"/>
      <c r="TKA410" s="172"/>
      <c r="TKB410" s="172"/>
      <c r="TKC410" s="172"/>
      <c r="TKD410" s="172"/>
      <c r="TKE410" s="172"/>
      <c r="TKF410" s="172"/>
      <c r="TKG410" s="172"/>
      <c r="TKH410" s="172"/>
      <c r="TKI410" s="172"/>
      <c r="TKJ410" s="172"/>
      <c r="TKK410" s="172"/>
      <c r="TKL410" s="172"/>
      <c r="TKM410" s="172"/>
      <c r="TKN410" s="172"/>
      <c r="TKO410" s="172"/>
      <c r="TKP410" s="172"/>
      <c r="TKQ410" s="172"/>
      <c r="TKR410" s="172"/>
      <c r="TKS410" s="172"/>
      <c r="TKT410" s="172"/>
      <c r="TKU410" s="172"/>
      <c r="TKV410" s="172"/>
      <c r="TKW410" s="172"/>
      <c r="TKX410" s="172"/>
      <c r="TKY410" s="172"/>
      <c r="TKZ410" s="172"/>
      <c r="TLA410" s="172"/>
      <c r="TLB410" s="172"/>
      <c r="TLC410" s="172"/>
      <c r="TLD410" s="172"/>
      <c r="TLE410" s="172"/>
      <c r="TLF410" s="172"/>
      <c r="TLG410" s="172"/>
      <c r="TLH410" s="172"/>
      <c r="TLI410" s="172"/>
      <c r="TLJ410" s="172"/>
      <c r="TLK410" s="172"/>
      <c r="TLL410" s="172"/>
      <c r="TLM410" s="172"/>
      <c r="TLN410" s="172"/>
      <c r="TLO410" s="172"/>
      <c r="TLP410" s="172"/>
      <c r="TLQ410" s="172"/>
      <c r="TLR410" s="172"/>
      <c r="TLS410" s="172"/>
      <c r="TLT410" s="172"/>
      <c r="TLU410" s="172"/>
      <c r="TLV410" s="172"/>
      <c r="TLW410" s="172"/>
      <c r="TLX410" s="172"/>
      <c r="TLY410" s="172"/>
      <c r="TLZ410" s="172"/>
      <c r="TMA410" s="172"/>
      <c r="TMB410" s="172"/>
      <c r="TMC410" s="172"/>
      <c r="TMD410" s="172"/>
      <c r="TME410" s="172"/>
      <c r="TMF410" s="172"/>
      <c r="TMG410" s="172"/>
      <c r="TMH410" s="172"/>
      <c r="TMI410" s="172"/>
      <c r="TMJ410" s="172"/>
      <c r="TMK410" s="172"/>
      <c r="TML410" s="172"/>
      <c r="TMM410" s="172"/>
      <c r="TMN410" s="172"/>
      <c r="TMO410" s="172"/>
      <c r="TMP410" s="172"/>
      <c r="TMQ410" s="172"/>
      <c r="TMR410" s="172"/>
      <c r="TMS410" s="172"/>
      <c r="TMT410" s="172"/>
      <c r="TMU410" s="172"/>
      <c r="TMV410" s="172"/>
      <c r="TMW410" s="172"/>
      <c r="TMX410" s="172"/>
      <c r="TMY410" s="172"/>
      <c r="TMZ410" s="172"/>
      <c r="TNA410" s="172"/>
      <c r="TNB410" s="172"/>
      <c r="TNC410" s="172"/>
      <c r="TND410" s="172"/>
      <c r="TNE410" s="172"/>
      <c r="TNF410" s="172"/>
      <c r="TNG410" s="172"/>
      <c r="TNH410" s="172"/>
      <c r="TNI410" s="172"/>
      <c r="TNJ410" s="172"/>
      <c r="TNK410" s="172"/>
      <c r="TNL410" s="172"/>
      <c r="TNM410" s="172"/>
      <c r="TNN410" s="172"/>
      <c r="TNO410" s="172"/>
      <c r="TNP410" s="172"/>
      <c r="TNQ410" s="172"/>
      <c r="TNR410" s="172"/>
      <c r="TNS410" s="172"/>
      <c r="TNT410" s="172"/>
      <c r="TNU410" s="172"/>
      <c r="TNV410" s="172"/>
      <c r="TNW410" s="172"/>
      <c r="TNX410" s="172"/>
      <c r="TNY410" s="172"/>
      <c r="TNZ410" s="172"/>
      <c r="TOA410" s="172"/>
      <c r="TOB410" s="172"/>
      <c r="TOC410" s="172"/>
      <c r="TOD410" s="172"/>
      <c r="TOE410" s="172"/>
      <c r="TOF410" s="172"/>
      <c r="TOG410" s="172"/>
      <c r="TOH410" s="172"/>
      <c r="TOI410" s="172"/>
      <c r="TOJ410" s="172"/>
      <c r="TOK410" s="172"/>
      <c r="TOL410" s="172"/>
      <c r="TOM410" s="172"/>
      <c r="TON410" s="172"/>
      <c r="TOO410" s="172"/>
      <c r="TOP410" s="172"/>
      <c r="TOQ410" s="172"/>
      <c r="TOR410" s="172"/>
      <c r="TOS410" s="172"/>
      <c r="TOT410" s="172"/>
      <c r="TOU410" s="172"/>
      <c r="TOV410" s="172"/>
      <c r="TOW410" s="172"/>
      <c r="TOX410" s="172"/>
      <c r="TOY410" s="172"/>
      <c r="TOZ410" s="172"/>
      <c r="TPA410" s="172"/>
      <c r="TPB410" s="172"/>
      <c r="TPC410" s="172"/>
      <c r="TPD410" s="172"/>
      <c r="TPE410" s="172"/>
      <c r="TPF410" s="172"/>
      <c r="TPG410" s="172"/>
      <c r="TPH410" s="172"/>
      <c r="TPI410" s="172"/>
      <c r="TPJ410" s="172"/>
      <c r="TPK410" s="172"/>
      <c r="TPL410" s="172"/>
      <c r="TPM410" s="172"/>
      <c r="TPN410" s="172"/>
      <c r="TPO410" s="172"/>
      <c r="TPP410" s="172"/>
      <c r="TPQ410" s="172"/>
      <c r="TPR410" s="172"/>
      <c r="TPS410" s="172"/>
      <c r="TPT410" s="172"/>
      <c r="TPU410" s="172"/>
      <c r="TPV410" s="172"/>
      <c r="TPW410" s="172"/>
      <c r="TPX410" s="172"/>
      <c r="TPY410" s="172"/>
      <c r="TPZ410" s="172"/>
      <c r="TQA410" s="172"/>
      <c r="TQB410" s="172"/>
      <c r="TQC410" s="172"/>
      <c r="TQD410" s="172"/>
      <c r="TQE410" s="172"/>
      <c r="TQF410" s="172"/>
      <c r="TQG410" s="172"/>
      <c r="TQH410" s="172"/>
      <c r="TQI410" s="172"/>
      <c r="TQJ410" s="172"/>
      <c r="TQK410" s="172"/>
      <c r="TQL410" s="172"/>
      <c r="TQM410" s="172"/>
      <c r="TQN410" s="172"/>
      <c r="TQO410" s="172"/>
      <c r="TQP410" s="172"/>
      <c r="TQQ410" s="172"/>
      <c r="TQR410" s="172"/>
      <c r="TQS410" s="172"/>
      <c r="TQT410" s="172"/>
      <c r="TQU410" s="172"/>
      <c r="TQV410" s="172"/>
      <c r="TQW410" s="172"/>
      <c r="TQX410" s="172"/>
      <c r="TQY410" s="172"/>
      <c r="TQZ410" s="172"/>
      <c r="TRA410" s="172"/>
      <c r="TRB410" s="172"/>
      <c r="TRC410" s="172"/>
      <c r="TRD410" s="172"/>
      <c r="TRE410" s="172"/>
      <c r="TRF410" s="172"/>
      <c r="TRG410" s="172"/>
      <c r="TRH410" s="172"/>
      <c r="TRI410" s="172"/>
      <c r="TRJ410" s="172"/>
      <c r="TRK410" s="172"/>
      <c r="TRL410" s="172"/>
      <c r="TRM410" s="172"/>
      <c r="TRN410" s="172"/>
      <c r="TRO410" s="172"/>
      <c r="TRP410" s="172"/>
      <c r="TRQ410" s="172"/>
      <c r="TRR410" s="172"/>
      <c r="TRS410" s="172"/>
      <c r="TRT410" s="172"/>
      <c r="TRU410" s="172"/>
      <c r="TRV410" s="172"/>
      <c r="TRW410" s="172"/>
      <c r="TRX410" s="172"/>
      <c r="TRY410" s="172"/>
      <c r="TRZ410" s="172"/>
      <c r="TSA410" s="172"/>
      <c r="TSB410" s="172"/>
      <c r="TSC410" s="172"/>
      <c r="TSD410" s="172"/>
      <c r="TSE410" s="172"/>
      <c r="TSF410" s="172"/>
      <c r="TSG410" s="172"/>
      <c r="TSH410" s="172"/>
      <c r="TSI410" s="172"/>
      <c r="TSJ410" s="172"/>
      <c r="TSK410" s="172"/>
      <c r="TSL410" s="172"/>
      <c r="TSM410" s="172"/>
      <c r="TSN410" s="172"/>
      <c r="TSO410" s="172"/>
      <c r="TSP410" s="172"/>
      <c r="TSQ410" s="172"/>
      <c r="TSR410" s="172"/>
      <c r="TSS410" s="172"/>
      <c r="TST410" s="172"/>
      <c r="TSU410" s="172"/>
      <c r="TSV410" s="172"/>
      <c r="TSW410" s="172"/>
      <c r="TSX410" s="172"/>
      <c r="TSY410" s="172"/>
      <c r="TSZ410" s="172"/>
      <c r="TTA410" s="172"/>
      <c r="TTB410" s="172"/>
      <c r="TTC410" s="172"/>
      <c r="TTD410" s="172"/>
      <c r="TTE410" s="172"/>
      <c r="TTF410" s="172"/>
      <c r="TTG410" s="172"/>
      <c r="TTH410" s="172"/>
      <c r="TTI410" s="172"/>
      <c r="TTJ410" s="172"/>
      <c r="TTK410" s="172"/>
      <c r="TTL410" s="172"/>
      <c r="TTM410" s="172"/>
      <c r="TTN410" s="172"/>
      <c r="TTO410" s="172"/>
      <c r="TTP410" s="172"/>
      <c r="TTQ410" s="172"/>
      <c r="TTR410" s="172"/>
      <c r="TTS410" s="172"/>
      <c r="TTT410" s="172"/>
      <c r="TTU410" s="172"/>
      <c r="TTV410" s="172"/>
      <c r="TTW410" s="172"/>
      <c r="TTX410" s="172"/>
      <c r="TTY410" s="172"/>
      <c r="TTZ410" s="172"/>
      <c r="TUA410" s="172"/>
      <c r="TUB410" s="172"/>
      <c r="TUC410" s="172"/>
      <c r="TUD410" s="172"/>
      <c r="TUE410" s="172"/>
      <c r="TUF410" s="172"/>
      <c r="TUG410" s="172"/>
      <c r="TUH410" s="172"/>
      <c r="TUI410" s="172"/>
      <c r="TUJ410" s="172"/>
      <c r="TUK410" s="172"/>
      <c r="TUL410" s="172"/>
      <c r="TUM410" s="172"/>
      <c r="TUN410" s="172"/>
      <c r="TUO410" s="172"/>
      <c r="TUP410" s="172"/>
      <c r="TUQ410" s="172"/>
      <c r="TUR410" s="172"/>
      <c r="TUS410" s="172"/>
      <c r="TUT410" s="172"/>
      <c r="TUU410" s="172"/>
      <c r="TUV410" s="172"/>
      <c r="TUW410" s="172"/>
      <c r="TUX410" s="172"/>
      <c r="TUY410" s="172"/>
      <c r="TUZ410" s="172"/>
      <c r="TVA410" s="172"/>
      <c r="TVB410" s="172"/>
      <c r="TVC410" s="172"/>
      <c r="TVD410" s="172"/>
      <c r="TVE410" s="172"/>
      <c r="TVF410" s="172"/>
      <c r="TVG410" s="172"/>
      <c r="TVH410" s="172"/>
      <c r="TVI410" s="172"/>
      <c r="TVJ410" s="172"/>
      <c r="TVK410" s="172"/>
      <c r="TVL410" s="172"/>
      <c r="TVM410" s="172"/>
      <c r="TVN410" s="172"/>
      <c r="TVO410" s="172"/>
      <c r="TVP410" s="172"/>
      <c r="TVQ410" s="172"/>
      <c r="TVR410" s="172"/>
      <c r="TVS410" s="172"/>
      <c r="TVT410" s="172"/>
      <c r="TVU410" s="172"/>
      <c r="TVV410" s="172"/>
      <c r="TVW410" s="172"/>
      <c r="TVX410" s="172"/>
      <c r="TVY410" s="172"/>
      <c r="TVZ410" s="172"/>
      <c r="TWA410" s="172"/>
      <c r="TWB410" s="172"/>
      <c r="TWC410" s="172"/>
      <c r="TWD410" s="172"/>
      <c r="TWE410" s="172"/>
      <c r="TWF410" s="172"/>
      <c r="TWG410" s="172"/>
      <c r="TWH410" s="172"/>
      <c r="TWI410" s="172"/>
      <c r="TWJ410" s="172"/>
      <c r="TWK410" s="172"/>
      <c r="TWL410" s="172"/>
      <c r="TWM410" s="172"/>
      <c r="TWN410" s="172"/>
      <c r="TWO410" s="172"/>
      <c r="TWP410" s="172"/>
      <c r="TWQ410" s="172"/>
      <c r="TWR410" s="172"/>
      <c r="TWS410" s="172"/>
      <c r="TWT410" s="172"/>
      <c r="TWU410" s="172"/>
      <c r="TWV410" s="172"/>
      <c r="TWW410" s="172"/>
      <c r="TWX410" s="172"/>
      <c r="TWY410" s="172"/>
      <c r="TWZ410" s="172"/>
      <c r="TXA410" s="172"/>
      <c r="TXB410" s="172"/>
      <c r="TXC410" s="172"/>
      <c r="TXD410" s="172"/>
      <c r="TXE410" s="172"/>
      <c r="TXF410" s="172"/>
      <c r="TXG410" s="172"/>
      <c r="TXH410" s="172"/>
      <c r="TXI410" s="172"/>
      <c r="TXJ410" s="172"/>
      <c r="TXK410" s="172"/>
      <c r="TXL410" s="172"/>
      <c r="TXM410" s="172"/>
      <c r="TXN410" s="172"/>
      <c r="TXO410" s="172"/>
      <c r="TXP410" s="172"/>
      <c r="TXQ410" s="172"/>
      <c r="TXR410" s="172"/>
      <c r="TXS410" s="172"/>
      <c r="TXT410" s="172"/>
      <c r="TXU410" s="172"/>
      <c r="TXV410" s="172"/>
      <c r="TXW410" s="172"/>
      <c r="TXX410" s="172"/>
      <c r="TXY410" s="172"/>
      <c r="TXZ410" s="172"/>
      <c r="TYA410" s="172"/>
      <c r="TYB410" s="172"/>
      <c r="TYC410" s="172"/>
      <c r="TYD410" s="172"/>
      <c r="TYE410" s="172"/>
      <c r="TYF410" s="172"/>
      <c r="TYG410" s="172"/>
      <c r="TYH410" s="172"/>
      <c r="TYI410" s="172"/>
      <c r="TYJ410" s="172"/>
      <c r="TYK410" s="172"/>
      <c r="TYL410" s="172"/>
      <c r="TYM410" s="172"/>
      <c r="TYN410" s="172"/>
      <c r="TYO410" s="172"/>
      <c r="TYP410" s="172"/>
      <c r="TYQ410" s="172"/>
      <c r="TYR410" s="172"/>
      <c r="TYS410" s="172"/>
      <c r="TYT410" s="172"/>
      <c r="TYU410" s="172"/>
      <c r="TYV410" s="172"/>
      <c r="TYW410" s="172"/>
      <c r="TYX410" s="172"/>
      <c r="TYY410" s="172"/>
      <c r="TYZ410" s="172"/>
      <c r="TZA410" s="172"/>
      <c r="TZB410" s="172"/>
      <c r="TZC410" s="172"/>
      <c r="TZD410" s="172"/>
      <c r="TZE410" s="172"/>
      <c r="TZF410" s="172"/>
      <c r="TZG410" s="172"/>
      <c r="TZH410" s="172"/>
      <c r="TZI410" s="172"/>
      <c r="TZJ410" s="172"/>
      <c r="TZK410" s="172"/>
      <c r="TZL410" s="172"/>
      <c r="TZM410" s="172"/>
      <c r="TZN410" s="172"/>
      <c r="TZO410" s="172"/>
      <c r="TZP410" s="172"/>
      <c r="TZQ410" s="172"/>
      <c r="TZR410" s="172"/>
      <c r="TZS410" s="172"/>
      <c r="TZT410" s="172"/>
      <c r="TZU410" s="172"/>
      <c r="TZV410" s="172"/>
      <c r="TZW410" s="172"/>
      <c r="TZX410" s="172"/>
      <c r="TZY410" s="172"/>
      <c r="TZZ410" s="172"/>
      <c r="UAA410" s="172"/>
      <c r="UAB410" s="172"/>
      <c r="UAC410" s="172"/>
      <c r="UAD410" s="172"/>
      <c r="UAE410" s="172"/>
      <c r="UAF410" s="172"/>
      <c r="UAG410" s="172"/>
      <c r="UAH410" s="172"/>
      <c r="UAI410" s="172"/>
      <c r="UAJ410" s="172"/>
      <c r="UAK410" s="172"/>
      <c r="UAL410" s="172"/>
      <c r="UAM410" s="172"/>
      <c r="UAN410" s="172"/>
      <c r="UAO410" s="172"/>
      <c r="UAP410" s="172"/>
      <c r="UAQ410" s="172"/>
      <c r="UAR410" s="172"/>
      <c r="UAS410" s="172"/>
      <c r="UAT410" s="172"/>
      <c r="UAU410" s="172"/>
      <c r="UAV410" s="172"/>
      <c r="UAW410" s="172"/>
      <c r="UAX410" s="172"/>
      <c r="UAY410" s="172"/>
      <c r="UAZ410" s="172"/>
      <c r="UBA410" s="172"/>
      <c r="UBB410" s="172"/>
      <c r="UBC410" s="172"/>
      <c r="UBD410" s="172"/>
      <c r="UBE410" s="172"/>
      <c r="UBF410" s="172"/>
      <c r="UBG410" s="172"/>
      <c r="UBH410" s="172"/>
      <c r="UBI410" s="172"/>
      <c r="UBJ410" s="172"/>
      <c r="UBK410" s="172"/>
      <c r="UBL410" s="172"/>
      <c r="UBM410" s="172"/>
      <c r="UBN410" s="172"/>
      <c r="UBO410" s="172"/>
      <c r="UBP410" s="172"/>
      <c r="UBQ410" s="172"/>
      <c r="UBR410" s="172"/>
      <c r="UBS410" s="172"/>
      <c r="UBT410" s="172"/>
      <c r="UBU410" s="172"/>
      <c r="UBV410" s="172"/>
      <c r="UBW410" s="172"/>
      <c r="UBX410" s="172"/>
      <c r="UBY410" s="172"/>
      <c r="UBZ410" s="172"/>
      <c r="UCA410" s="172"/>
      <c r="UCB410" s="172"/>
      <c r="UCC410" s="172"/>
      <c r="UCD410" s="172"/>
      <c r="UCE410" s="172"/>
      <c r="UCF410" s="172"/>
      <c r="UCG410" s="172"/>
      <c r="UCH410" s="172"/>
      <c r="UCI410" s="172"/>
      <c r="UCJ410" s="172"/>
      <c r="UCK410" s="172"/>
      <c r="UCL410" s="172"/>
      <c r="UCM410" s="172"/>
      <c r="UCN410" s="172"/>
      <c r="UCO410" s="172"/>
      <c r="UCP410" s="172"/>
      <c r="UCQ410" s="172"/>
      <c r="UCR410" s="172"/>
      <c r="UCS410" s="172"/>
      <c r="UCT410" s="172"/>
      <c r="UCU410" s="172"/>
      <c r="UCV410" s="172"/>
      <c r="UCW410" s="172"/>
      <c r="UCX410" s="172"/>
      <c r="UCY410" s="172"/>
      <c r="UCZ410" s="172"/>
      <c r="UDA410" s="172"/>
      <c r="UDB410" s="172"/>
      <c r="UDC410" s="172"/>
      <c r="UDD410" s="172"/>
      <c r="UDE410" s="172"/>
      <c r="UDF410" s="172"/>
      <c r="UDG410" s="172"/>
      <c r="UDH410" s="172"/>
      <c r="UDI410" s="172"/>
      <c r="UDJ410" s="172"/>
      <c r="UDK410" s="172"/>
      <c r="UDL410" s="172"/>
      <c r="UDM410" s="172"/>
      <c r="UDN410" s="172"/>
      <c r="UDO410" s="172"/>
      <c r="UDP410" s="172"/>
      <c r="UDQ410" s="172"/>
      <c r="UDR410" s="172"/>
      <c r="UDS410" s="172"/>
      <c r="UDT410" s="172"/>
      <c r="UDU410" s="172"/>
      <c r="UDV410" s="172"/>
      <c r="UDW410" s="172"/>
      <c r="UDX410" s="172"/>
      <c r="UDY410" s="172"/>
      <c r="UDZ410" s="172"/>
      <c r="UEA410" s="172"/>
      <c r="UEB410" s="172"/>
      <c r="UEC410" s="172"/>
      <c r="UED410" s="172"/>
      <c r="UEE410" s="172"/>
      <c r="UEF410" s="172"/>
      <c r="UEG410" s="172"/>
      <c r="UEH410" s="172"/>
      <c r="UEI410" s="172"/>
      <c r="UEJ410" s="172"/>
      <c r="UEK410" s="172"/>
      <c r="UEL410" s="172"/>
      <c r="UEM410" s="172"/>
      <c r="UEN410" s="172"/>
      <c r="UEO410" s="172"/>
      <c r="UEP410" s="172"/>
      <c r="UEQ410" s="172"/>
      <c r="UER410" s="172"/>
      <c r="UES410" s="172"/>
      <c r="UET410" s="172"/>
      <c r="UEU410" s="172"/>
      <c r="UEV410" s="172"/>
      <c r="UEW410" s="172"/>
      <c r="UEX410" s="172"/>
      <c r="UEY410" s="172"/>
      <c r="UEZ410" s="172"/>
      <c r="UFA410" s="172"/>
      <c r="UFB410" s="172"/>
      <c r="UFC410" s="172"/>
      <c r="UFD410" s="172"/>
      <c r="UFE410" s="172"/>
      <c r="UFF410" s="172"/>
      <c r="UFG410" s="172"/>
      <c r="UFH410" s="172"/>
      <c r="UFI410" s="172"/>
      <c r="UFJ410" s="172"/>
      <c r="UFK410" s="172"/>
      <c r="UFL410" s="172"/>
      <c r="UFM410" s="172"/>
      <c r="UFN410" s="172"/>
      <c r="UFO410" s="172"/>
      <c r="UFP410" s="172"/>
      <c r="UFQ410" s="172"/>
      <c r="UFR410" s="172"/>
      <c r="UFS410" s="172"/>
      <c r="UFT410" s="172"/>
      <c r="UFU410" s="172"/>
      <c r="UFV410" s="172"/>
      <c r="UFW410" s="172"/>
      <c r="UFX410" s="172"/>
      <c r="UFY410" s="172"/>
      <c r="UFZ410" s="172"/>
      <c r="UGA410" s="172"/>
      <c r="UGB410" s="172"/>
      <c r="UGC410" s="172"/>
      <c r="UGD410" s="172"/>
      <c r="UGE410" s="172"/>
      <c r="UGF410" s="172"/>
      <c r="UGG410" s="172"/>
      <c r="UGH410" s="172"/>
      <c r="UGI410" s="172"/>
      <c r="UGJ410" s="172"/>
      <c r="UGK410" s="172"/>
      <c r="UGL410" s="172"/>
      <c r="UGM410" s="172"/>
      <c r="UGN410" s="172"/>
      <c r="UGO410" s="172"/>
      <c r="UGP410" s="172"/>
      <c r="UGQ410" s="172"/>
      <c r="UGR410" s="172"/>
      <c r="UGS410" s="172"/>
      <c r="UGT410" s="172"/>
      <c r="UGU410" s="172"/>
      <c r="UGV410" s="172"/>
      <c r="UGW410" s="172"/>
      <c r="UGX410" s="172"/>
      <c r="UGY410" s="172"/>
      <c r="UGZ410" s="172"/>
      <c r="UHA410" s="172"/>
      <c r="UHB410" s="172"/>
      <c r="UHC410" s="172"/>
      <c r="UHD410" s="172"/>
      <c r="UHE410" s="172"/>
      <c r="UHF410" s="172"/>
      <c r="UHG410" s="172"/>
      <c r="UHH410" s="172"/>
      <c r="UHI410" s="172"/>
      <c r="UHJ410" s="172"/>
      <c r="UHK410" s="172"/>
      <c r="UHL410" s="172"/>
      <c r="UHM410" s="172"/>
      <c r="UHN410" s="172"/>
      <c r="UHO410" s="172"/>
      <c r="UHP410" s="172"/>
      <c r="UHQ410" s="172"/>
      <c r="UHR410" s="172"/>
      <c r="UHS410" s="172"/>
      <c r="UHT410" s="172"/>
      <c r="UHU410" s="172"/>
      <c r="UHV410" s="172"/>
      <c r="UHW410" s="172"/>
      <c r="UHX410" s="172"/>
      <c r="UHY410" s="172"/>
      <c r="UHZ410" s="172"/>
      <c r="UIA410" s="172"/>
      <c r="UIB410" s="172"/>
      <c r="UIC410" s="172"/>
      <c r="UID410" s="172"/>
      <c r="UIE410" s="172"/>
      <c r="UIF410" s="172"/>
      <c r="UIG410" s="172"/>
      <c r="UIH410" s="172"/>
      <c r="UII410" s="172"/>
      <c r="UIJ410" s="172"/>
      <c r="UIK410" s="172"/>
      <c r="UIL410" s="172"/>
      <c r="UIM410" s="172"/>
      <c r="UIN410" s="172"/>
      <c r="UIO410" s="172"/>
      <c r="UIP410" s="172"/>
      <c r="UIQ410" s="172"/>
      <c r="UIR410" s="172"/>
      <c r="UIS410" s="172"/>
      <c r="UIT410" s="172"/>
      <c r="UIU410" s="172"/>
      <c r="UIV410" s="172"/>
      <c r="UIW410" s="172"/>
      <c r="UIX410" s="172"/>
      <c r="UIY410" s="172"/>
      <c r="UIZ410" s="172"/>
      <c r="UJA410" s="172"/>
      <c r="UJB410" s="172"/>
      <c r="UJC410" s="172"/>
      <c r="UJD410" s="172"/>
      <c r="UJE410" s="172"/>
      <c r="UJF410" s="172"/>
      <c r="UJG410" s="172"/>
      <c r="UJH410" s="172"/>
      <c r="UJI410" s="172"/>
      <c r="UJJ410" s="172"/>
      <c r="UJK410" s="172"/>
      <c r="UJL410" s="172"/>
      <c r="UJM410" s="172"/>
      <c r="UJN410" s="172"/>
      <c r="UJO410" s="172"/>
      <c r="UJP410" s="172"/>
      <c r="UJQ410" s="172"/>
      <c r="UJR410" s="172"/>
      <c r="UJS410" s="172"/>
      <c r="UJT410" s="172"/>
      <c r="UJU410" s="172"/>
      <c r="UJV410" s="172"/>
      <c r="UJW410" s="172"/>
      <c r="UJX410" s="172"/>
      <c r="UJY410" s="172"/>
      <c r="UJZ410" s="172"/>
      <c r="UKA410" s="172"/>
      <c r="UKB410" s="172"/>
      <c r="UKC410" s="172"/>
      <c r="UKD410" s="172"/>
      <c r="UKE410" s="172"/>
      <c r="UKF410" s="172"/>
      <c r="UKG410" s="172"/>
      <c r="UKH410" s="172"/>
      <c r="UKI410" s="172"/>
      <c r="UKJ410" s="172"/>
      <c r="UKK410" s="172"/>
      <c r="UKL410" s="172"/>
      <c r="UKM410" s="172"/>
      <c r="UKN410" s="172"/>
      <c r="UKO410" s="172"/>
      <c r="UKP410" s="172"/>
      <c r="UKQ410" s="172"/>
      <c r="UKR410" s="172"/>
      <c r="UKS410" s="172"/>
      <c r="UKT410" s="172"/>
      <c r="UKU410" s="172"/>
      <c r="UKV410" s="172"/>
      <c r="UKW410" s="172"/>
      <c r="UKX410" s="172"/>
      <c r="UKY410" s="172"/>
      <c r="UKZ410" s="172"/>
      <c r="ULA410" s="172"/>
      <c r="ULB410" s="172"/>
      <c r="ULC410" s="172"/>
      <c r="ULD410" s="172"/>
      <c r="ULE410" s="172"/>
      <c r="ULF410" s="172"/>
      <c r="ULG410" s="172"/>
      <c r="ULH410" s="172"/>
      <c r="ULI410" s="172"/>
      <c r="ULJ410" s="172"/>
      <c r="ULK410" s="172"/>
      <c r="ULL410" s="172"/>
      <c r="ULM410" s="172"/>
      <c r="ULN410" s="172"/>
      <c r="ULO410" s="172"/>
      <c r="ULP410" s="172"/>
      <c r="ULQ410" s="172"/>
      <c r="ULR410" s="172"/>
      <c r="ULS410" s="172"/>
      <c r="ULT410" s="172"/>
      <c r="ULU410" s="172"/>
      <c r="ULV410" s="172"/>
      <c r="ULW410" s="172"/>
      <c r="ULX410" s="172"/>
      <c r="ULY410" s="172"/>
      <c r="ULZ410" s="172"/>
      <c r="UMA410" s="172"/>
      <c r="UMB410" s="172"/>
      <c r="UMC410" s="172"/>
      <c r="UMD410" s="172"/>
      <c r="UME410" s="172"/>
      <c r="UMF410" s="172"/>
      <c r="UMG410" s="172"/>
      <c r="UMH410" s="172"/>
      <c r="UMI410" s="172"/>
      <c r="UMJ410" s="172"/>
      <c r="UMK410" s="172"/>
      <c r="UML410" s="172"/>
      <c r="UMM410" s="172"/>
      <c r="UMN410" s="172"/>
      <c r="UMO410" s="172"/>
      <c r="UMP410" s="172"/>
      <c r="UMQ410" s="172"/>
      <c r="UMR410" s="172"/>
      <c r="UMS410" s="172"/>
      <c r="UMT410" s="172"/>
      <c r="UMU410" s="172"/>
      <c r="UMV410" s="172"/>
      <c r="UMW410" s="172"/>
      <c r="UMX410" s="172"/>
      <c r="UMY410" s="172"/>
      <c r="UMZ410" s="172"/>
      <c r="UNA410" s="172"/>
      <c r="UNB410" s="172"/>
      <c r="UNC410" s="172"/>
      <c r="UND410" s="172"/>
      <c r="UNE410" s="172"/>
      <c r="UNF410" s="172"/>
      <c r="UNG410" s="172"/>
      <c r="UNH410" s="172"/>
      <c r="UNI410" s="172"/>
      <c r="UNJ410" s="172"/>
      <c r="UNK410" s="172"/>
      <c r="UNL410" s="172"/>
      <c r="UNM410" s="172"/>
      <c r="UNN410" s="172"/>
      <c r="UNO410" s="172"/>
      <c r="UNP410" s="172"/>
      <c r="UNQ410" s="172"/>
      <c r="UNR410" s="172"/>
      <c r="UNS410" s="172"/>
      <c r="UNT410" s="172"/>
      <c r="UNU410" s="172"/>
      <c r="UNV410" s="172"/>
      <c r="UNW410" s="172"/>
      <c r="UNX410" s="172"/>
      <c r="UNY410" s="172"/>
      <c r="UNZ410" s="172"/>
      <c r="UOA410" s="172"/>
      <c r="UOB410" s="172"/>
      <c r="UOC410" s="172"/>
      <c r="UOD410" s="172"/>
      <c r="UOE410" s="172"/>
      <c r="UOF410" s="172"/>
      <c r="UOG410" s="172"/>
      <c r="UOH410" s="172"/>
      <c r="UOI410" s="172"/>
      <c r="UOJ410" s="172"/>
      <c r="UOK410" s="172"/>
      <c r="UOL410" s="172"/>
      <c r="UOM410" s="172"/>
      <c r="UON410" s="172"/>
      <c r="UOO410" s="172"/>
      <c r="UOP410" s="172"/>
      <c r="UOQ410" s="172"/>
      <c r="UOR410" s="172"/>
      <c r="UOS410" s="172"/>
      <c r="UOT410" s="172"/>
      <c r="UOU410" s="172"/>
      <c r="UOV410" s="172"/>
      <c r="UOW410" s="172"/>
      <c r="UOX410" s="172"/>
      <c r="UOY410" s="172"/>
      <c r="UOZ410" s="172"/>
      <c r="UPA410" s="172"/>
      <c r="UPB410" s="172"/>
      <c r="UPC410" s="172"/>
      <c r="UPD410" s="172"/>
      <c r="UPE410" s="172"/>
      <c r="UPF410" s="172"/>
      <c r="UPG410" s="172"/>
      <c r="UPH410" s="172"/>
      <c r="UPI410" s="172"/>
      <c r="UPJ410" s="172"/>
      <c r="UPK410" s="172"/>
      <c r="UPL410" s="172"/>
      <c r="UPM410" s="172"/>
      <c r="UPN410" s="172"/>
      <c r="UPO410" s="172"/>
      <c r="UPP410" s="172"/>
      <c r="UPQ410" s="172"/>
      <c r="UPR410" s="172"/>
      <c r="UPS410" s="172"/>
      <c r="UPT410" s="172"/>
      <c r="UPU410" s="172"/>
      <c r="UPV410" s="172"/>
      <c r="UPW410" s="172"/>
      <c r="UPX410" s="172"/>
      <c r="UPY410" s="172"/>
      <c r="UPZ410" s="172"/>
      <c r="UQA410" s="172"/>
      <c r="UQB410" s="172"/>
      <c r="UQC410" s="172"/>
      <c r="UQD410" s="172"/>
      <c r="UQE410" s="172"/>
      <c r="UQF410" s="172"/>
      <c r="UQG410" s="172"/>
      <c r="UQH410" s="172"/>
      <c r="UQI410" s="172"/>
      <c r="UQJ410" s="172"/>
      <c r="UQK410" s="172"/>
      <c r="UQL410" s="172"/>
      <c r="UQM410" s="172"/>
      <c r="UQN410" s="172"/>
      <c r="UQO410" s="172"/>
      <c r="UQP410" s="172"/>
      <c r="UQQ410" s="172"/>
      <c r="UQR410" s="172"/>
      <c r="UQS410" s="172"/>
      <c r="UQT410" s="172"/>
      <c r="UQU410" s="172"/>
      <c r="UQV410" s="172"/>
      <c r="UQW410" s="172"/>
      <c r="UQX410" s="172"/>
      <c r="UQY410" s="172"/>
      <c r="UQZ410" s="172"/>
      <c r="URA410" s="172"/>
      <c r="URB410" s="172"/>
      <c r="URC410" s="172"/>
      <c r="URD410" s="172"/>
      <c r="URE410" s="172"/>
      <c r="URF410" s="172"/>
      <c r="URG410" s="172"/>
      <c r="URH410" s="172"/>
      <c r="URI410" s="172"/>
      <c r="URJ410" s="172"/>
      <c r="URK410" s="172"/>
      <c r="URL410" s="172"/>
      <c r="URM410" s="172"/>
      <c r="URN410" s="172"/>
      <c r="URO410" s="172"/>
      <c r="URP410" s="172"/>
      <c r="URQ410" s="172"/>
      <c r="URR410" s="172"/>
      <c r="URS410" s="172"/>
      <c r="URT410" s="172"/>
      <c r="URU410" s="172"/>
      <c r="URV410" s="172"/>
      <c r="URW410" s="172"/>
      <c r="URX410" s="172"/>
      <c r="URY410" s="172"/>
      <c r="URZ410" s="172"/>
      <c r="USA410" s="172"/>
      <c r="USB410" s="172"/>
      <c r="USC410" s="172"/>
      <c r="USD410" s="172"/>
      <c r="USE410" s="172"/>
      <c r="USF410" s="172"/>
      <c r="USG410" s="172"/>
      <c r="USH410" s="172"/>
      <c r="USI410" s="172"/>
      <c r="USJ410" s="172"/>
      <c r="USK410" s="172"/>
      <c r="USL410" s="172"/>
      <c r="USM410" s="172"/>
      <c r="USN410" s="172"/>
      <c r="USO410" s="172"/>
      <c r="USP410" s="172"/>
      <c r="USQ410" s="172"/>
      <c r="USR410" s="172"/>
      <c r="USS410" s="172"/>
      <c r="UST410" s="172"/>
      <c r="USU410" s="172"/>
      <c r="USV410" s="172"/>
      <c r="USW410" s="172"/>
      <c r="USX410" s="172"/>
      <c r="USY410" s="172"/>
      <c r="USZ410" s="172"/>
      <c r="UTA410" s="172"/>
      <c r="UTB410" s="172"/>
      <c r="UTC410" s="172"/>
      <c r="UTD410" s="172"/>
      <c r="UTE410" s="172"/>
      <c r="UTF410" s="172"/>
      <c r="UTG410" s="172"/>
      <c r="UTH410" s="172"/>
      <c r="UTI410" s="172"/>
      <c r="UTJ410" s="172"/>
      <c r="UTK410" s="172"/>
      <c r="UTL410" s="172"/>
      <c r="UTM410" s="172"/>
      <c r="UTN410" s="172"/>
      <c r="UTO410" s="172"/>
      <c r="UTP410" s="172"/>
      <c r="UTQ410" s="172"/>
      <c r="UTR410" s="172"/>
      <c r="UTS410" s="172"/>
      <c r="UTT410" s="172"/>
      <c r="UTU410" s="172"/>
      <c r="UTV410" s="172"/>
      <c r="UTW410" s="172"/>
      <c r="UTX410" s="172"/>
      <c r="UTY410" s="172"/>
      <c r="UTZ410" s="172"/>
      <c r="UUA410" s="172"/>
      <c r="UUB410" s="172"/>
      <c r="UUC410" s="172"/>
      <c r="UUD410" s="172"/>
      <c r="UUE410" s="172"/>
      <c r="UUF410" s="172"/>
      <c r="UUG410" s="172"/>
      <c r="UUH410" s="172"/>
      <c r="UUI410" s="172"/>
      <c r="UUJ410" s="172"/>
      <c r="UUK410" s="172"/>
      <c r="UUL410" s="172"/>
      <c r="UUM410" s="172"/>
      <c r="UUN410" s="172"/>
      <c r="UUO410" s="172"/>
      <c r="UUP410" s="172"/>
      <c r="UUQ410" s="172"/>
      <c r="UUR410" s="172"/>
      <c r="UUS410" s="172"/>
      <c r="UUT410" s="172"/>
      <c r="UUU410" s="172"/>
      <c r="UUV410" s="172"/>
      <c r="UUW410" s="172"/>
      <c r="UUX410" s="172"/>
      <c r="UUY410" s="172"/>
      <c r="UUZ410" s="172"/>
      <c r="UVA410" s="172"/>
      <c r="UVB410" s="172"/>
      <c r="UVC410" s="172"/>
      <c r="UVD410" s="172"/>
      <c r="UVE410" s="172"/>
      <c r="UVF410" s="172"/>
      <c r="UVG410" s="172"/>
      <c r="UVH410" s="172"/>
      <c r="UVI410" s="172"/>
      <c r="UVJ410" s="172"/>
      <c r="UVK410" s="172"/>
      <c r="UVL410" s="172"/>
      <c r="UVM410" s="172"/>
      <c r="UVN410" s="172"/>
      <c r="UVO410" s="172"/>
      <c r="UVP410" s="172"/>
      <c r="UVQ410" s="172"/>
      <c r="UVR410" s="172"/>
      <c r="UVS410" s="172"/>
      <c r="UVT410" s="172"/>
      <c r="UVU410" s="172"/>
      <c r="UVV410" s="172"/>
      <c r="UVW410" s="172"/>
      <c r="UVX410" s="172"/>
      <c r="UVY410" s="172"/>
      <c r="UVZ410" s="172"/>
      <c r="UWA410" s="172"/>
      <c r="UWB410" s="172"/>
      <c r="UWC410" s="172"/>
      <c r="UWD410" s="172"/>
      <c r="UWE410" s="172"/>
      <c r="UWF410" s="172"/>
      <c r="UWG410" s="172"/>
      <c r="UWH410" s="172"/>
      <c r="UWI410" s="172"/>
      <c r="UWJ410" s="172"/>
      <c r="UWK410" s="172"/>
      <c r="UWL410" s="172"/>
      <c r="UWM410" s="172"/>
      <c r="UWN410" s="172"/>
      <c r="UWO410" s="172"/>
      <c r="UWP410" s="172"/>
      <c r="UWQ410" s="172"/>
      <c r="UWR410" s="172"/>
      <c r="UWS410" s="172"/>
      <c r="UWT410" s="172"/>
      <c r="UWU410" s="172"/>
      <c r="UWV410" s="172"/>
      <c r="UWW410" s="172"/>
      <c r="UWX410" s="172"/>
      <c r="UWY410" s="172"/>
      <c r="UWZ410" s="172"/>
      <c r="UXA410" s="172"/>
      <c r="UXB410" s="172"/>
      <c r="UXC410" s="172"/>
      <c r="UXD410" s="172"/>
      <c r="UXE410" s="172"/>
      <c r="UXF410" s="172"/>
      <c r="UXG410" s="172"/>
      <c r="UXH410" s="172"/>
      <c r="UXI410" s="172"/>
      <c r="UXJ410" s="172"/>
      <c r="UXK410" s="172"/>
      <c r="UXL410" s="172"/>
      <c r="UXM410" s="172"/>
      <c r="UXN410" s="172"/>
      <c r="UXO410" s="172"/>
      <c r="UXP410" s="172"/>
      <c r="UXQ410" s="172"/>
      <c r="UXR410" s="172"/>
      <c r="UXS410" s="172"/>
      <c r="UXT410" s="172"/>
      <c r="UXU410" s="172"/>
      <c r="UXV410" s="172"/>
      <c r="UXW410" s="172"/>
      <c r="UXX410" s="172"/>
      <c r="UXY410" s="172"/>
      <c r="UXZ410" s="172"/>
      <c r="UYA410" s="172"/>
      <c r="UYB410" s="172"/>
      <c r="UYC410" s="172"/>
      <c r="UYD410" s="172"/>
      <c r="UYE410" s="172"/>
      <c r="UYF410" s="172"/>
      <c r="UYG410" s="172"/>
      <c r="UYH410" s="172"/>
      <c r="UYI410" s="172"/>
      <c r="UYJ410" s="172"/>
      <c r="UYK410" s="172"/>
      <c r="UYL410" s="172"/>
      <c r="UYM410" s="172"/>
      <c r="UYN410" s="172"/>
      <c r="UYO410" s="172"/>
      <c r="UYP410" s="172"/>
      <c r="UYQ410" s="172"/>
      <c r="UYR410" s="172"/>
      <c r="UYS410" s="172"/>
      <c r="UYT410" s="172"/>
      <c r="UYU410" s="172"/>
      <c r="UYV410" s="172"/>
      <c r="UYW410" s="172"/>
      <c r="UYX410" s="172"/>
      <c r="UYY410" s="172"/>
      <c r="UYZ410" s="172"/>
      <c r="UZA410" s="172"/>
      <c r="UZB410" s="172"/>
      <c r="UZC410" s="172"/>
      <c r="UZD410" s="172"/>
      <c r="UZE410" s="172"/>
      <c r="UZF410" s="172"/>
      <c r="UZG410" s="172"/>
      <c r="UZH410" s="172"/>
      <c r="UZI410" s="172"/>
      <c r="UZJ410" s="172"/>
      <c r="UZK410" s="172"/>
      <c r="UZL410" s="172"/>
      <c r="UZM410" s="172"/>
      <c r="UZN410" s="172"/>
      <c r="UZO410" s="172"/>
      <c r="UZP410" s="172"/>
      <c r="UZQ410" s="172"/>
      <c r="UZR410" s="172"/>
      <c r="UZS410" s="172"/>
      <c r="UZT410" s="172"/>
      <c r="UZU410" s="172"/>
      <c r="UZV410" s="172"/>
      <c r="UZW410" s="172"/>
      <c r="UZX410" s="172"/>
      <c r="UZY410" s="172"/>
      <c r="UZZ410" s="172"/>
      <c r="VAA410" s="172"/>
      <c r="VAB410" s="172"/>
      <c r="VAC410" s="172"/>
      <c r="VAD410" s="172"/>
      <c r="VAE410" s="172"/>
      <c r="VAF410" s="172"/>
      <c r="VAG410" s="172"/>
      <c r="VAH410" s="172"/>
      <c r="VAI410" s="172"/>
      <c r="VAJ410" s="172"/>
      <c r="VAK410" s="172"/>
      <c r="VAL410" s="172"/>
      <c r="VAM410" s="172"/>
      <c r="VAN410" s="172"/>
      <c r="VAO410" s="172"/>
      <c r="VAP410" s="172"/>
      <c r="VAQ410" s="172"/>
      <c r="VAR410" s="172"/>
      <c r="VAS410" s="172"/>
      <c r="VAT410" s="172"/>
      <c r="VAU410" s="172"/>
      <c r="VAV410" s="172"/>
      <c r="VAW410" s="172"/>
      <c r="VAX410" s="172"/>
      <c r="VAY410" s="172"/>
      <c r="VAZ410" s="172"/>
      <c r="VBA410" s="172"/>
      <c r="VBB410" s="172"/>
      <c r="VBC410" s="172"/>
      <c r="VBD410" s="172"/>
      <c r="VBE410" s="172"/>
      <c r="VBF410" s="172"/>
      <c r="VBG410" s="172"/>
      <c r="VBH410" s="172"/>
      <c r="VBI410" s="172"/>
      <c r="VBJ410" s="172"/>
      <c r="VBK410" s="172"/>
      <c r="VBL410" s="172"/>
      <c r="VBM410" s="172"/>
      <c r="VBN410" s="172"/>
      <c r="VBO410" s="172"/>
      <c r="VBP410" s="172"/>
      <c r="VBQ410" s="172"/>
      <c r="VBR410" s="172"/>
      <c r="VBS410" s="172"/>
      <c r="VBT410" s="172"/>
      <c r="VBU410" s="172"/>
      <c r="VBV410" s="172"/>
      <c r="VBW410" s="172"/>
      <c r="VBX410" s="172"/>
      <c r="VBY410" s="172"/>
      <c r="VBZ410" s="172"/>
      <c r="VCA410" s="172"/>
      <c r="VCB410" s="172"/>
      <c r="VCC410" s="172"/>
      <c r="VCD410" s="172"/>
      <c r="VCE410" s="172"/>
      <c r="VCF410" s="172"/>
      <c r="VCG410" s="172"/>
      <c r="VCH410" s="172"/>
      <c r="VCI410" s="172"/>
      <c r="VCJ410" s="172"/>
      <c r="VCK410" s="172"/>
      <c r="VCL410" s="172"/>
      <c r="VCM410" s="172"/>
      <c r="VCN410" s="172"/>
      <c r="VCO410" s="172"/>
      <c r="VCP410" s="172"/>
      <c r="VCQ410" s="172"/>
      <c r="VCR410" s="172"/>
      <c r="VCS410" s="172"/>
      <c r="VCT410" s="172"/>
      <c r="VCU410" s="172"/>
      <c r="VCV410" s="172"/>
      <c r="VCW410" s="172"/>
      <c r="VCX410" s="172"/>
      <c r="VCY410" s="172"/>
      <c r="VCZ410" s="172"/>
      <c r="VDA410" s="172"/>
      <c r="VDB410" s="172"/>
      <c r="VDC410" s="172"/>
      <c r="VDD410" s="172"/>
      <c r="VDE410" s="172"/>
      <c r="VDF410" s="172"/>
      <c r="VDG410" s="172"/>
      <c r="VDH410" s="172"/>
      <c r="VDI410" s="172"/>
      <c r="VDJ410" s="172"/>
      <c r="VDK410" s="172"/>
      <c r="VDL410" s="172"/>
      <c r="VDM410" s="172"/>
      <c r="VDN410" s="172"/>
      <c r="VDO410" s="172"/>
      <c r="VDP410" s="172"/>
      <c r="VDQ410" s="172"/>
      <c r="VDR410" s="172"/>
      <c r="VDS410" s="172"/>
      <c r="VDT410" s="172"/>
      <c r="VDU410" s="172"/>
      <c r="VDV410" s="172"/>
      <c r="VDW410" s="172"/>
      <c r="VDX410" s="172"/>
      <c r="VDY410" s="172"/>
      <c r="VDZ410" s="172"/>
      <c r="VEA410" s="172"/>
      <c r="VEB410" s="172"/>
      <c r="VEC410" s="172"/>
      <c r="VED410" s="172"/>
      <c r="VEE410" s="172"/>
      <c r="VEF410" s="172"/>
      <c r="VEG410" s="172"/>
      <c r="VEH410" s="172"/>
      <c r="VEI410" s="172"/>
      <c r="VEJ410" s="172"/>
      <c r="VEK410" s="172"/>
      <c r="VEL410" s="172"/>
      <c r="VEM410" s="172"/>
      <c r="VEN410" s="172"/>
      <c r="VEO410" s="172"/>
      <c r="VEP410" s="172"/>
      <c r="VEQ410" s="172"/>
      <c r="VER410" s="172"/>
      <c r="VES410" s="172"/>
      <c r="VET410" s="172"/>
      <c r="VEU410" s="172"/>
      <c r="VEV410" s="172"/>
      <c r="VEW410" s="172"/>
      <c r="VEX410" s="172"/>
      <c r="VEY410" s="172"/>
      <c r="VEZ410" s="172"/>
      <c r="VFA410" s="172"/>
      <c r="VFB410" s="172"/>
      <c r="VFC410" s="172"/>
      <c r="VFD410" s="172"/>
      <c r="VFE410" s="172"/>
      <c r="VFF410" s="172"/>
      <c r="VFG410" s="172"/>
      <c r="VFH410" s="172"/>
      <c r="VFI410" s="172"/>
      <c r="VFJ410" s="172"/>
      <c r="VFK410" s="172"/>
      <c r="VFL410" s="172"/>
      <c r="VFM410" s="172"/>
      <c r="VFN410" s="172"/>
      <c r="VFO410" s="172"/>
      <c r="VFP410" s="172"/>
      <c r="VFQ410" s="172"/>
      <c r="VFR410" s="172"/>
      <c r="VFS410" s="172"/>
      <c r="VFT410" s="172"/>
      <c r="VFU410" s="172"/>
      <c r="VFV410" s="172"/>
      <c r="VFW410" s="172"/>
      <c r="VFX410" s="172"/>
      <c r="VFY410" s="172"/>
      <c r="VFZ410" s="172"/>
      <c r="VGA410" s="172"/>
      <c r="VGB410" s="172"/>
      <c r="VGC410" s="172"/>
      <c r="VGD410" s="172"/>
      <c r="VGE410" s="172"/>
      <c r="VGF410" s="172"/>
      <c r="VGG410" s="172"/>
      <c r="VGH410" s="172"/>
      <c r="VGI410" s="172"/>
      <c r="VGJ410" s="172"/>
      <c r="VGK410" s="172"/>
      <c r="VGL410" s="172"/>
      <c r="VGM410" s="172"/>
      <c r="VGN410" s="172"/>
      <c r="VGO410" s="172"/>
      <c r="VGP410" s="172"/>
      <c r="VGQ410" s="172"/>
      <c r="VGR410" s="172"/>
      <c r="VGS410" s="172"/>
      <c r="VGT410" s="172"/>
      <c r="VGU410" s="172"/>
      <c r="VGV410" s="172"/>
      <c r="VGW410" s="172"/>
      <c r="VGX410" s="172"/>
      <c r="VGY410" s="172"/>
      <c r="VGZ410" s="172"/>
      <c r="VHA410" s="172"/>
      <c r="VHB410" s="172"/>
      <c r="VHC410" s="172"/>
      <c r="VHD410" s="172"/>
      <c r="VHE410" s="172"/>
      <c r="VHF410" s="172"/>
      <c r="VHG410" s="172"/>
      <c r="VHH410" s="172"/>
      <c r="VHI410" s="172"/>
      <c r="VHJ410" s="172"/>
      <c r="VHK410" s="172"/>
      <c r="VHL410" s="172"/>
      <c r="VHM410" s="172"/>
      <c r="VHN410" s="172"/>
      <c r="VHO410" s="172"/>
      <c r="VHP410" s="172"/>
      <c r="VHQ410" s="172"/>
      <c r="VHR410" s="172"/>
      <c r="VHS410" s="172"/>
      <c r="VHT410" s="172"/>
      <c r="VHU410" s="172"/>
      <c r="VHV410" s="172"/>
      <c r="VHW410" s="172"/>
      <c r="VHX410" s="172"/>
      <c r="VHY410" s="172"/>
      <c r="VHZ410" s="172"/>
      <c r="VIA410" s="172"/>
      <c r="VIB410" s="172"/>
      <c r="VIC410" s="172"/>
      <c r="VID410" s="172"/>
      <c r="VIE410" s="172"/>
      <c r="VIF410" s="172"/>
      <c r="VIG410" s="172"/>
      <c r="VIH410" s="172"/>
      <c r="VII410" s="172"/>
      <c r="VIJ410" s="172"/>
      <c r="VIK410" s="172"/>
      <c r="VIL410" s="172"/>
      <c r="VIM410" s="172"/>
      <c r="VIN410" s="172"/>
      <c r="VIO410" s="172"/>
      <c r="VIP410" s="172"/>
      <c r="VIQ410" s="172"/>
      <c r="VIR410" s="172"/>
      <c r="VIS410" s="172"/>
      <c r="VIT410" s="172"/>
      <c r="VIU410" s="172"/>
      <c r="VIV410" s="172"/>
      <c r="VIW410" s="172"/>
      <c r="VIX410" s="172"/>
      <c r="VIY410" s="172"/>
      <c r="VIZ410" s="172"/>
      <c r="VJA410" s="172"/>
      <c r="VJB410" s="172"/>
      <c r="VJC410" s="172"/>
      <c r="VJD410" s="172"/>
      <c r="VJE410" s="172"/>
      <c r="VJF410" s="172"/>
      <c r="VJG410" s="172"/>
      <c r="VJH410" s="172"/>
      <c r="VJI410" s="172"/>
      <c r="VJJ410" s="172"/>
      <c r="VJK410" s="172"/>
      <c r="VJL410" s="172"/>
      <c r="VJM410" s="172"/>
      <c r="VJN410" s="172"/>
      <c r="VJO410" s="172"/>
      <c r="VJP410" s="172"/>
      <c r="VJQ410" s="172"/>
      <c r="VJR410" s="172"/>
      <c r="VJS410" s="172"/>
      <c r="VJT410" s="172"/>
      <c r="VJU410" s="172"/>
      <c r="VJV410" s="172"/>
      <c r="VJW410" s="172"/>
      <c r="VJX410" s="172"/>
      <c r="VJY410" s="172"/>
      <c r="VJZ410" s="172"/>
      <c r="VKA410" s="172"/>
      <c r="VKB410" s="172"/>
      <c r="VKC410" s="172"/>
      <c r="VKD410" s="172"/>
      <c r="VKE410" s="172"/>
      <c r="VKF410" s="172"/>
      <c r="VKG410" s="172"/>
      <c r="VKH410" s="172"/>
      <c r="VKI410" s="172"/>
      <c r="VKJ410" s="172"/>
      <c r="VKK410" s="172"/>
      <c r="VKL410" s="172"/>
      <c r="VKM410" s="172"/>
      <c r="VKN410" s="172"/>
      <c r="VKO410" s="172"/>
      <c r="VKP410" s="172"/>
      <c r="VKQ410" s="172"/>
      <c r="VKR410" s="172"/>
      <c r="VKS410" s="172"/>
      <c r="VKT410" s="172"/>
      <c r="VKU410" s="172"/>
      <c r="VKV410" s="172"/>
      <c r="VKW410" s="172"/>
      <c r="VKX410" s="172"/>
      <c r="VKY410" s="172"/>
      <c r="VKZ410" s="172"/>
      <c r="VLA410" s="172"/>
      <c r="VLB410" s="172"/>
      <c r="VLC410" s="172"/>
      <c r="VLD410" s="172"/>
      <c r="VLE410" s="172"/>
      <c r="VLF410" s="172"/>
      <c r="VLG410" s="172"/>
      <c r="VLH410" s="172"/>
      <c r="VLI410" s="172"/>
      <c r="VLJ410" s="172"/>
      <c r="VLK410" s="172"/>
      <c r="VLL410" s="172"/>
      <c r="VLM410" s="172"/>
      <c r="VLN410" s="172"/>
      <c r="VLO410" s="172"/>
      <c r="VLP410" s="172"/>
      <c r="VLQ410" s="172"/>
      <c r="VLR410" s="172"/>
      <c r="VLS410" s="172"/>
      <c r="VLT410" s="172"/>
      <c r="VLU410" s="172"/>
      <c r="VLV410" s="172"/>
      <c r="VLW410" s="172"/>
      <c r="VLX410" s="172"/>
      <c r="VLY410" s="172"/>
      <c r="VLZ410" s="172"/>
      <c r="VMA410" s="172"/>
      <c r="VMB410" s="172"/>
      <c r="VMC410" s="172"/>
      <c r="VMD410" s="172"/>
      <c r="VME410" s="172"/>
      <c r="VMF410" s="172"/>
      <c r="VMG410" s="172"/>
      <c r="VMH410" s="172"/>
      <c r="VMI410" s="172"/>
      <c r="VMJ410" s="172"/>
      <c r="VMK410" s="172"/>
      <c r="VML410" s="172"/>
      <c r="VMM410" s="172"/>
      <c r="VMN410" s="172"/>
      <c r="VMO410" s="172"/>
      <c r="VMP410" s="172"/>
      <c r="VMQ410" s="172"/>
      <c r="VMR410" s="172"/>
      <c r="VMS410" s="172"/>
      <c r="VMT410" s="172"/>
      <c r="VMU410" s="172"/>
      <c r="VMV410" s="172"/>
      <c r="VMW410" s="172"/>
      <c r="VMX410" s="172"/>
      <c r="VMY410" s="172"/>
      <c r="VMZ410" s="172"/>
      <c r="VNA410" s="172"/>
      <c r="VNB410" s="172"/>
      <c r="VNC410" s="172"/>
      <c r="VND410" s="172"/>
      <c r="VNE410" s="172"/>
      <c r="VNF410" s="172"/>
      <c r="VNG410" s="172"/>
      <c r="VNH410" s="172"/>
      <c r="VNI410" s="172"/>
      <c r="VNJ410" s="172"/>
      <c r="VNK410" s="172"/>
      <c r="VNL410" s="172"/>
      <c r="VNM410" s="172"/>
      <c r="VNN410" s="172"/>
      <c r="VNO410" s="172"/>
      <c r="VNP410" s="172"/>
      <c r="VNQ410" s="172"/>
      <c r="VNR410" s="172"/>
      <c r="VNS410" s="172"/>
      <c r="VNT410" s="172"/>
      <c r="VNU410" s="172"/>
      <c r="VNV410" s="172"/>
      <c r="VNW410" s="172"/>
      <c r="VNX410" s="172"/>
      <c r="VNY410" s="172"/>
      <c r="VNZ410" s="172"/>
      <c r="VOA410" s="172"/>
      <c r="VOB410" s="172"/>
      <c r="VOC410" s="172"/>
      <c r="VOD410" s="172"/>
      <c r="VOE410" s="172"/>
      <c r="VOF410" s="172"/>
      <c r="VOG410" s="172"/>
      <c r="VOH410" s="172"/>
      <c r="VOI410" s="172"/>
      <c r="VOJ410" s="172"/>
      <c r="VOK410" s="172"/>
      <c r="VOL410" s="172"/>
      <c r="VOM410" s="172"/>
      <c r="VON410" s="172"/>
      <c r="VOO410" s="172"/>
      <c r="VOP410" s="172"/>
      <c r="VOQ410" s="172"/>
      <c r="VOR410" s="172"/>
      <c r="VOS410" s="172"/>
      <c r="VOT410" s="172"/>
      <c r="VOU410" s="172"/>
      <c r="VOV410" s="172"/>
      <c r="VOW410" s="172"/>
      <c r="VOX410" s="172"/>
      <c r="VOY410" s="172"/>
      <c r="VOZ410" s="172"/>
      <c r="VPA410" s="172"/>
      <c r="VPB410" s="172"/>
      <c r="VPC410" s="172"/>
      <c r="VPD410" s="172"/>
      <c r="VPE410" s="172"/>
      <c r="VPF410" s="172"/>
      <c r="VPG410" s="172"/>
      <c r="VPH410" s="172"/>
      <c r="VPI410" s="172"/>
      <c r="VPJ410" s="172"/>
      <c r="VPK410" s="172"/>
      <c r="VPL410" s="172"/>
      <c r="VPM410" s="172"/>
      <c r="VPN410" s="172"/>
      <c r="VPO410" s="172"/>
      <c r="VPP410" s="172"/>
      <c r="VPQ410" s="172"/>
      <c r="VPR410" s="172"/>
      <c r="VPS410" s="172"/>
      <c r="VPT410" s="172"/>
      <c r="VPU410" s="172"/>
      <c r="VPV410" s="172"/>
      <c r="VPW410" s="172"/>
      <c r="VPX410" s="172"/>
      <c r="VPY410" s="172"/>
      <c r="VPZ410" s="172"/>
      <c r="VQA410" s="172"/>
      <c r="VQB410" s="172"/>
      <c r="VQC410" s="172"/>
      <c r="VQD410" s="172"/>
      <c r="VQE410" s="172"/>
      <c r="VQF410" s="172"/>
      <c r="VQG410" s="172"/>
      <c r="VQH410" s="172"/>
      <c r="VQI410" s="172"/>
      <c r="VQJ410" s="172"/>
      <c r="VQK410" s="172"/>
      <c r="VQL410" s="172"/>
      <c r="VQM410" s="172"/>
      <c r="VQN410" s="172"/>
      <c r="VQO410" s="172"/>
      <c r="VQP410" s="172"/>
      <c r="VQQ410" s="172"/>
      <c r="VQR410" s="172"/>
      <c r="VQS410" s="172"/>
      <c r="VQT410" s="172"/>
      <c r="VQU410" s="172"/>
      <c r="VQV410" s="172"/>
      <c r="VQW410" s="172"/>
      <c r="VQX410" s="172"/>
      <c r="VQY410" s="172"/>
      <c r="VQZ410" s="172"/>
      <c r="VRA410" s="172"/>
      <c r="VRB410" s="172"/>
      <c r="VRC410" s="172"/>
      <c r="VRD410" s="172"/>
      <c r="VRE410" s="172"/>
      <c r="VRF410" s="172"/>
      <c r="VRG410" s="172"/>
      <c r="VRH410" s="172"/>
      <c r="VRI410" s="172"/>
      <c r="VRJ410" s="172"/>
      <c r="VRK410" s="172"/>
      <c r="VRL410" s="172"/>
      <c r="VRM410" s="172"/>
      <c r="VRN410" s="172"/>
      <c r="VRO410" s="172"/>
      <c r="VRP410" s="172"/>
      <c r="VRQ410" s="172"/>
      <c r="VRR410" s="172"/>
      <c r="VRS410" s="172"/>
      <c r="VRT410" s="172"/>
      <c r="VRU410" s="172"/>
      <c r="VRV410" s="172"/>
      <c r="VRW410" s="172"/>
      <c r="VRX410" s="172"/>
      <c r="VRY410" s="172"/>
      <c r="VRZ410" s="172"/>
      <c r="VSA410" s="172"/>
      <c r="VSB410" s="172"/>
      <c r="VSC410" s="172"/>
      <c r="VSD410" s="172"/>
      <c r="VSE410" s="172"/>
      <c r="VSF410" s="172"/>
      <c r="VSG410" s="172"/>
      <c r="VSH410" s="172"/>
      <c r="VSI410" s="172"/>
      <c r="VSJ410" s="172"/>
      <c r="VSK410" s="172"/>
      <c r="VSL410" s="172"/>
      <c r="VSM410" s="172"/>
      <c r="VSN410" s="172"/>
      <c r="VSO410" s="172"/>
      <c r="VSP410" s="172"/>
      <c r="VSQ410" s="172"/>
      <c r="VSR410" s="172"/>
      <c r="VSS410" s="172"/>
      <c r="VST410" s="172"/>
      <c r="VSU410" s="172"/>
      <c r="VSV410" s="172"/>
      <c r="VSW410" s="172"/>
      <c r="VSX410" s="172"/>
      <c r="VSY410" s="172"/>
      <c r="VSZ410" s="172"/>
      <c r="VTA410" s="172"/>
      <c r="VTB410" s="172"/>
      <c r="VTC410" s="172"/>
      <c r="VTD410" s="172"/>
      <c r="VTE410" s="172"/>
      <c r="VTF410" s="172"/>
      <c r="VTG410" s="172"/>
      <c r="VTH410" s="172"/>
      <c r="VTI410" s="172"/>
      <c r="VTJ410" s="172"/>
      <c r="VTK410" s="172"/>
      <c r="VTL410" s="172"/>
      <c r="VTM410" s="172"/>
      <c r="VTN410" s="172"/>
      <c r="VTO410" s="172"/>
      <c r="VTP410" s="172"/>
      <c r="VTQ410" s="172"/>
      <c r="VTR410" s="172"/>
      <c r="VTS410" s="172"/>
      <c r="VTT410" s="172"/>
      <c r="VTU410" s="172"/>
      <c r="VTV410" s="172"/>
      <c r="VTW410" s="172"/>
      <c r="VTX410" s="172"/>
      <c r="VTY410" s="172"/>
      <c r="VTZ410" s="172"/>
      <c r="VUA410" s="172"/>
      <c r="VUB410" s="172"/>
      <c r="VUC410" s="172"/>
      <c r="VUD410" s="172"/>
      <c r="VUE410" s="172"/>
      <c r="VUF410" s="172"/>
      <c r="VUG410" s="172"/>
      <c r="VUH410" s="172"/>
      <c r="VUI410" s="172"/>
      <c r="VUJ410" s="172"/>
      <c r="VUK410" s="172"/>
      <c r="VUL410" s="172"/>
      <c r="VUM410" s="172"/>
      <c r="VUN410" s="172"/>
      <c r="VUO410" s="172"/>
      <c r="VUP410" s="172"/>
      <c r="VUQ410" s="172"/>
      <c r="VUR410" s="172"/>
      <c r="VUS410" s="172"/>
      <c r="VUT410" s="172"/>
      <c r="VUU410" s="172"/>
      <c r="VUV410" s="172"/>
      <c r="VUW410" s="172"/>
      <c r="VUX410" s="172"/>
      <c r="VUY410" s="172"/>
      <c r="VUZ410" s="172"/>
      <c r="VVA410" s="172"/>
      <c r="VVB410" s="172"/>
      <c r="VVC410" s="172"/>
      <c r="VVD410" s="172"/>
      <c r="VVE410" s="172"/>
      <c r="VVF410" s="172"/>
      <c r="VVG410" s="172"/>
      <c r="VVH410" s="172"/>
      <c r="VVI410" s="172"/>
      <c r="VVJ410" s="172"/>
      <c r="VVK410" s="172"/>
      <c r="VVL410" s="172"/>
      <c r="VVM410" s="172"/>
      <c r="VVN410" s="172"/>
      <c r="VVO410" s="172"/>
      <c r="VVP410" s="172"/>
      <c r="VVQ410" s="172"/>
      <c r="VVR410" s="172"/>
      <c r="VVS410" s="172"/>
      <c r="VVT410" s="172"/>
      <c r="VVU410" s="172"/>
      <c r="VVV410" s="172"/>
      <c r="VVW410" s="172"/>
      <c r="VVX410" s="172"/>
      <c r="VVY410" s="172"/>
      <c r="VVZ410" s="172"/>
      <c r="VWA410" s="172"/>
      <c r="VWB410" s="172"/>
      <c r="VWC410" s="172"/>
      <c r="VWD410" s="172"/>
      <c r="VWE410" s="172"/>
      <c r="VWF410" s="172"/>
      <c r="VWG410" s="172"/>
      <c r="VWH410" s="172"/>
      <c r="VWI410" s="172"/>
      <c r="VWJ410" s="172"/>
      <c r="VWK410" s="172"/>
      <c r="VWL410" s="172"/>
      <c r="VWM410" s="172"/>
      <c r="VWN410" s="172"/>
      <c r="VWO410" s="172"/>
      <c r="VWP410" s="172"/>
      <c r="VWQ410" s="172"/>
      <c r="VWR410" s="172"/>
      <c r="VWS410" s="172"/>
      <c r="VWT410" s="172"/>
      <c r="VWU410" s="172"/>
      <c r="VWV410" s="172"/>
      <c r="VWW410" s="172"/>
      <c r="VWX410" s="172"/>
      <c r="VWY410" s="172"/>
      <c r="VWZ410" s="172"/>
      <c r="VXA410" s="172"/>
      <c r="VXB410" s="172"/>
      <c r="VXC410" s="172"/>
      <c r="VXD410" s="172"/>
      <c r="VXE410" s="172"/>
      <c r="VXF410" s="172"/>
      <c r="VXG410" s="172"/>
      <c r="VXH410" s="172"/>
      <c r="VXI410" s="172"/>
      <c r="VXJ410" s="172"/>
      <c r="VXK410" s="172"/>
      <c r="VXL410" s="172"/>
      <c r="VXM410" s="172"/>
      <c r="VXN410" s="172"/>
      <c r="VXO410" s="172"/>
      <c r="VXP410" s="172"/>
      <c r="VXQ410" s="172"/>
      <c r="VXR410" s="172"/>
      <c r="VXS410" s="172"/>
      <c r="VXT410" s="172"/>
      <c r="VXU410" s="172"/>
      <c r="VXV410" s="172"/>
      <c r="VXW410" s="172"/>
      <c r="VXX410" s="172"/>
      <c r="VXY410" s="172"/>
      <c r="VXZ410" s="172"/>
      <c r="VYA410" s="172"/>
      <c r="VYB410" s="172"/>
      <c r="VYC410" s="172"/>
      <c r="VYD410" s="172"/>
      <c r="VYE410" s="172"/>
      <c r="VYF410" s="172"/>
      <c r="VYG410" s="172"/>
      <c r="VYH410" s="172"/>
      <c r="VYI410" s="172"/>
      <c r="VYJ410" s="172"/>
      <c r="VYK410" s="172"/>
      <c r="VYL410" s="172"/>
      <c r="VYM410" s="172"/>
      <c r="VYN410" s="172"/>
      <c r="VYO410" s="172"/>
      <c r="VYP410" s="172"/>
      <c r="VYQ410" s="172"/>
      <c r="VYR410" s="172"/>
      <c r="VYS410" s="172"/>
      <c r="VYT410" s="172"/>
      <c r="VYU410" s="172"/>
      <c r="VYV410" s="172"/>
      <c r="VYW410" s="172"/>
      <c r="VYX410" s="172"/>
      <c r="VYY410" s="172"/>
      <c r="VYZ410" s="172"/>
      <c r="VZA410" s="172"/>
      <c r="VZB410" s="172"/>
      <c r="VZC410" s="172"/>
      <c r="VZD410" s="172"/>
      <c r="VZE410" s="172"/>
      <c r="VZF410" s="172"/>
      <c r="VZG410" s="172"/>
      <c r="VZH410" s="172"/>
      <c r="VZI410" s="172"/>
      <c r="VZJ410" s="172"/>
      <c r="VZK410" s="172"/>
      <c r="VZL410" s="172"/>
      <c r="VZM410" s="172"/>
      <c r="VZN410" s="172"/>
      <c r="VZO410" s="172"/>
      <c r="VZP410" s="172"/>
      <c r="VZQ410" s="172"/>
      <c r="VZR410" s="172"/>
      <c r="VZS410" s="172"/>
      <c r="VZT410" s="172"/>
      <c r="VZU410" s="172"/>
      <c r="VZV410" s="172"/>
      <c r="VZW410" s="172"/>
      <c r="VZX410" s="172"/>
      <c r="VZY410" s="172"/>
      <c r="VZZ410" s="172"/>
      <c r="WAA410" s="172"/>
      <c r="WAB410" s="172"/>
      <c r="WAC410" s="172"/>
      <c r="WAD410" s="172"/>
      <c r="WAE410" s="172"/>
      <c r="WAF410" s="172"/>
      <c r="WAG410" s="172"/>
      <c r="WAH410" s="172"/>
      <c r="WAI410" s="172"/>
      <c r="WAJ410" s="172"/>
      <c r="WAK410" s="172"/>
      <c r="WAL410" s="172"/>
      <c r="WAM410" s="172"/>
      <c r="WAN410" s="172"/>
      <c r="WAO410" s="172"/>
      <c r="WAP410" s="172"/>
      <c r="WAQ410" s="172"/>
      <c r="WAR410" s="172"/>
      <c r="WAS410" s="172"/>
      <c r="WAT410" s="172"/>
      <c r="WAU410" s="172"/>
      <c r="WAV410" s="172"/>
      <c r="WAW410" s="172"/>
      <c r="WAX410" s="172"/>
      <c r="WAY410" s="172"/>
      <c r="WAZ410" s="172"/>
      <c r="WBA410" s="172"/>
      <c r="WBB410" s="172"/>
      <c r="WBC410" s="172"/>
      <c r="WBD410" s="172"/>
      <c r="WBE410" s="172"/>
      <c r="WBF410" s="172"/>
      <c r="WBG410" s="172"/>
      <c r="WBH410" s="172"/>
      <c r="WBI410" s="172"/>
      <c r="WBJ410" s="172"/>
      <c r="WBK410" s="172"/>
      <c r="WBL410" s="172"/>
      <c r="WBM410" s="172"/>
      <c r="WBN410" s="172"/>
      <c r="WBO410" s="172"/>
      <c r="WBP410" s="172"/>
      <c r="WBQ410" s="172"/>
      <c r="WBR410" s="172"/>
      <c r="WBS410" s="172"/>
      <c r="WBT410" s="172"/>
      <c r="WBU410" s="172"/>
      <c r="WBV410" s="172"/>
      <c r="WBW410" s="172"/>
      <c r="WBX410" s="172"/>
      <c r="WBY410" s="172"/>
      <c r="WBZ410" s="172"/>
      <c r="WCA410" s="172"/>
      <c r="WCB410" s="172"/>
      <c r="WCC410" s="172"/>
      <c r="WCD410" s="172"/>
      <c r="WCE410" s="172"/>
      <c r="WCF410" s="172"/>
      <c r="WCG410" s="172"/>
      <c r="WCH410" s="172"/>
      <c r="WCI410" s="172"/>
      <c r="WCJ410" s="172"/>
      <c r="WCK410" s="172"/>
      <c r="WCL410" s="172"/>
      <c r="WCM410" s="172"/>
      <c r="WCN410" s="172"/>
      <c r="WCO410" s="172"/>
      <c r="WCP410" s="172"/>
      <c r="WCQ410" s="172"/>
      <c r="WCR410" s="172"/>
      <c r="WCS410" s="172"/>
      <c r="WCT410" s="172"/>
      <c r="WCU410" s="172"/>
      <c r="WCV410" s="172"/>
      <c r="WCW410" s="172"/>
      <c r="WCX410" s="172"/>
      <c r="WCY410" s="172"/>
      <c r="WCZ410" s="172"/>
      <c r="WDA410" s="172"/>
      <c r="WDB410" s="172"/>
      <c r="WDC410" s="172"/>
      <c r="WDD410" s="172"/>
      <c r="WDE410" s="172"/>
      <c r="WDF410" s="172"/>
      <c r="WDG410" s="172"/>
      <c r="WDH410" s="172"/>
      <c r="WDI410" s="172"/>
      <c r="WDJ410" s="172"/>
      <c r="WDK410" s="172"/>
      <c r="WDL410" s="172"/>
      <c r="WDM410" s="172"/>
      <c r="WDN410" s="172"/>
      <c r="WDO410" s="172"/>
      <c r="WDP410" s="172"/>
      <c r="WDQ410" s="172"/>
      <c r="WDR410" s="172"/>
      <c r="WDS410" s="172"/>
      <c r="WDT410" s="172"/>
      <c r="WDU410" s="172"/>
      <c r="WDV410" s="172"/>
      <c r="WDW410" s="172"/>
      <c r="WDX410" s="172"/>
      <c r="WDY410" s="172"/>
      <c r="WDZ410" s="172"/>
      <c r="WEA410" s="172"/>
      <c r="WEB410" s="172"/>
      <c r="WEC410" s="172"/>
      <c r="WED410" s="172"/>
      <c r="WEE410" s="172"/>
      <c r="WEF410" s="172"/>
      <c r="WEG410" s="172"/>
      <c r="WEH410" s="172"/>
      <c r="WEI410" s="172"/>
      <c r="WEJ410" s="172"/>
      <c r="WEK410" s="172"/>
      <c r="WEL410" s="172"/>
      <c r="WEM410" s="172"/>
      <c r="WEN410" s="172"/>
      <c r="WEO410" s="172"/>
      <c r="WEP410" s="172"/>
      <c r="WEQ410" s="172"/>
      <c r="WER410" s="172"/>
      <c r="WES410" s="172"/>
      <c r="WET410" s="172"/>
      <c r="WEU410" s="172"/>
      <c r="WEV410" s="172"/>
      <c r="WEW410" s="172"/>
      <c r="WEX410" s="172"/>
      <c r="WEY410" s="172"/>
      <c r="WEZ410" s="172"/>
      <c r="WFA410" s="172"/>
      <c r="WFB410" s="172"/>
      <c r="WFC410" s="172"/>
      <c r="WFD410" s="172"/>
      <c r="WFE410" s="172"/>
      <c r="WFF410" s="172"/>
      <c r="WFG410" s="172"/>
      <c r="WFH410" s="172"/>
      <c r="WFI410" s="172"/>
      <c r="WFJ410" s="172"/>
      <c r="WFK410" s="172"/>
      <c r="WFL410" s="172"/>
      <c r="WFM410" s="172"/>
      <c r="WFN410" s="172"/>
      <c r="WFO410" s="172"/>
      <c r="WFP410" s="172"/>
      <c r="WFQ410" s="172"/>
      <c r="WFR410" s="172"/>
      <c r="WFS410" s="172"/>
      <c r="WFT410" s="172"/>
      <c r="WFU410" s="172"/>
      <c r="WFV410" s="172"/>
      <c r="WFW410" s="172"/>
      <c r="WFX410" s="172"/>
      <c r="WFY410" s="172"/>
      <c r="WFZ410" s="172"/>
      <c r="WGA410" s="172"/>
      <c r="WGB410" s="172"/>
      <c r="WGC410" s="172"/>
      <c r="WGD410" s="172"/>
      <c r="WGE410" s="172"/>
      <c r="WGF410" s="172"/>
      <c r="WGG410" s="172"/>
      <c r="WGH410" s="172"/>
      <c r="WGI410" s="172"/>
      <c r="WGJ410" s="172"/>
      <c r="WGK410" s="172"/>
      <c r="WGL410" s="172"/>
      <c r="WGM410" s="172"/>
      <c r="WGN410" s="172"/>
      <c r="WGO410" s="172"/>
      <c r="WGP410" s="172"/>
      <c r="WGQ410" s="172"/>
      <c r="WGR410" s="172"/>
      <c r="WGS410" s="172"/>
      <c r="WGT410" s="172"/>
      <c r="WGU410" s="172"/>
      <c r="WGV410" s="172"/>
      <c r="WGW410" s="172"/>
      <c r="WGX410" s="172"/>
      <c r="WGY410" s="172"/>
      <c r="WGZ410" s="172"/>
      <c r="WHA410" s="172"/>
      <c r="WHB410" s="172"/>
      <c r="WHC410" s="172"/>
      <c r="WHD410" s="172"/>
      <c r="WHE410" s="172"/>
      <c r="WHF410" s="172"/>
      <c r="WHG410" s="172"/>
      <c r="WHH410" s="172"/>
      <c r="WHI410" s="172"/>
      <c r="WHJ410" s="172"/>
      <c r="WHK410" s="172"/>
      <c r="WHL410" s="172"/>
      <c r="WHM410" s="172"/>
      <c r="WHN410" s="172"/>
      <c r="WHO410" s="172"/>
      <c r="WHP410" s="172"/>
      <c r="WHQ410" s="172"/>
      <c r="WHR410" s="172"/>
      <c r="WHS410" s="172"/>
      <c r="WHT410" s="172"/>
      <c r="WHU410" s="172"/>
      <c r="WHV410" s="172"/>
      <c r="WHW410" s="172"/>
      <c r="WHX410" s="172"/>
      <c r="WHY410" s="172"/>
      <c r="WHZ410" s="172"/>
      <c r="WIA410" s="172"/>
      <c r="WIB410" s="172"/>
      <c r="WIC410" s="172"/>
      <c r="WID410" s="172"/>
      <c r="WIE410" s="172"/>
      <c r="WIF410" s="172"/>
      <c r="WIG410" s="172"/>
      <c r="WIH410" s="172"/>
      <c r="WII410" s="172"/>
      <c r="WIJ410" s="172"/>
      <c r="WIK410" s="172"/>
      <c r="WIL410" s="172"/>
      <c r="WIM410" s="172"/>
      <c r="WIN410" s="172"/>
      <c r="WIO410" s="172"/>
      <c r="WIP410" s="172"/>
      <c r="WIQ410" s="172"/>
      <c r="WIR410" s="172"/>
      <c r="WIS410" s="172"/>
      <c r="WIT410" s="172"/>
      <c r="WIU410" s="172"/>
      <c r="WIV410" s="172"/>
      <c r="WIW410" s="172"/>
      <c r="WIX410" s="172"/>
      <c r="WIY410" s="172"/>
      <c r="WIZ410" s="172"/>
      <c r="WJA410" s="172"/>
      <c r="WJB410" s="172"/>
      <c r="WJC410" s="172"/>
      <c r="WJD410" s="172"/>
      <c r="WJE410" s="172"/>
      <c r="WJF410" s="172"/>
      <c r="WJG410" s="172"/>
      <c r="WJH410" s="172"/>
      <c r="WJI410" s="172"/>
      <c r="WJJ410" s="172"/>
      <c r="WJK410" s="172"/>
      <c r="WJL410" s="172"/>
      <c r="WJM410" s="172"/>
      <c r="WJN410" s="172"/>
      <c r="WJO410" s="172"/>
      <c r="WJP410" s="172"/>
      <c r="WJQ410" s="172"/>
      <c r="WJR410" s="172"/>
      <c r="WJS410" s="172"/>
      <c r="WJT410" s="172"/>
      <c r="WJU410" s="172"/>
      <c r="WJV410" s="172"/>
      <c r="WJW410" s="172"/>
      <c r="WJX410" s="172"/>
      <c r="WJY410" s="172"/>
      <c r="WJZ410" s="172"/>
      <c r="WKA410" s="172"/>
      <c r="WKB410" s="172"/>
      <c r="WKC410" s="172"/>
      <c r="WKD410" s="172"/>
      <c r="WKE410" s="172"/>
      <c r="WKF410" s="172"/>
      <c r="WKG410" s="172"/>
      <c r="WKH410" s="172"/>
      <c r="WKI410" s="172"/>
      <c r="WKJ410" s="172"/>
      <c r="WKK410" s="172"/>
      <c r="WKL410" s="172"/>
      <c r="WKM410" s="172"/>
      <c r="WKN410" s="172"/>
      <c r="WKO410" s="172"/>
      <c r="WKP410" s="172"/>
      <c r="WKQ410" s="172"/>
      <c r="WKR410" s="172"/>
      <c r="WKS410" s="172"/>
      <c r="WKT410" s="172"/>
      <c r="WKU410" s="172"/>
      <c r="WKV410" s="172"/>
      <c r="WKW410" s="172"/>
      <c r="WKX410" s="172"/>
      <c r="WKY410" s="172"/>
      <c r="WKZ410" s="172"/>
      <c r="WLA410" s="172"/>
      <c r="WLB410" s="172"/>
      <c r="WLC410" s="172"/>
      <c r="WLD410" s="172"/>
      <c r="WLE410" s="172"/>
      <c r="WLF410" s="172"/>
      <c r="WLG410" s="172"/>
      <c r="WLH410" s="172"/>
      <c r="WLI410" s="172"/>
      <c r="WLJ410" s="172"/>
      <c r="WLK410" s="172"/>
      <c r="WLL410" s="172"/>
      <c r="WLM410" s="172"/>
      <c r="WLN410" s="172"/>
      <c r="WLO410" s="172"/>
      <c r="WLP410" s="172"/>
      <c r="WLQ410" s="172"/>
      <c r="WLR410" s="172"/>
      <c r="WLS410" s="172"/>
      <c r="WLT410" s="172"/>
      <c r="WLU410" s="172"/>
      <c r="WLV410" s="172"/>
      <c r="WLW410" s="172"/>
      <c r="WLX410" s="172"/>
      <c r="WLY410" s="172"/>
      <c r="WLZ410" s="172"/>
      <c r="WMA410" s="172"/>
      <c r="WMB410" s="172"/>
      <c r="WMC410" s="172"/>
      <c r="WMD410" s="172"/>
      <c r="WME410" s="172"/>
      <c r="WMF410" s="172"/>
      <c r="WMG410" s="172"/>
      <c r="WMH410" s="172"/>
      <c r="WMI410" s="172"/>
      <c r="WMJ410" s="172"/>
      <c r="WMK410" s="172"/>
      <c r="WML410" s="172"/>
      <c r="WMM410" s="172"/>
      <c r="WMN410" s="172"/>
      <c r="WMO410" s="172"/>
      <c r="WMP410" s="172"/>
      <c r="WMQ410" s="172"/>
      <c r="WMR410" s="172"/>
      <c r="WMS410" s="172"/>
      <c r="WMT410" s="172"/>
      <c r="WMU410" s="172"/>
      <c r="WMV410" s="172"/>
      <c r="WMW410" s="172"/>
      <c r="WMX410" s="172"/>
      <c r="WMY410" s="172"/>
      <c r="WMZ410" s="172"/>
      <c r="WNA410" s="172"/>
      <c r="WNB410" s="172"/>
      <c r="WNC410" s="172"/>
      <c r="WND410" s="172"/>
      <c r="WNE410" s="172"/>
      <c r="WNF410" s="172"/>
      <c r="WNG410" s="172"/>
      <c r="WNH410" s="172"/>
      <c r="WNI410" s="172"/>
      <c r="WNJ410" s="172"/>
      <c r="WNK410" s="172"/>
      <c r="WNL410" s="172"/>
      <c r="WNM410" s="172"/>
      <c r="WNN410" s="172"/>
      <c r="WNO410" s="172"/>
      <c r="WNP410" s="172"/>
      <c r="WNQ410" s="172"/>
      <c r="WNR410" s="172"/>
      <c r="WNS410" s="172"/>
      <c r="WNT410" s="172"/>
      <c r="WNU410" s="172"/>
      <c r="WNV410" s="172"/>
      <c r="WNW410" s="172"/>
      <c r="WNX410" s="172"/>
      <c r="WNY410" s="172"/>
      <c r="WNZ410" s="172"/>
      <c r="WOA410" s="172"/>
      <c r="WOB410" s="172"/>
      <c r="WOC410" s="172"/>
      <c r="WOD410" s="172"/>
      <c r="WOE410" s="172"/>
      <c r="WOF410" s="172"/>
      <c r="WOG410" s="172"/>
      <c r="WOH410" s="172"/>
      <c r="WOI410" s="172"/>
      <c r="WOJ410" s="172"/>
      <c r="WOK410" s="172"/>
      <c r="WOL410" s="172"/>
      <c r="WOM410" s="172"/>
      <c r="WON410" s="172"/>
      <c r="WOO410" s="172"/>
      <c r="WOP410" s="172"/>
      <c r="WOQ410" s="172"/>
      <c r="WOR410" s="172"/>
      <c r="WOS410" s="172"/>
      <c r="WOT410" s="172"/>
      <c r="WOU410" s="172"/>
      <c r="WOV410" s="172"/>
      <c r="WOW410" s="172"/>
      <c r="WOX410" s="172"/>
      <c r="WOY410" s="172"/>
      <c r="WOZ410" s="172"/>
      <c r="WPA410" s="172"/>
      <c r="WPB410" s="172"/>
      <c r="WPC410" s="172"/>
      <c r="WPD410" s="172"/>
      <c r="WPE410" s="172"/>
      <c r="WPF410" s="172"/>
      <c r="WPG410" s="172"/>
      <c r="WPH410" s="172"/>
      <c r="WPI410" s="172"/>
      <c r="WPJ410" s="172"/>
      <c r="WPK410" s="172"/>
      <c r="WPL410" s="172"/>
      <c r="WPM410" s="172"/>
      <c r="WPN410" s="172"/>
      <c r="WPO410" s="172"/>
      <c r="WPP410" s="172"/>
      <c r="WPQ410" s="172"/>
      <c r="WPR410" s="172"/>
      <c r="WPS410" s="172"/>
      <c r="WPT410" s="172"/>
      <c r="WPU410" s="172"/>
      <c r="WPV410" s="172"/>
      <c r="WPW410" s="172"/>
      <c r="WPX410" s="172"/>
      <c r="WPY410" s="172"/>
      <c r="WPZ410" s="172"/>
      <c r="WQA410" s="172"/>
      <c r="WQB410" s="172"/>
      <c r="WQC410" s="172"/>
      <c r="WQD410" s="172"/>
      <c r="WQE410" s="172"/>
      <c r="WQF410" s="172"/>
      <c r="WQG410" s="172"/>
      <c r="WQH410" s="172"/>
      <c r="WQI410" s="172"/>
      <c r="WQJ410" s="172"/>
      <c r="WQK410" s="172"/>
      <c r="WQL410" s="172"/>
      <c r="WQM410" s="172"/>
      <c r="WQN410" s="172"/>
      <c r="WQO410" s="172"/>
      <c r="WQP410" s="172"/>
      <c r="WQQ410" s="172"/>
      <c r="WQR410" s="172"/>
      <c r="WQS410" s="172"/>
      <c r="WQT410" s="172"/>
      <c r="WQU410" s="172"/>
      <c r="WQV410" s="172"/>
      <c r="WQW410" s="172"/>
      <c r="WQX410" s="172"/>
      <c r="WQY410" s="172"/>
      <c r="WQZ410" s="172"/>
      <c r="WRA410" s="172"/>
      <c r="WRB410" s="172"/>
      <c r="WRC410" s="172"/>
      <c r="WRD410" s="172"/>
      <c r="WRE410" s="172"/>
      <c r="WRF410" s="172"/>
      <c r="WRG410" s="172"/>
      <c r="WRH410" s="172"/>
      <c r="WRI410" s="172"/>
      <c r="WRJ410" s="172"/>
      <c r="WRK410" s="172"/>
      <c r="WRL410" s="172"/>
      <c r="WRM410" s="172"/>
      <c r="WRN410" s="172"/>
      <c r="WRO410" s="172"/>
      <c r="WRP410" s="172"/>
      <c r="WRQ410" s="172"/>
      <c r="WRR410" s="172"/>
      <c r="WRS410" s="172"/>
      <c r="WRT410" s="172"/>
      <c r="WRU410" s="172"/>
      <c r="WRV410" s="172"/>
      <c r="WRW410" s="172"/>
      <c r="WRX410" s="172"/>
      <c r="WRY410" s="172"/>
      <c r="WRZ410" s="172"/>
      <c r="WSA410" s="172"/>
      <c r="WSB410" s="172"/>
      <c r="WSC410" s="172"/>
      <c r="WSD410" s="172"/>
      <c r="WSE410" s="172"/>
      <c r="WSF410" s="172"/>
      <c r="WSG410" s="172"/>
      <c r="WSH410" s="172"/>
      <c r="WSI410" s="172"/>
      <c r="WSJ410" s="172"/>
      <c r="WSK410" s="172"/>
      <c r="WSL410" s="172"/>
      <c r="WSM410" s="172"/>
      <c r="WSN410" s="172"/>
      <c r="WSO410" s="172"/>
      <c r="WSP410" s="172"/>
      <c r="WSQ410" s="172"/>
      <c r="WSR410" s="172"/>
      <c r="WSS410" s="172"/>
      <c r="WST410" s="172"/>
      <c r="WSU410" s="172"/>
      <c r="WSV410" s="172"/>
      <c r="WSW410" s="172"/>
      <c r="WSX410" s="172"/>
      <c r="WSY410" s="172"/>
      <c r="WSZ410" s="172"/>
      <c r="WTA410" s="172"/>
      <c r="WTB410" s="172"/>
      <c r="WTC410" s="172"/>
      <c r="WTD410" s="172"/>
      <c r="WTE410" s="172"/>
      <c r="WTF410" s="172"/>
      <c r="WTG410" s="172"/>
      <c r="WTH410" s="172"/>
      <c r="WTI410" s="172"/>
      <c r="WTJ410" s="172"/>
      <c r="WTK410" s="172"/>
      <c r="WTL410" s="172"/>
      <c r="WTM410" s="172"/>
      <c r="WTN410" s="172"/>
      <c r="WTO410" s="172"/>
      <c r="WTP410" s="172"/>
      <c r="WTQ410" s="172"/>
      <c r="WTR410" s="172"/>
      <c r="WTS410" s="172"/>
      <c r="WTT410" s="172"/>
      <c r="WTU410" s="172"/>
      <c r="WTV410" s="172"/>
      <c r="WTW410" s="172"/>
      <c r="WTX410" s="172"/>
      <c r="WTY410" s="172"/>
      <c r="WTZ410" s="172"/>
      <c r="WUA410" s="172"/>
      <c r="WUB410" s="172"/>
      <c r="WUC410" s="172"/>
      <c r="WUD410" s="172"/>
      <c r="WUE410" s="172"/>
      <c r="WUF410" s="172"/>
      <c r="WUG410" s="172"/>
      <c r="WUH410" s="172"/>
      <c r="WUI410" s="172"/>
      <c r="WUJ410" s="172"/>
      <c r="WUK410" s="172"/>
      <c r="WUL410" s="172"/>
      <c r="WUM410" s="172"/>
      <c r="WUN410" s="172"/>
      <c r="WUO410" s="172"/>
      <c r="WUP410" s="172"/>
      <c r="WUQ410" s="172"/>
      <c r="WUR410" s="172"/>
      <c r="WUS410" s="172"/>
      <c r="WUT410" s="172"/>
      <c r="WUU410" s="172"/>
      <c r="WUV410" s="172"/>
      <c r="WUW410" s="172"/>
      <c r="WUX410" s="172"/>
      <c r="WUY410" s="172"/>
      <c r="WUZ410" s="172"/>
      <c r="WVA410" s="172"/>
      <c r="WVB410" s="172"/>
      <c r="WVC410" s="172"/>
      <c r="WVD410" s="172"/>
      <c r="WVE410" s="172"/>
      <c r="WVF410" s="172"/>
      <c r="WVG410" s="172"/>
      <c r="WVH410" s="172"/>
      <c r="WVI410" s="172"/>
      <c r="WVJ410" s="172"/>
      <c r="WVK410" s="172"/>
      <c r="WVL410" s="172"/>
      <c r="WVM410" s="172"/>
      <c r="WVN410" s="172"/>
      <c r="WVO410" s="172"/>
      <c r="WVP410" s="172"/>
      <c r="WVQ410" s="172"/>
      <c r="WVR410" s="172"/>
      <c r="WVS410" s="172"/>
      <c r="WVT410" s="172"/>
      <c r="WVU410" s="172"/>
      <c r="WVV410" s="172"/>
      <c r="WVW410" s="172"/>
      <c r="WVX410" s="172"/>
      <c r="WVY410" s="172"/>
      <c r="WVZ410" s="172"/>
      <c r="WWA410" s="172"/>
      <c r="WWB410" s="172"/>
      <c r="WWC410" s="172"/>
      <c r="WWD410" s="172"/>
      <c r="WWE410" s="172"/>
      <c r="WWF410" s="172"/>
      <c r="WWG410" s="172"/>
      <c r="WWH410" s="172"/>
      <c r="WWI410" s="172"/>
      <c r="WWJ410" s="172"/>
      <c r="WWK410" s="172"/>
      <c r="WWL410" s="172"/>
      <c r="WWM410" s="172"/>
      <c r="WWN410" s="172"/>
      <c r="WWO410" s="172"/>
      <c r="WWP410" s="172"/>
      <c r="WWQ410" s="172"/>
      <c r="WWR410" s="172"/>
      <c r="WWS410" s="172"/>
      <c r="WWT410" s="172"/>
      <c r="WWU410" s="172"/>
      <c r="WWV410" s="172"/>
      <c r="WWW410" s="172"/>
      <c r="WWX410" s="172"/>
      <c r="WWY410" s="172"/>
      <c r="WWZ410" s="172"/>
      <c r="WXA410" s="172"/>
      <c r="WXB410" s="172"/>
      <c r="WXC410" s="172"/>
      <c r="WXD410" s="172"/>
      <c r="WXE410" s="172"/>
      <c r="WXF410" s="172"/>
      <c r="WXG410" s="172"/>
      <c r="WXH410" s="172"/>
      <c r="WXI410" s="172"/>
      <c r="WXJ410" s="172"/>
      <c r="WXK410" s="172"/>
      <c r="WXL410" s="172"/>
      <c r="WXM410" s="172"/>
      <c r="WXN410" s="172"/>
      <c r="WXO410" s="172"/>
      <c r="WXP410" s="172"/>
      <c r="WXQ410" s="172"/>
      <c r="WXR410" s="172"/>
      <c r="WXS410" s="172"/>
      <c r="WXT410" s="172"/>
      <c r="WXU410" s="172"/>
      <c r="WXV410" s="172"/>
      <c r="WXW410" s="172"/>
      <c r="WXX410" s="172"/>
      <c r="WXY410" s="172"/>
      <c r="WXZ410" s="172"/>
      <c r="WYA410" s="172"/>
      <c r="WYB410" s="172"/>
      <c r="WYC410" s="172"/>
      <c r="WYD410" s="172"/>
      <c r="WYE410" s="172"/>
      <c r="WYF410" s="172"/>
      <c r="WYG410" s="172"/>
      <c r="WYH410" s="172"/>
      <c r="WYI410" s="172"/>
      <c r="WYJ410" s="172"/>
      <c r="WYK410" s="172"/>
      <c r="WYL410" s="172"/>
      <c r="WYM410" s="172"/>
      <c r="WYN410" s="172"/>
      <c r="WYO410" s="172"/>
      <c r="WYP410" s="172"/>
      <c r="WYQ410" s="172"/>
      <c r="WYR410" s="172"/>
      <c r="WYS410" s="172"/>
      <c r="WYT410" s="172"/>
      <c r="WYU410" s="172"/>
      <c r="WYV410" s="172"/>
      <c r="WYW410" s="172"/>
      <c r="WYX410" s="172"/>
      <c r="WYY410" s="172"/>
      <c r="WYZ410" s="172"/>
      <c r="WZA410" s="172"/>
      <c r="WZB410" s="172"/>
      <c r="WZC410" s="172"/>
      <c r="WZD410" s="172"/>
      <c r="WZE410" s="172"/>
      <c r="WZF410" s="172"/>
      <c r="WZG410" s="172"/>
      <c r="WZH410" s="172"/>
      <c r="WZI410" s="172"/>
      <c r="WZJ410" s="172"/>
      <c r="WZK410" s="172"/>
      <c r="WZL410" s="172"/>
      <c r="WZM410" s="172"/>
      <c r="WZN410" s="172"/>
      <c r="WZO410" s="172"/>
      <c r="WZP410" s="172"/>
      <c r="WZQ410" s="172"/>
      <c r="WZR410" s="172"/>
      <c r="WZS410" s="172"/>
      <c r="WZT410" s="172"/>
      <c r="WZU410" s="172"/>
      <c r="WZV410" s="172"/>
      <c r="WZW410" s="172"/>
      <c r="WZX410" s="172"/>
      <c r="WZY410" s="172"/>
      <c r="WZZ410" s="172"/>
      <c r="XAA410" s="172"/>
      <c r="XAB410" s="172"/>
      <c r="XAC410" s="172"/>
      <c r="XAD410" s="172"/>
      <c r="XAE410" s="172"/>
      <c r="XAF410" s="172"/>
      <c r="XAG410" s="172"/>
      <c r="XAH410" s="172"/>
      <c r="XAI410" s="172"/>
      <c r="XAJ410" s="172"/>
      <c r="XAK410" s="172"/>
      <c r="XAL410" s="172"/>
      <c r="XAM410" s="172"/>
      <c r="XAN410" s="172"/>
      <c r="XAO410" s="172"/>
      <c r="XAP410" s="172"/>
      <c r="XAQ410" s="172"/>
      <c r="XAR410" s="172"/>
      <c r="XAS410" s="172"/>
      <c r="XAT410" s="172"/>
      <c r="XAU410" s="172"/>
      <c r="XAV410" s="172"/>
      <c r="XAW410" s="172"/>
      <c r="XAX410" s="172"/>
      <c r="XAY410" s="172"/>
      <c r="XAZ410" s="172"/>
      <c r="XBA410" s="172"/>
      <c r="XBB410" s="172"/>
      <c r="XBC410" s="172"/>
      <c r="XBD410" s="172"/>
      <c r="XBE410" s="172"/>
      <c r="XBF410" s="172"/>
      <c r="XBG410" s="172"/>
      <c r="XBH410" s="172"/>
      <c r="XBI410" s="172"/>
      <c r="XBJ410" s="172"/>
      <c r="XBK410" s="172"/>
      <c r="XBL410" s="172"/>
      <c r="XBM410" s="172"/>
      <c r="XBN410" s="172"/>
      <c r="XBO410" s="172"/>
      <c r="XBP410" s="172"/>
      <c r="XBQ410" s="172"/>
      <c r="XBR410" s="172"/>
      <c r="XBS410" s="172"/>
      <c r="XBT410" s="172"/>
      <c r="XBU410" s="172"/>
      <c r="XBV410" s="172"/>
      <c r="XBW410" s="172"/>
      <c r="XBX410" s="172"/>
      <c r="XBY410" s="172"/>
      <c r="XBZ410" s="172"/>
      <c r="XCA410" s="172"/>
      <c r="XCB410" s="172"/>
      <c r="XCC410" s="172"/>
      <c r="XCD410" s="172"/>
      <c r="XCE410" s="172"/>
      <c r="XCF410" s="172"/>
      <c r="XCG410" s="172"/>
      <c r="XCH410" s="172"/>
      <c r="XCI410" s="172"/>
      <c r="XCJ410" s="172"/>
      <c r="XCK410" s="172"/>
      <c r="XCL410" s="172"/>
      <c r="XCM410" s="172"/>
      <c r="XCN410" s="172"/>
      <c r="XCO410" s="172"/>
      <c r="XCP410" s="172"/>
      <c r="XCQ410" s="172"/>
      <c r="XCR410" s="172"/>
      <c r="XCS410" s="172"/>
      <c r="XCT410" s="172"/>
      <c r="XCU410" s="172"/>
      <c r="XCV410" s="172"/>
      <c r="XCW410" s="172"/>
      <c r="XCX410" s="172"/>
      <c r="XCY410" s="172"/>
      <c r="XCZ410" s="172"/>
      <c r="XDA410" s="172"/>
      <c r="XDB410" s="172"/>
      <c r="XDC410" s="172"/>
      <c r="XDD410" s="172"/>
      <c r="XDE410" s="172"/>
      <c r="XDF410" s="172"/>
      <c r="XDG410" s="172"/>
      <c r="XDH410" s="172"/>
      <c r="XDI410" s="172"/>
      <c r="XDJ410" s="172"/>
      <c r="XDK410" s="172"/>
      <c r="XDL410" s="172"/>
      <c r="XDM410" s="172"/>
      <c r="XDN410" s="172"/>
      <c r="XDO410" s="172"/>
      <c r="XDP410" s="172"/>
      <c r="XDQ410" s="172"/>
      <c r="XDR410" s="172"/>
      <c r="XDS410" s="172"/>
      <c r="XDT410" s="172"/>
      <c r="XDU410" s="172"/>
      <c r="XDV410" s="172"/>
      <c r="XDW410" s="172"/>
      <c r="XDX410" s="172"/>
      <c r="XDY410" s="172"/>
      <c r="XDZ410" s="172"/>
      <c r="XEA410" s="172"/>
      <c r="XEB410" s="172"/>
      <c r="XEC410" s="172"/>
      <c r="XED410" s="172"/>
      <c r="XEE410" s="172"/>
      <c r="XEF410" s="172"/>
      <c r="XEG410" s="172"/>
      <c r="XEH410" s="172"/>
      <c r="XEI410" s="172"/>
      <c r="XEJ410" s="172"/>
      <c r="XEK410" s="172"/>
      <c r="XEL410" s="172"/>
      <c r="XEM410" s="172"/>
      <c r="XEN410" s="172"/>
      <c r="XEO410" s="172"/>
      <c r="XEP410" s="172"/>
      <c r="XEQ410" s="172"/>
      <c r="XER410" s="172"/>
      <c r="XES410" s="172"/>
      <c r="XET410" s="172"/>
      <c r="XEU410" s="172"/>
      <c r="XEV410" s="172"/>
      <c r="XEW410" s="172"/>
      <c r="XEX410" s="172"/>
    </row>
    <row r="411" spans="1:16378">
      <c r="A411" s="129" t="s">
        <v>661</v>
      </c>
      <c r="D411" s="129" t="s">
        <v>403</v>
      </c>
      <c r="E411" s="61" t="s">
        <v>680</v>
      </c>
      <c r="F411" s="61">
        <v>2048000</v>
      </c>
      <c r="G411" s="61">
        <v>1126400</v>
      </c>
      <c r="H411" s="61">
        <v>978944</v>
      </c>
      <c r="I411" s="67">
        <v>0.54</v>
      </c>
      <c r="M411" s="21" t="s">
        <v>662</v>
      </c>
    </row>
    <row r="412" spans="1:16378">
      <c r="A412" s="129" t="s">
        <v>661</v>
      </c>
      <c r="D412" s="129" t="s">
        <v>403</v>
      </c>
      <c r="E412" s="61" t="s">
        <v>681</v>
      </c>
      <c r="F412" s="61">
        <v>1024000</v>
      </c>
      <c r="G412" s="61">
        <v>28672</v>
      </c>
      <c r="H412" s="61">
        <v>1020928</v>
      </c>
      <c r="I412" s="67">
        <v>0.03</v>
      </c>
      <c r="M412" s="21" t="s">
        <v>662</v>
      </c>
    </row>
    <row r="413" spans="1:16378">
      <c r="A413" s="129" t="s">
        <v>661</v>
      </c>
      <c r="D413" s="129" t="s">
        <v>403</v>
      </c>
      <c r="E413" s="61" t="s">
        <v>682</v>
      </c>
      <c r="F413" s="61">
        <v>1024000</v>
      </c>
      <c r="G413" s="61"/>
      <c r="H413" s="61">
        <v>1024000</v>
      </c>
      <c r="I413" s="67">
        <v>0.01</v>
      </c>
      <c r="M413" s="21" t="s">
        <v>662</v>
      </c>
    </row>
    <row r="414" spans="1:16378">
      <c r="A414" s="129" t="s">
        <v>661</v>
      </c>
      <c r="D414" s="129" t="s">
        <v>403</v>
      </c>
      <c r="E414" s="61" t="s">
        <v>683</v>
      </c>
      <c r="F414" s="61">
        <v>11264000</v>
      </c>
      <c r="G414" s="61">
        <v>8806400</v>
      </c>
      <c r="H414" s="61">
        <v>2048000</v>
      </c>
      <c r="I414" s="67">
        <v>0.82</v>
      </c>
      <c r="M414" s="21" t="s">
        <v>662</v>
      </c>
    </row>
    <row r="415" spans="1:16378">
      <c r="A415" s="129" t="s">
        <v>661</v>
      </c>
      <c r="D415" s="129" t="s">
        <v>403</v>
      </c>
      <c r="E415" s="61" t="s">
        <v>684</v>
      </c>
      <c r="F415" s="61">
        <v>25600000</v>
      </c>
      <c r="G415" s="61">
        <v>5939200</v>
      </c>
      <c r="H415" s="61">
        <v>20480000</v>
      </c>
      <c r="I415" s="67">
        <v>0.23</v>
      </c>
      <c r="M415" s="21" t="s">
        <v>662</v>
      </c>
    </row>
    <row r="416" spans="1:16378">
      <c r="A416" s="129" t="s">
        <v>661</v>
      </c>
      <c r="D416" s="129" t="s">
        <v>403</v>
      </c>
      <c r="E416" s="61" t="s">
        <v>685</v>
      </c>
      <c r="F416" s="61">
        <v>35840000</v>
      </c>
      <c r="G416" s="61">
        <v>4198400</v>
      </c>
      <c r="H416" s="61">
        <v>31744000</v>
      </c>
      <c r="I416" s="67">
        <v>0.12</v>
      </c>
      <c r="M416" s="21" t="s">
        <v>662</v>
      </c>
    </row>
    <row r="417" spans="1:13">
      <c r="A417" s="129" t="s">
        <v>661</v>
      </c>
      <c r="D417" s="129" t="s">
        <v>403</v>
      </c>
      <c r="E417" s="61" t="s">
        <v>686</v>
      </c>
      <c r="F417" s="61">
        <v>2048000</v>
      </c>
      <c r="G417" s="61"/>
      <c r="H417" s="61">
        <v>2048000</v>
      </c>
      <c r="I417" s="67">
        <v>0.01</v>
      </c>
      <c r="M417" s="21" t="s">
        <v>662</v>
      </c>
    </row>
    <row r="418" spans="1:13">
      <c r="A418" s="129" t="s">
        <v>661</v>
      </c>
      <c r="D418" s="129" t="s">
        <v>403</v>
      </c>
      <c r="E418" s="61" t="s">
        <v>687</v>
      </c>
      <c r="F418" s="61">
        <v>5120000</v>
      </c>
      <c r="G418" s="61">
        <v>3276800</v>
      </c>
      <c r="H418" s="61">
        <v>1945600</v>
      </c>
      <c r="I418" s="67">
        <v>0.64</v>
      </c>
      <c r="M418" s="21" t="s">
        <v>662</v>
      </c>
    </row>
    <row r="419" spans="1:13">
      <c r="A419" s="129" t="s">
        <v>661</v>
      </c>
      <c r="D419" s="129" t="s">
        <v>403</v>
      </c>
      <c r="E419" s="61" t="s">
        <v>688</v>
      </c>
      <c r="F419" s="61">
        <v>15360000</v>
      </c>
      <c r="G419" s="61">
        <v>12288000</v>
      </c>
      <c r="H419" s="61">
        <v>3379200</v>
      </c>
      <c r="I419" s="67">
        <v>0.79</v>
      </c>
      <c r="M419" s="21" t="s">
        <v>662</v>
      </c>
    </row>
    <row r="420" spans="1:13">
      <c r="A420" s="129" t="s">
        <v>661</v>
      </c>
      <c r="D420" s="129" t="s">
        <v>403</v>
      </c>
      <c r="E420" s="61" t="s">
        <v>689</v>
      </c>
      <c r="F420" s="61">
        <v>1024000</v>
      </c>
      <c r="G420" s="61">
        <v>324608</v>
      </c>
      <c r="H420" s="61">
        <v>724992</v>
      </c>
      <c r="I420" s="67">
        <v>0.31</v>
      </c>
      <c r="M420" s="21" t="s">
        <v>662</v>
      </c>
    </row>
    <row r="421" spans="1:13">
      <c r="A421" s="129" t="s">
        <v>661</v>
      </c>
      <c r="D421" s="129" t="s">
        <v>403</v>
      </c>
      <c r="E421" s="61" t="s">
        <v>690</v>
      </c>
      <c r="F421" s="61">
        <v>10240000</v>
      </c>
      <c r="G421" s="61">
        <v>8704000</v>
      </c>
      <c r="H421" s="61">
        <v>1638400</v>
      </c>
      <c r="I421" s="67">
        <v>0.85</v>
      </c>
      <c r="M421" s="21" t="s">
        <v>662</v>
      </c>
    </row>
    <row r="422" spans="1:13">
      <c r="A422" s="129" t="s">
        <v>661</v>
      </c>
      <c r="D422" s="129" t="s">
        <v>403</v>
      </c>
      <c r="E422" s="61" t="s">
        <v>691</v>
      </c>
      <c r="F422" s="61">
        <v>10240000</v>
      </c>
      <c r="G422" s="61">
        <v>6246400</v>
      </c>
      <c r="H422" s="61">
        <v>4096000</v>
      </c>
      <c r="I422" s="67">
        <v>0.61</v>
      </c>
      <c r="M422" s="21" t="s">
        <v>662</v>
      </c>
    </row>
    <row r="423" spans="1:13">
      <c r="A423" s="129" t="s">
        <v>661</v>
      </c>
      <c r="D423" s="129" t="s">
        <v>403</v>
      </c>
      <c r="E423" s="61" t="s">
        <v>692</v>
      </c>
      <c r="F423" s="61">
        <v>10240000</v>
      </c>
      <c r="G423" s="61">
        <v>8499200</v>
      </c>
      <c r="H423" s="61">
        <v>1843200</v>
      </c>
      <c r="I423" s="67">
        <v>0.83</v>
      </c>
      <c r="M423" s="21" t="s">
        <v>662</v>
      </c>
    </row>
    <row r="424" spans="1:13">
      <c r="A424" s="129" t="s">
        <v>661</v>
      </c>
      <c r="D424" s="129" t="s">
        <v>403</v>
      </c>
      <c r="E424" s="61" t="s">
        <v>693</v>
      </c>
      <c r="F424" s="61">
        <v>10240000</v>
      </c>
      <c r="G424" s="61">
        <v>6758400</v>
      </c>
      <c r="H424" s="61">
        <v>3584000</v>
      </c>
      <c r="I424" s="67">
        <v>0.66</v>
      </c>
      <c r="M424" s="21" t="s">
        <v>662</v>
      </c>
    </row>
    <row r="425" spans="1:13">
      <c r="A425" s="21" t="s">
        <v>694</v>
      </c>
      <c r="D425" s="129" t="s">
        <v>403</v>
      </c>
      <c r="E425" s="61" t="s">
        <v>695</v>
      </c>
      <c r="F425" s="61">
        <v>6000000</v>
      </c>
      <c r="G425" s="61">
        <v>716800</v>
      </c>
      <c r="H425" s="61">
        <v>5427200</v>
      </c>
      <c r="M425" s="21" t="s">
        <v>696</v>
      </c>
    </row>
    <row r="426" spans="1:13">
      <c r="A426" s="21" t="s">
        <v>697</v>
      </c>
      <c r="D426" s="129" t="s">
        <v>540</v>
      </c>
      <c r="E426" s="61" t="s">
        <v>420</v>
      </c>
      <c r="F426" s="61">
        <v>96000000</v>
      </c>
      <c r="G426" s="61">
        <v>33792000</v>
      </c>
      <c r="H426" s="61">
        <v>64000000</v>
      </c>
      <c r="M426" s="21" t="s">
        <v>696</v>
      </c>
    </row>
    <row r="427" spans="1:13">
      <c r="A427" s="21" t="s">
        <v>698</v>
      </c>
      <c r="D427" s="129" t="s">
        <v>403</v>
      </c>
      <c r="E427" t="s">
        <v>699</v>
      </c>
      <c r="F427">
        <v>200000</v>
      </c>
      <c r="G427">
        <v>32727.172849999999</v>
      </c>
      <c r="H427">
        <v>167272.82709999999</v>
      </c>
      <c r="I427">
        <v>16.36</v>
      </c>
      <c r="M427" s="21" t="s">
        <v>662</v>
      </c>
    </row>
    <row r="428" spans="1:13">
      <c r="A428" s="21" t="s">
        <v>698</v>
      </c>
      <c r="D428" s="129" t="s">
        <v>403</v>
      </c>
      <c r="E428" t="s">
        <v>700</v>
      </c>
      <c r="F428">
        <v>5120000</v>
      </c>
      <c r="G428">
        <v>547313.46129999997</v>
      </c>
      <c r="H428">
        <v>4572686.5389999999</v>
      </c>
      <c r="I428">
        <v>10.69</v>
      </c>
      <c r="M428" s="21" t="s">
        <v>662</v>
      </c>
    </row>
    <row r="429" spans="1:13">
      <c r="A429" s="21" t="s">
        <v>698</v>
      </c>
      <c r="D429" s="129" t="s">
        <v>403</v>
      </c>
      <c r="E429" t="s">
        <v>701</v>
      </c>
      <c r="F429">
        <v>20480000</v>
      </c>
      <c r="G429">
        <v>1189.2814639999999</v>
      </c>
      <c r="H429">
        <v>20478810.719999999</v>
      </c>
      <c r="I429">
        <v>0.01</v>
      </c>
      <c r="M429" s="21" t="s">
        <v>662</v>
      </c>
    </row>
    <row r="430" spans="1:13">
      <c r="A430" s="21" t="s">
        <v>698</v>
      </c>
      <c r="D430" s="129" t="s">
        <v>403</v>
      </c>
      <c r="E430" t="s">
        <v>702</v>
      </c>
      <c r="F430">
        <v>5120000</v>
      </c>
      <c r="G430">
        <v>1236.1640930000001</v>
      </c>
      <c r="H430">
        <v>5118763.8360000001</v>
      </c>
      <c r="I430">
        <v>0.02</v>
      </c>
      <c r="M430" s="21" t="s">
        <v>662</v>
      </c>
    </row>
    <row r="431" spans="1:13">
      <c r="A431" s="21" t="s">
        <v>698</v>
      </c>
      <c r="D431" s="129" t="s">
        <v>403</v>
      </c>
      <c r="E431" t="s">
        <v>703</v>
      </c>
      <c r="F431">
        <v>5120000</v>
      </c>
      <c r="G431">
        <v>1193.740845</v>
      </c>
      <c r="H431">
        <v>5118806.2589999996</v>
      </c>
      <c r="I431">
        <v>0.02</v>
      </c>
      <c r="M431" s="21" t="s">
        <v>662</v>
      </c>
    </row>
    <row r="432" spans="1:13">
      <c r="A432" s="21" t="s">
        <v>698</v>
      </c>
      <c r="D432" s="129" t="s">
        <v>403</v>
      </c>
      <c r="E432" t="s">
        <v>704</v>
      </c>
      <c r="F432">
        <v>1024000</v>
      </c>
      <c r="G432">
        <v>851.95159909999995</v>
      </c>
      <c r="H432">
        <v>1023148.048</v>
      </c>
      <c r="I432">
        <v>0.08</v>
      </c>
      <c r="M432" s="21" t="s">
        <v>662</v>
      </c>
    </row>
    <row r="433" spans="1:13">
      <c r="A433" s="21" t="s">
        <v>698</v>
      </c>
      <c r="D433" s="129" t="s">
        <v>403</v>
      </c>
      <c r="E433" t="s">
        <v>705</v>
      </c>
      <c r="F433">
        <v>5120000</v>
      </c>
      <c r="G433">
        <v>164902.5269</v>
      </c>
      <c r="H433">
        <v>4955097.4730000002</v>
      </c>
      <c r="I433">
        <v>3.22</v>
      </c>
      <c r="M433" s="21" t="s">
        <v>662</v>
      </c>
    </row>
    <row r="434" spans="1:13">
      <c r="A434" s="21" t="s">
        <v>698</v>
      </c>
      <c r="D434" s="129" t="s">
        <v>403</v>
      </c>
      <c r="E434" t="s">
        <v>706</v>
      </c>
      <c r="F434">
        <v>5120000</v>
      </c>
      <c r="G434">
        <v>1192.4934390000001</v>
      </c>
      <c r="H434">
        <v>5118807.5070000002</v>
      </c>
      <c r="I434">
        <v>0.02</v>
      </c>
      <c r="M434" s="21" t="s">
        <v>662</v>
      </c>
    </row>
    <row r="435" spans="1:13">
      <c r="A435" s="21" t="s">
        <v>698</v>
      </c>
      <c r="D435" s="129" t="s">
        <v>403</v>
      </c>
      <c r="E435" t="s">
        <v>707</v>
      </c>
      <c r="F435">
        <v>2048000</v>
      </c>
      <c r="G435">
        <v>831385.12040000001</v>
      </c>
      <c r="H435">
        <v>1216614.8799999999</v>
      </c>
      <c r="I435">
        <v>40.590000000000003</v>
      </c>
    </row>
    <row r="436" spans="1:13">
      <c r="A436" s="21" t="s">
        <v>698</v>
      </c>
      <c r="D436" s="129" t="s">
        <v>403</v>
      </c>
      <c r="E436" t="s">
        <v>708</v>
      </c>
      <c r="F436">
        <v>4864000</v>
      </c>
      <c r="G436">
        <v>550482.97499999998</v>
      </c>
      <c r="H436">
        <v>4313517.0250000004</v>
      </c>
      <c r="I436">
        <v>11.32</v>
      </c>
    </row>
    <row r="437" spans="1:13">
      <c r="A437" s="21" t="s">
        <v>698</v>
      </c>
      <c r="D437" s="129" t="s">
        <v>403</v>
      </c>
      <c r="E437" t="s">
        <v>709</v>
      </c>
      <c r="F437">
        <v>1024000</v>
      </c>
      <c r="G437">
        <v>878082.87430000002</v>
      </c>
      <c r="H437">
        <v>145917.1257</v>
      </c>
      <c r="I437">
        <v>85.75</v>
      </c>
    </row>
    <row r="438" spans="1:13">
      <c r="A438" s="21" t="s">
        <v>710</v>
      </c>
      <c r="D438" s="129" t="s">
        <v>403</v>
      </c>
      <c r="E438" t="s">
        <v>711</v>
      </c>
      <c r="F438">
        <v>2048000</v>
      </c>
      <c r="G438">
        <v>1495632.5260000001</v>
      </c>
      <c r="H438">
        <v>552367.47360000003</v>
      </c>
      <c r="I438">
        <v>73.03</v>
      </c>
    </row>
    <row r="439" spans="1:13">
      <c r="A439" s="21" t="s">
        <v>698</v>
      </c>
      <c r="D439" s="129" t="s">
        <v>403</v>
      </c>
      <c r="E439" t="s">
        <v>712</v>
      </c>
      <c r="F439">
        <v>100000</v>
      </c>
      <c r="G439">
        <v>3000</v>
      </c>
      <c r="H439">
        <v>97000</v>
      </c>
      <c r="I439">
        <v>1</v>
      </c>
    </row>
    <row r="440" spans="1:13" hidden="1">
      <c r="A440" s="21" t="s">
        <v>713</v>
      </c>
      <c r="E440" s="21" t="s">
        <v>714</v>
      </c>
      <c r="F440" s="21">
        <v>4000000</v>
      </c>
      <c r="G440" s="21">
        <v>4000000</v>
      </c>
      <c r="H440" s="21">
        <v>4000000</v>
      </c>
    </row>
    <row r="449" spans="1:4">
      <c r="A449" s="23" t="s">
        <v>715</v>
      </c>
      <c r="B449" s="23">
        <f>SUM(F2,F4,F5,F6,F7,F8,F9,F12,F14,F15,F16,F17,F18,F19,F20,F22,F23,F24,F25,F26,F28,F29,F30,F31,F33,F34,F35,F36,F37,F38,F40,F42,F43,F44,F45,F46,F49,F50,F53,F54,F55,F56,F57,F58,F59,F61,F62,F63,F65,F66,F67,F68,F70,F72,F73,F75,F76,F77,F78,F79,F80,F81,F82,F83,F84,F85,F86,F87,F88,F89,F90,F91,F92,F93,F94,F95,F96,F97,F99,F102,F105,F106,F107,F108,F109,F110,F111,F112,F114,F115,F116,F117,F118,F119,F120,F121,F122,F123,F126,F124,F128,F129,F130,F131,F132,F133,F134,F135,F136,F138,F139,F140,F141,F142,F143,F144,F145,F156,F158,F160,F163,F164,F165,F166,F167,F168,F169,F170,F171,F173,F175,F176,F178,F179,F180,F181,F183,F184,F199,F208,F216,F217,F290,F291,F293,F294,F295,F296,F297,F298,F299,F300,F301,F302,F303,F304,F306,F308,F311,F312,F313,F314,F317,F318,F319,F320,F322,F321,F324,F325,F326,F328,F329,F330,F331,F332,F335,F337,F339,F340,F342,F343,F344,F345,F346,F351,F353,F354,F355,F357,F358,F360,F361,F362,F363,F366,F364,F367,F368,F369,F370,F372,F373,F374,F375,F376,F377,F378,F380,F381,F382,F384,F385,F387,F388,F390,F204)</f>
        <v>5887853</v>
      </c>
      <c r="C449" s="23">
        <f>SUM(G2,G4,G5,G6,G7,G8,G9,G12,G14,G15,G16,G17,G18,G19,G20,G22,G23,G24,G25,G26,G28,G29,G30,G31,G33,G34,G35,G36,G37,G38,G40,G42,G43,G44,G45,G46,G49,G50,G53,G54,G55,G56,G57,G58,G59,G61,G62,G63,G65,G66,G67,G68,G70,G72,G73,G75,G76,G77,G78,G79,G80,G81,G82,G83,G84,G85,G86,G87,G88,G89,G90,G91,G92,G93,G94,G95,G96,G97,G99,G102,G105,G106,G107,G108,G109,G110,G111,G112,G114,G115,G116,G117,G118,G119,G120,G121,G122,G123,G126,G124,G128,G129,G130,G131,G132,G133,G134,G135,G136,G138,G139,G140,G141,G142,G143,G144,G145,G156,G158,G160,G163,G164,G165,G166,G167,G168,G169,G170,G171,G173,G175,G176,G178,G179,G180,G181,G183,G184,G199,G208,G216,G217,G290,G291,G293,G294,G295,G296,G297,G298,G299,G300,G301,G302,G303,G304,G306,G308,G311,G312,G313,G314,G317,G318,G319,G320,G322,G321,G324,G325,G326,G328,G329,G330,G331,G332,G335,G337,G339,G340,G342,G343,G344,G345,G346,G351,G353,G354,G355,G357,G358,G360,G361,G362,G363,G366,G364,G367,G368,G369,G370,G372,G373,G374,G375,G376,G377,G378,G380,G381,G382,G384,G385,G387,G388,G390)</f>
        <v>1980839.8</v>
      </c>
      <c r="D449" s="23">
        <f>SUM(H2,H4,H5,H6,H7,H8,H9,H12,H14,H15,H16,H17,H18,H19,H20,H22,H23,H24,H25,H26,H28,H29,H30,H31,H33,H34,H35,H36,H37,H38,H40,H42,H43,H44,H45,H46,H49,H50,H53,H54,H55,H56,H57,H58,H59,H61,H62,H63,H65,H66,H67,H68,H70,H72,H73,H75,H76,H77,H78,H79,H80,H81,H82,H83,H84,H85,H86,H87,H88,H89,H90,H91,H92,H93,H94,H95,H96,H97,H99,H102,H105,H106,H107,H108,H109,H110,H111,H112,H114,H115,H116,H117,H118,H119,H120,H121,H122,H123,H126,H124,H128,H129,H130,H131,H132,H133,H134,H135,H136,H138,H139,H140,H141,H142,H143,H144,H145,H156,H158,H160,H163,H164,H165,H166,H167,H168,H169,H170,H171,H173,H175,H176,H178,H179,H180,H181,H183,H184,H199,H208,H216,H217,H290,H291,H293,H294,H295,H296,H297,H298,H299,H300,H301,H302,H303,H304,H306,H308,H311,H312,H313,H314,H317,H318,H319,H320,H322,H321,H324,H325,H326,H328,H329,H330,H331,H332,H335,H337,H339,H340,H342,H343,H344,H345,H346,H351,H353,H354,H355,H357,H358,H360,H361,H362,H363,H366,H364,H367,H368,H369,H370,H372,H373,H374,H375,H376,H377,H378,H380,H381,H382,H384,H385,H387,H388,H390)</f>
        <v>3456821</v>
      </c>
    </row>
    <row r="450" spans="1:4">
      <c r="A450" s="23" t="s">
        <v>716</v>
      </c>
      <c r="B450" s="23">
        <f>SUM(F3,F10,F11,F13,F21,F27,F32,F39,F41,F47,F48,F51,F52,F60,F64,F69,F71,F74,F98,F100,F101,F103,F104,F113,F125,F127,F137,F146,F147,F148,F149,F150,F151,F152,F153,F154,F155,F157,F159,F161,F162,F172,F174,F177,F182,F186,F202,F203,F292,F305,F307,F309,F310,F315,F316,F323,F327,F333,F334,F336,F338,F341,F347,F348,F349,F350,F352,F356,F359,F365,F371,F379,F383,F386,F389,F391)</f>
        <v>269191318</v>
      </c>
      <c r="C450" s="23">
        <f>SUM(G3,G10,G11,G13,G21,G27,G32,G39,G41,G47,G48,G51,G52,G60,G64,G69,G71,G74,G98,G100,G101,G103,G104,G113,G125,G127,G137,G146,G147,G148,G149,G150,G151,G152,G153,G154,G155,G157,G159,G161,G162,G172,G174,G177,G182,G186,G202,G203,G204,G292,G305,G307,G309,G310,G315,G316,G323,G327,G333,G334,G336,G338,G341,G347,G348,G349,G350,G352,G356,G359,G365,G371,G379,G383,G386,G389,G391)</f>
        <v>156736382</v>
      </c>
      <c r="D450" s="23">
        <f>SUM(H3,H10,H11,H13,H21,H27,H32,H39,H41,H47,H48,H51,H52,H60,H64,H69,H71,H74,H98,H100,H101,H103,H104,H113,H125,H127,H137,H146,H147,H148,H149,H150,H151,H152,H153,H154,H155,H157,H159,H161,H162,H172,H174,H177,H182,H186,H202,H203,H204,H292,H305,H307,H309,H310,H315,H316,H323,H327,H333,H334,H336,H338,H341,H347,H348,H349,H350,H352,H356,H359,H365,H371,H379,H383,H386,H389,H391)</f>
        <v>101736455</v>
      </c>
    </row>
    <row r="451" spans="1:4">
      <c r="A451" s="23" t="s">
        <v>717</v>
      </c>
      <c r="B451" s="23">
        <f>SUM(F201,F207)</f>
        <v>4128226</v>
      </c>
      <c r="C451" s="23">
        <f>SUM(G201,G207)</f>
        <v>2339914</v>
      </c>
      <c r="D451" s="23">
        <f>SUM(H201,H207)</f>
        <v>1788312</v>
      </c>
    </row>
    <row r="452" spans="1:4">
      <c r="A452" s="23" t="s">
        <v>718</v>
      </c>
      <c r="B452" s="23">
        <f>SUM(F393,F430,F395,F397,F403,F405)</f>
        <v>27648000</v>
      </c>
      <c r="C452" s="23">
        <f>SUM(G393,G395,G397,G403,G405)</f>
        <v>5202944</v>
      </c>
      <c r="D452" s="23">
        <f>SUM(H393,H395,H397,H403,H405)</f>
        <v>16181248</v>
      </c>
    </row>
    <row r="453" spans="1:4">
      <c r="A453" s="23" t="s">
        <v>719</v>
      </c>
      <c r="B453" s="23">
        <f>SUM(F396,F398,F399,F401,F404,F406,F407,F408,F412,F413,F417,F418,F419,F420,F421,F422,F423,F424)</f>
        <v>176128000</v>
      </c>
      <c r="C453" s="23">
        <f>SUM(G396,G398,G399,G401,G404,G406,G407,G408,G411,G412,G413,G414,G415,G416,G417,G418,G419,G420,G421,G422,G423,G424)</f>
        <v>134394900</v>
      </c>
      <c r="D453" s="23">
        <f>SUM(H396,H398,H399,H401,H404,H406,H407,H408,H411,H412,H413,H414,H415,H416,H417,H418,H419,H420,H421,H422,H423,H424)</f>
        <v>117757952</v>
      </c>
    </row>
    <row r="454" spans="1:4">
      <c r="A454" s="23" t="s">
        <v>720</v>
      </c>
      <c r="B454" s="23">
        <f>SUM(F411,F402)</f>
        <v>2146304</v>
      </c>
      <c r="C454" s="23">
        <f>SUM(G411,G402)</f>
        <v>1144832</v>
      </c>
      <c r="D454" s="23">
        <f>SUM(H411,H402)</f>
        <v>1054720</v>
      </c>
    </row>
    <row r="455" spans="1:4">
      <c r="A455" s="23" t="s">
        <v>721</v>
      </c>
      <c r="B455" s="23">
        <f t="shared" ref="B455:D457" si="0">SUM(F414)</f>
        <v>11264000</v>
      </c>
      <c r="C455" s="23">
        <f t="shared" si="0"/>
        <v>8806400</v>
      </c>
      <c r="D455" s="23">
        <f t="shared" si="0"/>
        <v>2048000</v>
      </c>
    </row>
    <row r="456" spans="1:4">
      <c r="A456" s="23" t="s">
        <v>722</v>
      </c>
      <c r="B456" s="23">
        <f t="shared" si="0"/>
        <v>25600000</v>
      </c>
      <c r="C456" s="23">
        <f t="shared" si="0"/>
        <v>5939200</v>
      </c>
      <c r="D456" s="23">
        <f t="shared" si="0"/>
        <v>20480000</v>
      </c>
    </row>
    <row r="457" spans="1:4">
      <c r="A457" s="23" t="s">
        <v>723</v>
      </c>
      <c r="B457" s="23">
        <f t="shared" si="0"/>
        <v>35840000</v>
      </c>
      <c r="C457" s="23">
        <f t="shared" si="0"/>
        <v>4198400</v>
      </c>
      <c r="D457" s="23">
        <f t="shared" si="0"/>
        <v>31744000</v>
      </c>
    </row>
    <row r="458" spans="1:4">
      <c r="A458" s="23" t="s">
        <v>724</v>
      </c>
      <c r="B458" s="23">
        <f>SUM(F410)</f>
        <v>2048000</v>
      </c>
      <c r="C458" s="23">
        <f>SUM(G410)</f>
        <v>1536000</v>
      </c>
      <c r="D458" s="23">
        <f>SUM(H410)</f>
        <v>566272</v>
      </c>
    </row>
    <row r="459" spans="1:4">
      <c r="A459" s="23" t="s">
        <v>725</v>
      </c>
      <c r="B459" s="23">
        <v>4000000</v>
      </c>
      <c r="C459" s="23">
        <v>3500000</v>
      </c>
      <c r="D459" s="23">
        <f>SUM(B459-C459)</f>
        <v>500000</v>
      </c>
    </row>
    <row r="460" spans="1:4">
      <c r="A460" s="23" t="s">
        <v>726</v>
      </c>
      <c r="B460" s="23">
        <f>SUM(F426)</f>
        <v>96000000</v>
      </c>
      <c r="C460" s="23">
        <f>SUM(G426)</f>
        <v>33792000</v>
      </c>
      <c r="D460" s="23">
        <f>SUM(H426)</f>
        <v>64000000</v>
      </c>
    </row>
    <row r="461" spans="1:4">
      <c r="A461" s="23" t="s">
        <v>727</v>
      </c>
      <c r="B461" s="23">
        <f>SUM(F425)</f>
        <v>6000000</v>
      </c>
      <c r="C461" s="23">
        <f>SUM(G425)</f>
        <v>716800</v>
      </c>
      <c r="D461" s="23">
        <f>SUM(H425)</f>
        <v>5427200</v>
      </c>
    </row>
    <row r="462" spans="1:4">
      <c r="A462" s="23" t="s">
        <v>728</v>
      </c>
      <c r="B462" s="23">
        <f>SUM(F439,F437)</f>
        <v>1124000</v>
      </c>
      <c r="C462" s="23">
        <f>SUM(G439,G437)</f>
        <v>881082.87430000002</v>
      </c>
      <c r="D462" s="23">
        <f>SUM(H439,H437)</f>
        <v>242917.1257</v>
      </c>
    </row>
    <row r="463" spans="1:4">
      <c r="A463" s="23" t="s">
        <v>729</v>
      </c>
      <c r="B463" s="23">
        <f>SUM(F436)</f>
        <v>4864000</v>
      </c>
      <c r="C463" s="23">
        <f>SUM(G436)</f>
        <v>550482.97499999998</v>
      </c>
      <c r="D463" s="23">
        <f>SUM(H436)</f>
        <v>4313517.0250000004</v>
      </c>
    </row>
    <row r="469" spans="1:4">
      <c r="B469" s="22" t="s">
        <v>730</v>
      </c>
      <c r="C469" s="22" t="s">
        <v>731</v>
      </c>
      <c r="D469" s="22" t="s">
        <v>732</v>
      </c>
    </row>
    <row r="470" spans="1:4">
      <c r="A470" s="23" t="s">
        <v>715</v>
      </c>
      <c r="B470" s="175">
        <f t="shared" ref="B470:B484" si="1">SUM(B449/1000)/1000</f>
        <v>5.8878529999999998</v>
      </c>
      <c r="C470" s="23">
        <f t="shared" ref="C470:C484" si="2">SUM(C449/1000)/1000</f>
        <v>1.9808398</v>
      </c>
      <c r="D470" s="23">
        <f t="shared" ref="D470:D484" si="3">SUM(D449/1000)/1000</f>
        <v>3.4568209999999997</v>
      </c>
    </row>
    <row r="471" spans="1:4">
      <c r="A471" s="23" t="s">
        <v>716</v>
      </c>
      <c r="B471" s="23">
        <f t="shared" si="1"/>
        <v>269.19131800000002</v>
      </c>
      <c r="C471" s="23">
        <f t="shared" si="2"/>
        <v>156.73638200000002</v>
      </c>
      <c r="D471" s="23">
        <f t="shared" si="3"/>
        <v>101.73645500000001</v>
      </c>
    </row>
    <row r="472" spans="1:4">
      <c r="A472" s="23" t="s">
        <v>717</v>
      </c>
      <c r="B472" s="23">
        <f t="shared" si="1"/>
        <v>4.1282259999999997</v>
      </c>
      <c r="C472" s="23">
        <f t="shared" si="2"/>
        <v>2.3399140000000003</v>
      </c>
      <c r="D472" s="23">
        <f t="shared" si="3"/>
        <v>1.7883119999999999</v>
      </c>
    </row>
    <row r="473" spans="1:4">
      <c r="A473" s="23" t="s">
        <v>718</v>
      </c>
      <c r="B473" s="23">
        <f t="shared" si="1"/>
        <v>27.648</v>
      </c>
      <c r="C473" s="23">
        <f t="shared" si="2"/>
        <v>5.2029440000000005</v>
      </c>
      <c r="D473" s="23">
        <f t="shared" si="3"/>
        <v>16.181248</v>
      </c>
    </row>
    <row r="474" spans="1:4">
      <c r="A474" s="23" t="s">
        <v>719</v>
      </c>
      <c r="B474" s="23">
        <f t="shared" si="1"/>
        <v>176.12799999999999</v>
      </c>
      <c r="C474" s="23">
        <f t="shared" si="2"/>
        <v>134.39490000000001</v>
      </c>
      <c r="D474" s="23">
        <f t="shared" si="3"/>
        <v>117.757952</v>
      </c>
    </row>
    <row r="475" spans="1:4">
      <c r="A475" s="23" t="s">
        <v>720</v>
      </c>
      <c r="B475" s="23">
        <f t="shared" si="1"/>
        <v>2.1463040000000002</v>
      </c>
      <c r="C475" s="23">
        <f t="shared" si="2"/>
        <v>1.1448320000000001</v>
      </c>
      <c r="D475" s="23">
        <f t="shared" si="3"/>
        <v>1.0547200000000001</v>
      </c>
    </row>
    <row r="476" spans="1:4">
      <c r="A476" s="23" t="s">
        <v>721</v>
      </c>
      <c r="B476" s="23">
        <f t="shared" si="1"/>
        <v>11.263999999999999</v>
      </c>
      <c r="C476" s="23">
        <f t="shared" si="2"/>
        <v>8.8064</v>
      </c>
      <c r="D476" s="23">
        <f t="shared" si="3"/>
        <v>2.048</v>
      </c>
    </row>
    <row r="477" spans="1:4">
      <c r="A477" s="23" t="s">
        <v>722</v>
      </c>
      <c r="B477" s="23">
        <f t="shared" si="1"/>
        <v>25.6</v>
      </c>
      <c r="C477" s="23">
        <f t="shared" si="2"/>
        <v>5.9391999999999996</v>
      </c>
      <c r="D477" s="23">
        <f t="shared" si="3"/>
        <v>20.48</v>
      </c>
    </row>
    <row r="478" spans="1:4">
      <c r="A478" s="23" t="s">
        <v>723</v>
      </c>
      <c r="B478" s="23">
        <f t="shared" si="1"/>
        <v>35.840000000000003</v>
      </c>
      <c r="C478" s="23">
        <f t="shared" si="2"/>
        <v>4.1983999999999995</v>
      </c>
      <c r="D478" s="23">
        <f t="shared" si="3"/>
        <v>31.744</v>
      </c>
    </row>
    <row r="479" spans="1:4">
      <c r="A479" s="23" t="s">
        <v>724</v>
      </c>
      <c r="B479" s="23">
        <f t="shared" si="1"/>
        <v>2.048</v>
      </c>
      <c r="C479" s="23">
        <f t="shared" si="2"/>
        <v>1.536</v>
      </c>
      <c r="D479" s="23">
        <f t="shared" si="3"/>
        <v>0.566272</v>
      </c>
    </row>
    <row r="480" spans="1:4">
      <c r="A480" s="23" t="s">
        <v>725</v>
      </c>
      <c r="B480" s="23">
        <f t="shared" si="1"/>
        <v>4</v>
      </c>
      <c r="C480" s="23">
        <f t="shared" si="2"/>
        <v>3.5</v>
      </c>
      <c r="D480" s="23">
        <f t="shared" si="3"/>
        <v>0.5</v>
      </c>
    </row>
    <row r="481" spans="1:10">
      <c r="A481" s="23" t="s">
        <v>726</v>
      </c>
      <c r="B481" s="23">
        <f t="shared" si="1"/>
        <v>96</v>
      </c>
      <c r="C481" s="23">
        <f t="shared" si="2"/>
        <v>33.792000000000002</v>
      </c>
      <c r="D481" s="23">
        <f t="shared" si="3"/>
        <v>64</v>
      </c>
    </row>
    <row r="482" spans="1:10">
      <c r="A482" s="23" t="s">
        <v>727</v>
      </c>
      <c r="B482" s="23">
        <f t="shared" si="1"/>
        <v>6</v>
      </c>
      <c r="C482" s="23">
        <f t="shared" si="2"/>
        <v>0.71679999999999999</v>
      </c>
      <c r="D482" s="23">
        <f t="shared" si="3"/>
        <v>5.4272</v>
      </c>
    </row>
    <row r="483" spans="1:10">
      <c r="A483" s="23" t="s">
        <v>728</v>
      </c>
      <c r="B483" s="23">
        <f t="shared" si="1"/>
        <v>1.1240000000000001</v>
      </c>
      <c r="C483" s="23">
        <f t="shared" si="2"/>
        <v>0.8810828743000001</v>
      </c>
      <c r="D483" s="23">
        <f t="shared" si="3"/>
        <v>0.24291712570000001</v>
      </c>
    </row>
    <row r="484" spans="1:10">
      <c r="A484" s="23" t="s">
        <v>729</v>
      </c>
      <c r="B484" s="23">
        <f t="shared" si="1"/>
        <v>4.8639999999999999</v>
      </c>
      <c r="C484" s="23">
        <f t="shared" si="2"/>
        <v>0.55048297499999999</v>
      </c>
      <c r="D484" s="23">
        <f t="shared" si="3"/>
        <v>4.3135170250000003</v>
      </c>
    </row>
    <row r="488" spans="1:10">
      <c r="A488" s="176" t="s">
        <v>733</v>
      </c>
      <c r="B488" s="22" t="s">
        <v>730</v>
      </c>
      <c r="C488" s="22" t="s">
        <v>731</v>
      </c>
      <c r="D488" s="22" t="s">
        <v>732</v>
      </c>
      <c r="E488" s="178" t="s">
        <v>734</v>
      </c>
      <c r="F488" s="178" t="s">
        <v>735</v>
      </c>
      <c r="G488" s="178" t="s">
        <v>736</v>
      </c>
      <c r="H488" s="178" t="s">
        <v>737</v>
      </c>
      <c r="I488" s="178" t="s">
        <v>738</v>
      </c>
      <c r="J488" s="26" t="s">
        <v>739</v>
      </c>
    </row>
    <row r="489" spans="1:10">
      <c r="A489" s="177" t="s">
        <v>740</v>
      </c>
      <c r="B489" s="177">
        <v>15</v>
      </c>
      <c r="C489" s="177">
        <v>6</v>
      </c>
      <c r="D489" s="177">
        <f>SUM(B489-C489)</f>
        <v>9</v>
      </c>
      <c r="E489" s="177" t="s">
        <v>741</v>
      </c>
      <c r="F489" s="37" t="s">
        <v>742</v>
      </c>
      <c r="G489" s="177">
        <v>30</v>
      </c>
      <c r="H489" s="177">
        <f>SUM(C489*G489)/100</f>
        <v>1.8</v>
      </c>
      <c r="I489" s="177">
        <f>SUM(C489,H489)</f>
        <v>7.8</v>
      </c>
      <c r="J489" s="181">
        <f>SUM(I489)</f>
        <v>7.8</v>
      </c>
    </row>
    <row r="490" spans="1:10">
      <c r="A490" s="23" t="s">
        <v>743</v>
      </c>
      <c r="B490" s="23">
        <v>270</v>
      </c>
      <c r="C490" s="23">
        <v>153</v>
      </c>
      <c r="D490" s="23">
        <f>SUM(B490-C490)</f>
        <v>117</v>
      </c>
      <c r="E490" s="23" t="s">
        <v>744</v>
      </c>
      <c r="F490" s="33" t="s">
        <v>744</v>
      </c>
      <c r="G490" s="23">
        <v>70</v>
      </c>
      <c r="H490" s="23">
        <f>SUM(C490*G490)/100</f>
        <v>107.1</v>
      </c>
      <c r="I490" s="23">
        <f>SUM(C490,H490)</f>
        <v>260.10000000000002</v>
      </c>
      <c r="J490" s="182"/>
    </row>
    <row r="491" spans="1:10">
      <c r="A491" s="177" t="s">
        <v>745</v>
      </c>
      <c r="B491" s="177">
        <v>5</v>
      </c>
      <c r="C491" s="177">
        <v>2.2000000000000002</v>
      </c>
      <c r="D491" s="177">
        <f>SUM(B491-C491)</f>
        <v>2.8</v>
      </c>
      <c r="E491" s="177" t="s">
        <v>741</v>
      </c>
      <c r="F491" s="37" t="s">
        <v>742</v>
      </c>
      <c r="G491" s="177">
        <v>70</v>
      </c>
      <c r="H491" s="177">
        <f t="shared" ref="H491:H504" si="4">SUM(C491*G491)/100</f>
        <v>1.54</v>
      </c>
      <c r="I491" s="177">
        <f t="shared" ref="I491:I504" si="5">SUM(C491,H491)</f>
        <v>3.74</v>
      </c>
      <c r="J491" s="181">
        <f t="shared" ref="J491:J502" si="6">SUM(I491)</f>
        <v>3.74</v>
      </c>
    </row>
    <row r="492" spans="1:10">
      <c r="A492" s="177" t="s">
        <v>746</v>
      </c>
      <c r="B492" s="177">
        <f>SUM(B473)</f>
        <v>27.648</v>
      </c>
      <c r="C492" s="177">
        <f t="shared" ref="C492:C503" si="7">SUM(C473)</f>
        <v>5.2029440000000005</v>
      </c>
      <c r="D492" s="177">
        <f t="shared" ref="D492:D503" si="8">SUM(D473)</f>
        <v>16.181248</v>
      </c>
      <c r="E492" s="177" t="s">
        <v>741</v>
      </c>
      <c r="F492" s="37" t="s">
        <v>744</v>
      </c>
      <c r="G492" s="177">
        <v>70</v>
      </c>
      <c r="H492" s="177">
        <f t="shared" si="4"/>
        <v>3.6420608000000003</v>
      </c>
      <c r="I492" s="177">
        <f t="shared" si="5"/>
        <v>8.8450048000000017</v>
      </c>
      <c r="J492" s="181">
        <f t="shared" si="6"/>
        <v>8.8450048000000017</v>
      </c>
    </row>
    <row r="493" spans="1:10">
      <c r="A493" s="23" t="s">
        <v>719</v>
      </c>
      <c r="B493" s="23">
        <f>SUM(B474)</f>
        <v>176.12799999999999</v>
      </c>
      <c r="C493" s="23">
        <f t="shared" si="7"/>
        <v>134.39490000000001</v>
      </c>
      <c r="D493" s="23">
        <f t="shared" si="8"/>
        <v>117.757952</v>
      </c>
      <c r="E493" s="23" t="s">
        <v>744</v>
      </c>
      <c r="F493" s="33" t="s">
        <v>744</v>
      </c>
      <c r="G493" s="23">
        <v>70</v>
      </c>
      <c r="H493" s="23">
        <f t="shared" si="4"/>
        <v>94.076430000000002</v>
      </c>
      <c r="I493" s="23">
        <f t="shared" si="5"/>
        <v>228.47133000000002</v>
      </c>
      <c r="J493" s="182"/>
    </row>
    <row r="494" spans="1:10">
      <c r="A494" s="177" t="s">
        <v>720</v>
      </c>
      <c r="B494" s="177">
        <f>SUM(B475)</f>
        <v>2.1463040000000002</v>
      </c>
      <c r="C494" s="177">
        <f t="shared" si="7"/>
        <v>1.1448320000000001</v>
      </c>
      <c r="D494" s="177">
        <f t="shared" si="8"/>
        <v>1.0547200000000001</v>
      </c>
      <c r="E494" s="177" t="s">
        <v>741</v>
      </c>
      <c r="F494" s="37" t="s">
        <v>747</v>
      </c>
      <c r="G494" s="177">
        <v>20</v>
      </c>
      <c r="H494" s="177">
        <f t="shared" si="4"/>
        <v>0.22896640000000001</v>
      </c>
      <c r="I494" s="177">
        <f t="shared" si="5"/>
        <v>1.3737984000000001</v>
      </c>
      <c r="J494" s="181">
        <f t="shared" si="6"/>
        <v>1.3737984000000001</v>
      </c>
    </row>
    <row r="495" spans="1:10">
      <c r="A495" s="177" t="s">
        <v>721</v>
      </c>
      <c r="B495" s="177">
        <f t="shared" ref="B495:B503" si="9">SUM(B476)</f>
        <v>11.263999999999999</v>
      </c>
      <c r="C495" s="177">
        <f t="shared" si="7"/>
        <v>8.8064</v>
      </c>
      <c r="D495" s="177">
        <f t="shared" si="8"/>
        <v>2.048</v>
      </c>
      <c r="E495" s="177" t="s">
        <v>741</v>
      </c>
      <c r="F495" s="37" t="s">
        <v>747</v>
      </c>
      <c r="G495" s="177">
        <v>20</v>
      </c>
      <c r="H495" s="177">
        <f t="shared" si="4"/>
        <v>1.76128</v>
      </c>
      <c r="I495" s="177">
        <f t="shared" si="5"/>
        <v>10.567679999999999</v>
      </c>
      <c r="J495" s="181">
        <f t="shared" si="6"/>
        <v>10.567679999999999</v>
      </c>
    </row>
    <row r="496" spans="1:10">
      <c r="A496" s="23" t="s">
        <v>722</v>
      </c>
      <c r="B496" s="23">
        <f t="shared" si="9"/>
        <v>25.6</v>
      </c>
      <c r="C496" s="23">
        <f t="shared" si="7"/>
        <v>5.9391999999999996</v>
      </c>
      <c r="D496" s="23">
        <f t="shared" si="8"/>
        <v>20.48</v>
      </c>
      <c r="E496" s="23" t="s">
        <v>744</v>
      </c>
      <c r="F496" s="33" t="s">
        <v>744</v>
      </c>
      <c r="G496" s="23">
        <v>20</v>
      </c>
      <c r="H496" s="23">
        <f t="shared" si="4"/>
        <v>1.18784</v>
      </c>
      <c r="I496" s="23">
        <f t="shared" si="5"/>
        <v>7.1270399999999992</v>
      </c>
      <c r="J496" s="182"/>
    </row>
    <row r="497" spans="1:10">
      <c r="A497" s="177" t="s">
        <v>723</v>
      </c>
      <c r="B497" s="177">
        <f t="shared" si="9"/>
        <v>35.840000000000003</v>
      </c>
      <c r="C497" s="177">
        <f t="shared" si="7"/>
        <v>4.1983999999999995</v>
      </c>
      <c r="D497" s="177">
        <f t="shared" si="8"/>
        <v>31.744</v>
      </c>
      <c r="E497" s="177" t="s">
        <v>741</v>
      </c>
      <c r="F497" s="37" t="s">
        <v>747</v>
      </c>
      <c r="G497" s="177">
        <v>20</v>
      </c>
      <c r="H497" s="177">
        <f t="shared" si="4"/>
        <v>0.83967999999999987</v>
      </c>
      <c r="I497" s="177">
        <f t="shared" si="5"/>
        <v>5.038079999999999</v>
      </c>
      <c r="J497" s="181">
        <f t="shared" si="6"/>
        <v>5.038079999999999</v>
      </c>
    </row>
    <row r="498" spans="1:10">
      <c r="A498" s="177" t="s">
        <v>724</v>
      </c>
      <c r="B498" s="177">
        <f t="shared" si="9"/>
        <v>2.048</v>
      </c>
      <c r="C498" s="177">
        <f t="shared" si="7"/>
        <v>1.536</v>
      </c>
      <c r="D498" s="177">
        <f t="shared" si="8"/>
        <v>0.566272</v>
      </c>
      <c r="E498" s="177" t="s">
        <v>741</v>
      </c>
      <c r="F498" s="37" t="s">
        <v>748</v>
      </c>
      <c r="G498" s="177">
        <v>10</v>
      </c>
      <c r="H498" s="177">
        <f t="shared" si="4"/>
        <v>0.15359999999999999</v>
      </c>
      <c r="I498" s="177">
        <f t="shared" si="5"/>
        <v>1.6896</v>
      </c>
      <c r="J498" s="181">
        <f t="shared" si="6"/>
        <v>1.6896</v>
      </c>
    </row>
    <row r="499" spans="1:10">
      <c r="A499" s="177" t="s">
        <v>749</v>
      </c>
      <c r="B499" s="177">
        <f t="shared" si="9"/>
        <v>4</v>
      </c>
      <c r="C499" s="177">
        <f t="shared" si="7"/>
        <v>3.5</v>
      </c>
      <c r="D499" s="177">
        <f t="shared" si="8"/>
        <v>0.5</v>
      </c>
      <c r="E499" s="177" t="s">
        <v>741</v>
      </c>
      <c r="F499" s="37" t="s">
        <v>750</v>
      </c>
      <c r="G499" s="177">
        <v>10</v>
      </c>
      <c r="H499" s="177">
        <f t="shared" si="4"/>
        <v>0.35</v>
      </c>
      <c r="I499" s="177">
        <f t="shared" si="5"/>
        <v>3.85</v>
      </c>
      <c r="J499" s="181">
        <f t="shared" si="6"/>
        <v>3.85</v>
      </c>
    </row>
    <row r="500" spans="1:10">
      <c r="A500" s="177" t="s">
        <v>726</v>
      </c>
      <c r="B500" s="177">
        <f t="shared" si="9"/>
        <v>96</v>
      </c>
      <c r="C500" s="177">
        <f t="shared" si="7"/>
        <v>33.792000000000002</v>
      </c>
      <c r="D500" s="177">
        <f t="shared" si="8"/>
        <v>64</v>
      </c>
      <c r="E500" s="177" t="s">
        <v>741</v>
      </c>
      <c r="F500" s="37" t="s">
        <v>751</v>
      </c>
      <c r="G500" s="177">
        <v>70</v>
      </c>
      <c r="H500" s="177">
        <f t="shared" si="4"/>
        <v>23.654399999999999</v>
      </c>
      <c r="I500" s="177">
        <f t="shared" si="5"/>
        <v>57.446399999999997</v>
      </c>
      <c r="J500" s="181">
        <f t="shared" si="6"/>
        <v>57.446399999999997</v>
      </c>
    </row>
    <row r="501" spans="1:10">
      <c r="A501" s="177" t="s">
        <v>727</v>
      </c>
      <c r="B501" s="177">
        <f t="shared" si="9"/>
        <v>6</v>
      </c>
      <c r="C501" s="177">
        <f t="shared" si="7"/>
        <v>0.71679999999999999</v>
      </c>
      <c r="D501" s="177">
        <f t="shared" si="8"/>
        <v>5.4272</v>
      </c>
      <c r="E501" s="177" t="s">
        <v>741</v>
      </c>
      <c r="F501" s="37" t="s">
        <v>751</v>
      </c>
      <c r="G501" s="177">
        <v>70</v>
      </c>
      <c r="H501" s="177">
        <f t="shared" si="4"/>
        <v>0.50175999999999998</v>
      </c>
      <c r="I501" s="177">
        <f t="shared" si="5"/>
        <v>1.2185600000000001</v>
      </c>
      <c r="J501" s="181">
        <f t="shared" si="6"/>
        <v>1.2185600000000001</v>
      </c>
    </row>
    <row r="502" spans="1:10">
      <c r="A502" s="177" t="s">
        <v>728</v>
      </c>
      <c r="B502" s="177">
        <f t="shared" si="9"/>
        <v>1.1240000000000001</v>
      </c>
      <c r="C502" s="177">
        <f t="shared" si="7"/>
        <v>0.8810828743000001</v>
      </c>
      <c r="D502" s="177">
        <f t="shared" si="8"/>
        <v>0.24291712570000001</v>
      </c>
      <c r="E502" s="179" t="s">
        <v>741</v>
      </c>
      <c r="F502" s="180" t="s">
        <v>744</v>
      </c>
      <c r="G502" s="179">
        <v>70</v>
      </c>
      <c r="H502" s="177">
        <f t="shared" si="4"/>
        <v>0.61675801201000002</v>
      </c>
      <c r="I502" s="177">
        <f t="shared" si="5"/>
        <v>1.4978408863100001</v>
      </c>
      <c r="J502" s="181">
        <f t="shared" si="6"/>
        <v>1.4978408863100001</v>
      </c>
    </row>
    <row r="503" spans="1:10">
      <c r="A503" s="23" t="s">
        <v>729</v>
      </c>
      <c r="B503" s="23">
        <f t="shared" si="9"/>
        <v>4.8639999999999999</v>
      </c>
      <c r="C503" s="23">
        <f t="shared" si="7"/>
        <v>0.55048297499999999</v>
      </c>
      <c r="D503" s="23">
        <f t="shared" si="8"/>
        <v>4.3135170250000003</v>
      </c>
      <c r="E503" s="23" t="s">
        <v>744</v>
      </c>
      <c r="F503" s="33" t="s">
        <v>744</v>
      </c>
      <c r="G503" s="23">
        <v>10</v>
      </c>
      <c r="H503" s="23">
        <f t="shared" si="4"/>
        <v>5.5048297499999996E-2</v>
      </c>
      <c r="I503" s="23">
        <f t="shared" si="5"/>
        <v>0.60553127249999994</v>
      </c>
      <c r="J503" s="182"/>
    </row>
    <row r="504" spans="1:10">
      <c r="A504" s="23" t="s">
        <v>752</v>
      </c>
      <c r="B504" s="23">
        <v>583</v>
      </c>
      <c r="C504" s="23">
        <v>115.79</v>
      </c>
      <c r="D504" s="23">
        <f>SUM(B504-C504)</f>
        <v>467.21</v>
      </c>
      <c r="E504" s="23" t="s">
        <v>744</v>
      </c>
      <c r="F504" s="33" t="s">
        <v>744</v>
      </c>
      <c r="G504" s="23">
        <v>10</v>
      </c>
      <c r="H504" s="23">
        <f t="shared" si="4"/>
        <v>11.579000000000001</v>
      </c>
      <c r="I504" s="23">
        <f t="shared" si="5"/>
        <v>127.369</v>
      </c>
      <c r="J504" s="182"/>
    </row>
    <row r="505" spans="1:10">
      <c r="I505" s="26" t="s">
        <v>753</v>
      </c>
      <c r="J505" s="183">
        <f>SUM(J489:J504)</f>
        <v>103.06696408630999</v>
      </c>
    </row>
  </sheetData>
  <autoFilter ref="A1:XFD440">
    <filterColumn colId="3">
      <filters>
        <filter val="Home"/>
        <filter val="OS"/>
        <filter val="Project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3"/>
  <sheetViews>
    <sheetView topLeftCell="A369" workbookViewId="0">
      <selection activeCell="E391" sqref="E391"/>
    </sheetView>
  </sheetViews>
  <sheetFormatPr defaultColWidth="9" defaultRowHeight="15"/>
  <cols>
    <col min="1" max="1" width="35.85546875" customWidth="1"/>
    <col min="2" max="2" width="11.42578125" customWidth="1"/>
    <col min="3" max="3" width="9.42578125" customWidth="1"/>
    <col min="4" max="4" width="7.140625" customWidth="1"/>
    <col min="5" max="5" width="23.28515625" customWidth="1"/>
    <col min="6" max="6" width="12.5703125" customWidth="1"/>
    <col min="7" max="7" width="14.7109375" customWidth="1"/>
    <col min="8" max="8" width="10.42578125" customWidth="1"/>
    <col min="9" max="9" width="7.85546875" customWidth="1"/>
    <col min="10" max="10" width="35.85546875" customWidth="1"/>
    <col min="11" max="11" width="13.7109375" customWidth="1"/>
    <col min="12" max="12" width="12" customWidth="1"/>
    <col min="13" max="13" width="6" customWidth="1"/>
    <col min="14" max="14" width="12.5703125" customWidth="1"/>
  </cols>
  <sheetData>
    <row r="1" spans="1:14">
      <c r="A1" s="76" t="s">
        <v>0</v>
      </c>
      <c r="B1" s="76" t="s">
        <v>1</v>
      </c>
      <c r="C1" s="76" t="s">
        <v>405</v>
      </c>
      <c r="D1" s="76" t="s">
        <v>406</v>
      </c>
      <c r="E1" s="76" t="s">
        <v>375</v>
      </c>
      <c r="F1" s="76" t="s">
        <v>377</v>
      </c>
      <c r="G1" s="76" t="s">
        <v>407</v>
      </c>
      <c r="H1" s="76" t="s">
        <v>408</v>
      </c>
      <c r="I1" s="76" t="s">
        <v>409</v>
      </c>
      <c r="J1" s="76" t="s">
        <v>0</v>
      </c>
      <c r="K1" s="76" t="s">
        <v>1</v>
      </c>
      <c r="L1" s="76" t="s">
        <v>375</v>
      </c>
      <c r="M1" s="76" t="s">
        <v>376</v>
      </c>
      <c r="N1" s="76" t="s">
        <v>377</v>
      </c>
    </row>
    <row r="2" spans="1:14">
      <c r="A2" s="199" t="s">
        <v>28</v>
      </c>
      <c r="B2" s="77" t="s">
        <v>29</v>
      </c>
      <c r="C2" s="77" t="s">
        <v>34</v>
      </c>
      <c r="D2" s="77" t="s">
        <v>385</v>
      </c>
      <c r="E2" s="77" t="s">
        <v>414</v>
      </c>
      <c r="F2" s="91">
        <v>28031</v>
      </c>
      <c r="G2" s="91">
        <v>6023</v>
      </c>
      <c r="H2" s="91">
        <v>22008</v>
      </c>
      <c r="I2" s="91">
        <v>78</v>
      </c>
      <c r="J2" s="77" t="s">
        <v>28</v>
      </c>
      <c r="K2" s="77" t="s">
        <v>29</v>
      </c>
      <c r="L2" s="77" t="s">
        <v>382</v>
      </c>
      <c r="M2" s="77"/>
      <c r="N2" s="107">
        <v>1048576</v>
      </c>
    </row>
    <row r="3" spans="1:14">
      <c r="A3" s="200"/>
      <c r="B3" s="78" t="s">
        <v>29</v>
      </c>
      <c r="C3" s="78" t="s">
        <v>34</v>
      </c>
      <c r="D3" s="78" t="s">
        <v>403</v>
      </c>
      <c r="E3" s="78" t="s">
        <v>419</v>
      </c>
      <c r="F3" s="92">
        <v>1031991</v>
      </c>
      <c r="G3" s="92">
        <v>69207</v>
      </c>
      <c r="H3" s="92">
        <v>962784</v>
      </c>
      <c r="I3" s="92">
        <v>93</v>
      </c>
      <c r="J3" s="78" t="s">
        <v>28</v>
      </c>
      <c r="K3" s="78" t="s">
        <v>29</v>
      </c>
      <c r="L3" s="78" t="s">
        <v>384</v>
      </c>
      <c r="M3" s="78" t="s">
        <v>385</v>
      </c>
      <c r="N3" s="108">
        <v>15360</v>
      </c>
    </row>
    <row r="4" spans="1:14">
      <c r="A4" s="200"/>
      <c r="B4" s="78" t="s">
        <v>29</v>
      </c>
      <c r="C4" s="78" t="s">
        <v>34</v>
      </c>
      <c r="D4" s="78" t="s">
        <v>385</v>
      </c>
      <c r="E4" s="78" t="s">
        <v>420</v>
      </c>
      <c r="F4" s="92">
        <v>18644</v>
      </c>
      <c r="G4" s="92">
        <v>8938</v>
      </c>
      <c r="H4" s="92">
        <v>9706</v>
      </c>
      <c r="I4" s="92">
        <v>52</v>
      </c>
      <c r="J4" s="78" t="s">
        <v>28</v>
      </c>
      <c r="K4" s="78" t="s">
        <v>29</v>
      </c>
      <c r="L4" s="78" t="s">
        <v>386</v>
      </c>
      <c r="M4" s="78" t="s">
        <v>385</v>
      </c>
      <c r="N4" s="108">
        <v>61440</v>
      </c>
    </row>
    <row r="5" spans="1:14">
      <c r="A5" s="200"/>
      <c r="B5" s="78" t="s">
        <v>29</v>
      </c>
      <c r="C5" s="78" t="s">
        <v>34</v>
      </c>
      <c r="D5" s="78" t="s">
        <v>385</v>
      </c>
      <c r="E5" s="78" t="s">
        <v>421</v>
      </c>
      <c r="F5" s="92">
        <v>9259</v>
      </c>
      <c r="G5" s="92">
        <v>843</v>
      </c>
      <c r="H5" s="92">
        <v>8416</v>
      </c>
      <c r="I5" s="92">
        <v>90</v>
      </c>
      <c r="J5" s="78" t="s">
        <v>28</v>
      </c>
      <c r="K5" s="101"/>
      <c r="L5" s="101"/>
      <c r="M5" s="101"/>
      <c r="N5" s="109"/>
    </row>
    <row r="6" spans="1:14">
      <c r="A6" s="200"/>
      <c r="B6" s="78" t="s">
        <v>29</v>
      </c>
      <c r="C6" s="78" t="s">
        <v>34</v>
      </c>
      <c r="D6" s="78" t="s">
        <v>385</v>
      </c>
      <c r="E6" s="78" t="s">
        <v>422</v>
      </c>
      <c r="F6" s="92">
        <v>4911</v>
      </c>
      <c r="G6" s="92">
        <v>1523</v>
      </c>
      <c r="H6" s="92">
        <v>3388</v>
      </c>
      <c r="I6" s="92">
        <v>68</v>
      </c>
      <c r="J6" s="78" t="s">
        <v>28</v>
      </c>
      <c r="K6" s="101"/>
      <c r="L6" s="101"/>
      <c r="M6" s="101"/>
      <c r="N6" s="109"/>
    </row>
    <row r="7" spans="1:14">
      <c r="A7" s="200"/>
      <c r="B7" s="78" t="s">
        <v>29</v>
      </c>
      <c r="C7" s="78" t="s">
        <v>34</v>
      </c>
      <c r="D7" s="78" t="s">
        <v>385</v>
      </c>
      <c r="E7" s="78" t="s">
        <v>423</v>
      </c>
      <c r="F7" s="92">
        <v>9950</v>
      </c>
      <c r="G7" s="92">
        <v>9416</v>
      </c>
      <c r="H7" s="92">
        <v>534</v>
      </c>
      <c r="I7" s="92">
        <v>5</v>
      </c>
      <c r="J7" s="78" t="s">
        <v>28</v>
      </c>
      <c r="K7" s="101"/>
      <c r="L7" s="101"/>
      <c r="M7" s="101"/>
      <c r="N7" s="109"/>
    </row>
    <row r="8" spans="1:14">
      <c r="A8" s="79"/>
      <c r="B8" s="80"/>
      <c r="C8" s="80"/>
      <c r="D8" s="80"/>
      <c r="E8" s="80"/>
      <c r="F8" s="93">
        <v>1102786</v>
      </c>
      <c r="G8" s="94"/>
      <c r="H8" s="94"/>
      <c r="I8" s="94"/>
      <c r="J8" s="102" t="s">
        <v>754</v>
      </c>
      <c r="K8" s="103">
        <v>22.060546875</v>
      </c>
      <c r="L8" s="80"/>
      <c r="M8" s="80"/>
      <c r="N8" s="110">
        <v>1125376</v>
      </c>
    </row>
    <row r="9" spans="1:14">
      <c r="A9" s="199" t="s">
        <v>43</v>
      </c>
      <c r="B9" s="77" t="s">
        <v>29</v>
      </c>
      <c r="C9" s="77" t="s">
        <v>34</v>
      </c>
      <c r="D9" s="77" t="s">
        <v>385</v>
      </c>
      <c r="E9" s="77" t="s">
        <v>414</v>
      </c>
      <c r="F9" s="91">
        <v>28031</v>
      </c>
      <c r="G9" s="91">
        <v>3844</v>
      </c>
      <c r="H9" s="91">
        <v>24187</v>
      </c>
      <c r="I9" s="91">
        <v>86</v>
      </c>
      <c r="J9" s="77" t="s">
        <v>43</v>
      </c>
      <c r="K9" s="77" t="s">
        <v>29</v>
      </c>
      <c r="L9" s="77" t="s">
        <v>384</v>
      </c>
      <c r="M9" s="77"/>
      <c r="N9" s="107">
        <v>6291456</v>
      </c>
    </row>
    <row r="10" spans="1:14">
      <c r="A10" s="200"/>
      <c r="B10" s="78" t="s">
        <v>29</v>
      </c>
      <c r="C10" s="78" t="s">
        <v>34</v>
      </c>
      <c r="D10" s="78" t="s">
        <v>385</v>
      </c>
      <c r="E10" s="78" t="s">
        <v>421</v>
      </c>
      <c r="F10" s="92">
        <v>9259</v>
      </c>
      <c r="G10" s="92">
        <v>3840</v>
      </c>
      <c r="H10" s="92">
        <v>5419</v>
      </c>
      <c r="I10" s="92">
        <v>58</v>
      </c>
      <c r="J10" s="78" t="s">
        <v>43</v>
      </c>
      <c r="K10" s="78" t="s">
        <v>29</v>
      </c>
      <c r="L10" s="78" t="s">
        <v>386</v>
      </c>
      <c r="M10" s="78" t="s">
        <v>385</v>
      </c>
      <c r="N10" s="108">
        <v>61440</v>
      </c>
    </row>
    <row r="11" spans="1:14">
      <c r="A11" s="200"/>
      <c r="B11" s="78" t="s">
        <v>29</v>
      </c>
      <c r="C11" s="78" t="s">
        <v>34</v>
      </c>
      <c r="D11" s="78" t="s">
        <v>403</v>
      </c>
      <c r="E11" s="78" t="s">
        <v>419</v>
      </c>
      <c r="F11" s="92">
        <v>6241754</v>
      </c>
      <c r="G11" s="92">
        <v>5229674</v>
      </c>
      <c r="H11" s="92">
        <v>1012080</v>
      </c>
      <c r="I11" s="92">
        <v>16</v>
      </c>
      <c r="J11" s="78" t="s">
        <v>43</v>
      </c>
      <c r="K11" s="78" t="s">
        <v>29</v>
      </c>
      <c r="L11" s="78" t="s">
        <v>382</v>
      </c>
      <c r="M11" s="78"/>
      <c r="N11" s="108">
        <v>16384</v>
      </c>
    </row>
    <row r="12" spans="1:14">
      <c r="A12" s="200"/>
      <c r="B12" s="78" t="s">
        <v>29</v>
      </c>
      <c r="C12" s="78" t="s">
        <v>34</v>
      </c>
      <c r="D12" s="78" t="s">
        <v>403</v>
      </c>
      <c r="E12" s="78" t="s">
        <v>426</v>
      </c>
      <c r="F12" s="92">
        <v>15994</v>
      </c>
      <c r="G12" s="92">
        <v>8476</v>
      </c>
      <c r="H12" s="92">
        <v>7518</v>
      </c>
      <c r="I12" s="92">
        <v>47</v>
      </c>
      <c r="J12" s="78" t="s">
        <v>43</v>
      </c>
      <c r="K12" s="78"/>
      <c r="L12" s="78"/>
      <c r="M12" s="78"/>
      <c r="N12" s="108"/>
    </row>
    <row r="13" spans="1:14">
      <c r="A13" s="200"/>
      <c r="B13" s="78" t="s">
        <v>29</v>
      </c>
      <c r="C13" s="78" t="s">
        <v>34</v>
      </c>
      <c r="D13" s="78" t="s">
        <v>385</v>
      </c>
      <c r="E13" s="78" t="s">
        <v>420</v>
      </c>
      <c r="F13" s="92">
        <v>18644</v>
      </c>
      <c r="G13" s="92">
        <v>294</v>
      </c>
      <c r="H13" s="92">
        <v>18350</v>
      </c>
      <c r="I13" s="92">
        <v>98</v>
      </c>
      <c r="J13" s="78" t="s">
        <v>43</v>
      </c>
      <c r="K13" s="78"/>
      <c r="L13" s="78"/>
      <c r="M13" s="78"/>
      <c r="N13" s="108"/>
    </row>
    <row r="14" spans="1:14">
      <c r="A14" s="79"/>
      <c r="B14" s="80"/>
      <c r="C14" s="80"/>
      <c r="D14" s="80"/>
      <c r="E14" s="80"/>
      <c r="F14" s="93">
        <v>6313682</v>
      </c>
      <c r="G14" s="94"/>
      <c r="H14" s="94"/>
      <c r="I14" s="94"/>
      <c r="J14" s="102" t="s">
        <v>754</v>
      </c>
      <c r="K14" s="103">
        <v>54.294921875</v>
      </c>
      <c r="L14" s="80"/>
      <c r="M14" s="80"/>
      <c r="N14" s="110">
        <v>6369280</v>
      </c>
    </row>
    <row r="15" spans="1:14">
      <c r="A15" s="81" t="s">
        <v>47</v>
      </c>
      <c r="B15" s="82" t="s">
        <v>29</v>
      </c>
      <c r="C15" s="82" t="s">
        <v>34</v>
      </c>
      <c r="D15" s="82" t="s">
        <v>403</v>
      </c>
      <c r="E15" s="82" t="s">
        <v>427</v>
      </c>
      <c r="F15" s="95">
        <v>5201436</v>
      </c>
      <c r="G15" s="95">
        <v>61</v>
      </c>
      <c r="H15" s="95">
        <v>5201375</v>
      </c>
      <c r="I15" s="95">
        <v>99</v>
      </c>
      <c r="J15" s="82" t="s">
        <v>47</v>
      </c>
      <c r="K15" s="82" t="s">
        <v>29</v>
      </c>
      <c r="L15" s="82" t="s">
        <v>387</v>
      </c>
      <c r="M15" s="82"/>
      <c r="N15" s="111">
        <v>4048576</v>
      </c>
    </row>
    <row r="16" spans="1:14">
      <c r="A16" s="83" t="s">
        <v>47</v>
      </c>
      <c r="B16" s="78" t="s">
        <v>29</v>
      </c>
      <c r="C16" s="78" t="s">
        <v>34</v>
      </c>
      <c r="D16" s="78" t="s">
        <v>385</v>
      </c>
      <c r="E16" s="78" t="s">
        <v>414</v>
      </c>
      <c r="F16" s="92">
        <v>65535</v>
      </c>
      <c r="G16" s="92">
        <v>5729</v>
      </c>
      <c r="H16" s="92">
        <v>59806</v>
      </c>
      <c r="I16" s="92">
        <v>91</v>
      </c>
      <c r="J16" s="78" t="s">
        <v>47</v>
      </c>
      <c r="K16" s="78" t="s">
        <v>29</v>
      </c>
      <c r="L16" s="78" t="s">
        <v>382</v>
      </c>
      <c r="M16" s="78"/>
      <c r="N16" s="108">
        <v>1048576</v>
      </c>
    </row>
    <row r="17" spans="1:14">
      <c r="A17" s="83" t="s">
        <v>47</v>
      </c>
      <c r="B17" s="78" t="s">
        <v>29</v>
      </c>
      <c r="C17" s="78" t="s">
        <v>34</v>
      </c>
      <c r="D17" s="78" t="s">
        <v>385</v>
      </c>
      <c r="E17" s="78" t="s">
        <v>420</v>
      </c>
      <c r="F17" s="92">
        <v>19093</v>
      </c>
      <c r="G17" s="92">
        <v>44</v>
      </c>
      <c r="H17" s="92">
        <v>19049</v>
      </c>
      <c r="I17" s="92">
        <v>99</v>
      </c>
      <c r="J17" s="78" t="s">
        <v>47</v>
      </c>
      <c r="K17" s="78" t="s">
        <v>29</v>
      </c>
      <c r="L17" s="78" t="s">
        <v>386</v>
      </c>
      <c r="M17" s="78" t="s">
        <v>385</v>
      </c>
      <c r="N17" s="108">
        <v>102400</v>
      </c>
    </row>
    <row r="18" spans="1:14">
      <c r="A18" s="83" t="s">
        <v>47</v>
      </c>
      <c r="B18" s="78" t="s">
        <v>29</v>
      </c>
      <c r="C18" s="78" t="s">
        <v>34</v>
      </c>
      <c r="D18" s="78" t="s">
        <v>385</v>
      </c>
      <c r="E18" s="78" t="s">
        <v>421</v>
      </c>
      <c r="F18" s="92">
        <v>9482</v>
      </c>
      <c r="G18" s="92">
        <v>8158</v>
      </c>
      <c r="H18" s="92">
        <v>1324</v>
      </c>
      <c r="I18" s="92">
        <v>13</v>
      </c>
      <c r="J18" s="78" t="s">
        <v>47</v>
      </c>
      <c r="K18" s="78" t="s">
        <v>29</v>
      </c>
      <c r="L18" s="78" t="s">
        <v>384</v>
      </c>
      <c r="M18" s="78" t="s">
        <v>385</v>
      </c>
      <c r="N18" s="108">
        <v>20480</v>
      </c>
    </row>
    <row r="19" spans="1:14">
      <c r="A19" s="83" t="s">
        <v>47</v>
      </c>
      <c r="B19" s="78" t="s">
        <v>29</v>
      </c>
      <c r="C19" s="78" t="s">
        <v>34</v>
      </c>
      <c r="D19" s="78" t="s">
        <v>385</v>
      </c>
      <c r="E19" s="78" t="s">
        <v>422</v>
      </c>
      <c r="F19" s="92">
        <v>4675</v>
      </c>
      <c r="G19" s="92">
        <v>10</v>
      </c>
      <c r="H19" s="92">
        <v>4665</v>
      </c>
      <c r="I19" s="92">
        <v>99</v>
      </c>
      <c r="J19" s="78" t="s">
        <v>47</v>
      </c>
      <c r="K19" s="78"/>
      <c r="L19" s="78"/>
      <c r="M19" s="78"/>
      <c r="N19" s="108"/>
    </row>
    <row r="20" spans="1:14">
      <c r="A20" s="83" t="s">
        <v>47</v>
      </c>
      <c r="B20" s="78" t="s">
        <v>29</v>
      </c>
      <c r="C20" s="78" t="s">
        <v>34</v>
      </c>
      <c r="D20" s="78" t="s">
        <v>385</v>
      </c>
      <c r="E20" s="78" t="s">
        <v>430</v>
      </c>
      <c r="F20" s="92">
        <v>471</v>
      </c>
      <c r="G20" s="92">
        <v>471</v>
      </c>
      <c r="H20" s="92">
        <v>0</v>
      </c>
      <c r="I20" s="92">
        <v>0</v>
      </c>
      <c r="J20" s="78" t="s">
        <v>47</v>
      </c>
      <c r="K20" s="78"/>
      <c r="L20" s="78"/>
      <c r="M20" s="78"/>
      <c r="N20" s="108"/>
    </row>
    <row r="21" spans="1:14">
      <c r="A21" s="79"/>
      <c r="B21" s="80"/>
      <c r="C21" s="80"/>
      <c r="D21" s="80"/>
      <c r="E21" s="80"/>
      <c r="F21" s="93">
        <v>5300692</v>
      </c>
      <c r="G21" s="94"/>
      <c r="H21" s="94"/>
      <c r="I21" s="94"/>
      <c r="J21" s="102" t="s">
        <v>754</v>
      </c>
      <c r="K21" s="104">
        <v>-78.76953125</v>
      </c>
      <c r="L21" s="90"/>
      <c r="M21" s="90"/>
      <c r="N21" s="99">
        <v>5220032</v>
      </c>
    </row>
    <row r="22" spans="1:14">
      <c r="A22" s="84" t="s">
        <v>51</v>
      </c>
      <c r="B22" s="77" t="s">
        <v>29</v>
      </c>
      <c r="C22" s="77" t="s">
        <v>34</v>
      </c>
      <c r="D22" s="77" t="s">
        <v>385</v>
      </c>
      <c r="E22" s="77" t="s">
        <v>422</v>
      </c>
      <c r="F22" s="91">
        <v>4675</v>
      </c>
      <c r="G22" s="91">
        <v>10</v>
      </c>
      <c r="H22" s="91">
        <v>4665</v>
      </c>
      <c r="I22" s="91">
        <v>99</v>
      </c>
      <c r="J22" s="78" t="s">
        <v>51</v>
      </c>
      <c r="K22" s="78" t="s">
        <v>29</v>
      </c>
      <c r="L22" s="78" t="s">
        <v>384</v>
      </c>
      <c r="M22" s="78" t="s">
        <v>385</v>
      </c>
      <c r="N22" s="92">
        <v>102400</v>
      </c>
    </row>
    <row r="23" spans="1:14">
      <c r="A23" s="83" t="s">
        <v>51</v>
      </c>
      <c r="B23" s="78" t="s">
        <v>29</v>
      </c>
      <c r="C23" s="78" t="s">
        <v>34</v>
      </c>
      <c r="D23" s="78" t="s">
        <v>385</v>
      </c>
      <c r="E23" s="78" t="s">
        <v>430</v>
      </c>
      <c r="F23" s="92">
        <v>471</v>
      </c>
      <c r="G23" s="92">
        <v>461</v>
      </c>
      <c r="H23" s="92">
        <v>10</v>
      </c>
      <c r="I23" s="92">
        <v>2</v>
      </c>
      <c r="J23" s="78" t="s">
        <v>51</v>
      </c>
      <c r="K23" s="78" t="s">
        <v>29</v>
      </c>
      <c r="L23" s="78" t="s">
        <v>382</v>
      </c>
      <c r="M23" s="78"/>
      <c r="N23" s="92">
        <v>512000</v>
      </c>
    </row>
    <row r="24" spans="1:14">
      <c r="A24" s="83" t="s">
        <v>51</v>
      </c>
      <c r="B24" s="78" t="s">
        <v>29</v>
      </c>
      <c r="C24" s="78" t="s">
        <v>34</v>
      </c>
      <c r="D24" s="78" t="s">
        <v>403</v>
      </c>
      <c r="E24" s="78" t="s">
        <v>433</v>
      </c>
      <c r="F24" s="92">
        <v>503834</v>
      </c>
      <c r="G24" s="92">
        <v>177</v>
      </c>
      <c r="H24" s="92">
        <v>503657</v>
      </c>
      <c r="I24" s="92">
        <v>99</v>
      </c>
      <c r="J24" s="78" t="s">
        <v>51</v>
      </c>
      <c r="K24" s="78" t="s">
        <v>29</v>
      </c>
      <c r="L24" s="78" t="s">
        <v>386</v>
      </c>
      <c r="M24" s="78" t="s">
        <v>385</v>
      </c>
      <c r="N24" s="92">
        <v>20480</v>
      </c>
    </row>
    <row r="25" spans="1:14">
      <c r="A25" s="83" t="s">
        <v>51</v>
      </c>
      <c r="B25" s="78" t="s">
        <v>29</v>
      </c>
      <c r="C25" s="78" t="s">
        <v>34</v>
      </c>
      <c r="D25" s="78" t="s">
        <v>385</v>
      </c>
      <c r="E25" s="78" t="s">
        <v>421</v>
      </c>
      <c r="F25" s="92">
        <v>9482</v>
      </c>
      <c r="G25" s="92">
        <v>6317</v>
      </c>
      <c r="H25" s="92">
        <v>3165</v>
      </c>
      <c r="I25" s="92">
        <v>33</v>
      </c>
      <c r="J25" s="78"/>
      <c r="K25" s="78"/>
      <c r="L25" s="78"/>
      <c r="M25" s="78"/>
      <c r="N25" s="108"/>
    </row>
    <row r="26" spans="1:14">
      <c r="A26" s="83" t="s">
        <v>51</v>
      </c>
      <c r="B26" s="78" t="s">
        <v>29</v>
      </c>
      <c r="C26" s="78" t="s">
        <v>34</v>
      </c>
      <c r="D26" s="78" t="s">
        <v>385</v>
      </c>
      <c r="E26" s="78" t="s">
        <v>420</v>
      </c>
      <c r="F26" s="92">
        <v>19093</v>
      </c>
      <c r="G26" s="92">
        <v>44</v>
      </c>
      <c r="H26" s="92">
        <v>19049</v>
      </c>
      <c r="I26" s="92">
        <v>99</v>
      </c>
      <c r="J26" s="78"/>
      <c r="K26" s="78"/>
      <c r="L26" s="78"/>
      <c r="M26" s="78"/>
      <c r="N26" s="108"/>
    </row>
    <row r="27" spans="1:14">
      <c r="A27" s="83" t="s">
        <v>51</v>
      </c>
      <c r="B27" s="78" t="s">
        <v>29</v>
      </c>
      <c r="C27" s="78" t="s">
        <v>34</v>
      </c>
      <c r="D27" s="78" t="s">
        <v>385</v>
      </c>
      <c r="E27" s="78" t="s">
        <v>414</v>
      </c>
      <c r="F27" s="92">
        <v>65535</v>
      </c>
      <c r="G27" s="92">
        <v>5420</v>
      </c>
      <c r="H27" s="92">
        <v>60115</v>
      </c>
      <c r="I27" s="92">
        <v>91</v>
      </c>
      <c r="J27" s="78"/>
      <c r="K27" s="78"/>
      <c r="L27" s="78"/>
      <c r="M27" s="78"/>
      <c r="N27" s="108"/>
    </row>
    <row r="28" spans="1:14">
      <c r="A28" s="85"/>
      <c r="B28" s="86"/>
      <c r="C28" s="86"/>
      <c r="D28" s="86"/>
      <c r="E28" s="86"/>
      <c r="F28" s="96">
        <v>603090</v>
      </c>
      <c r="G28" s="97"/>
      <c r="H28" s="97"/>
      <c r="I28" s="97"/>
      <c r="J28" s="102" t="s">
        <v>754</v>
      </c>
      <c r="K28" s="105">
        <v>31.044921875</v>
      </c>
      <c r="L28" s="90"/>
      <c r="M28" s="90"/>
      <c r="N28" s="112">
        <v>634880</v>
      </c>
    </row>
    <row r="29" spans="1:14">
      <c r="A29" s="84" t="s">
        <v>54</v>
      </c>
      <c r="B29" s="77" t="s">
        <v>29</v>
      </c>
      <c r="C29" s="77" t="s">
        <v>34</v>
      </c>
      <c r="D29" s="77" t="s">
        <v>385</v>
      </c>
      <c r="E29" s="77" t="s">
        <v>430</v>
      </c>
      <c r="F29" s="91">
        <v>471</v>
      </c>
      <c r="G29" s="91">
        <v>468</v>
      </c>
      <c r="H29" s="91">
        <v>3</v>
      </c>
      <c r="I29" s="91">
        <v>0</v>
      </c>
      <c r="J29" s="78" t="s">
        <v>54</v>
      </c>
      <c r="K29" s="78" t="s">
        <v>29</v>
      </c>
      <c r="L29" s="78" t="s">
        <v>382</v>
      </c>
      <c r="M29" s="78"/>
      <c r="N29" s="92">
        <v>512000</v>
      </c>
    </row>
    <row r="30" spans="1:14">
      <c r="A30" s="83" t="s">
        <v>54</v>
      </c>
      <c r="B30" s="78" t="s">
        <v>29</v>
      </c>
      <c r="C30" s="78" t="s">
        <v>34</v>
      </c>
      <c r="D30" s="78" t="s">
        <v>385</v>
      </c>
      <c r="E30" s="78" t="s">
        <v>422</v>
      </c>
      <c r="F30" s="92">
        <v>4675</v>
      </c>
      <c r="G30" s="92">
        <v>10</v>
      </c>
      <c r="H30" s="92">
        <v>4665</v>
      </c>
      <c r="I30" s="92">
        <v>99</v>
      </c>
      <c r="J30" s="78" t="s">
        <v>54</v>
      </c>
      <c r="K30" s="78" t="s">
        <v>29</v>
      </c>
      <c r="L30" s="78" t="s">
        <v>386</v>
      </c>
      <c r="M30" s="78" t="s">
        <v>385</v>
      </c>
      <c r="N30" s="92">
        <v>102400</v>
      </c>
    </row>
    <row r="31" spans="1:14">
      <c r="A31" s="83" t="s">
        <v>54</v>
      </c>
      <c r="B31" s="78" t="s">
        <v>29</v>
      </c>
      <c r="C31" s="78" t="s">
        <v>34</v>
      </c>
      <c r="D31" s="78" t="s">
        <v>403</v>
      </c>
      <c r="E31" s="78" t="s">
        <v>433</v>
      </c>
      <c r="F31" s="92">
        <v>503834</v>
      </c>
      <c r="G31" s="92">
        <v>202</v>
      </c>
      <c r="H31" s="92">
        <v>503632</v>
      </c>
      <c r="I31" s="92">
        <v>99</v>
      </c>
      <c r="J31" s="78" t="s">
        <v>54</v>
      </c>
      <c r="K31" s="78" t="s">
        <v>29</v>
      </c>
      <c r="L31" s="78" t="s">
        <v>384</v>
      </c>
      <c r="M31" s="78" t="s">
        <v>385</v>
      </c>
      <c r="N31" s="92">
        <v>20480</v>
      </c>
    </row>
    <row r="32" spans="1:14">
      <c r="A32" s="83" t="s">
        <v>54</v>
      </c>
      <c r="B32" s="78" t="s">
        <v>29</v>
      </c>
      <c r="C32" s="78" t="s">
        <v>34</v>
      </c>
      <c r="D32" s="78" t="s">
        <v>385</v>
      </c>
      <c r="E32" s="78" t="s">
        <v>421</v>
      </c>
      <c r="F32" s="92">
        <v>9482</v>
      </c>
      <c r="G32" s="92">
        <v>9282</v>
      </c>
      <c r="H32" s="92">
        <v>200</v>
      </c>
      <c r="I32" s="92">
        <v>2</v>
      </c>
      <c r="J32" s="78"/>
      <c r="K32" s="78"/>
      <c r="L32" s="78"/>
      <c r="M32" s="78"/>
      <c r="N32" s="108"/>
    </row>
    <row r="33" spans="1:14">
      <c r="A33" s="83" t="s">
        <v>54</v>
      </c>
      <c r="B33" s="78" t="s">
        <v>29</v>
      </c>
      <c r="C33" s="78" t="s">
        <v>34</v>
      </c>
      <c r="D33" s="78" t="s">
        <v>385</v>
      </c>
      <c r="E33" s="78" t="s">
        <v>420</v>
      </c>
      <c r="F33" s="92">
        <v>19093</v>
      </c>
      <c r="G33" s="92">
        <v>44</v>
      </c>
      <c r="H33" s="92">
        <v>19049</v>
      </c>
      <c r="I33" s="92">
        <v>99</v>
      </c>
      <c r="J33" s="78"/>
      <c r="K33" s="78"/>
      <c r="L33" s="78"/>
      <c r="M33" s="78"/>
      <c r="N33" s="108"/>
    </row>
    <row r="34" spans="1:14">
      <c r="A34" s="83" t="s">
        <v>54</v>
      </c>
      <c r="B34" s="78" t="s">
        <v>29</v>
      </c>
      <c r="C34" s="78" t="s">
        <v>34</v>
      </c>
      <c r="D34" s="78" t="s">
        <v>385</v>
      </c>
      <c r="E34" s="78" t="s">
        <v>414</v>
      </c>
      <c r="F34" s="92">
        <v>65535</v>
      </c>
      <c r="G34" s="92">
        <v>5890</v>
      </c>
      <c r="H34" s="92">
        <v>59645</v>
      </c>
      <c r="I34" s="92">
        <v>91</v>
      </c>
      <c r="J34" s="78"/>
      <c r="K34" s="78"/>
      <c r="L34" s="78"/>
      <c r="M34" s="78"/>
      <c r="N34" s="108"/>
    </row>
    <row r="35" spans="1:14">
      <c r="A35" s="87"/>
      <c r="B35" s="88"/>
      <c r="C35" s="88"/>
      <c r="D35" s="88"/>
      <c r="E35" s="88"/>
      <c r="F35" s="98">
        <v>603090</v>
      </c>
      <c r="G35" s="88"/>
      <c r="H35" s="88"/>
      <c r="I35" s="88"/>
      <c r="J35" s="76" t="s">
        <v>754</v>
      </c>
      <c r="K35" s="106">
        <v>31.044921875</v>
      </c>
      <c r="L35" s="90"/>
      <c r="M35" s="90"/>
      <c r="N35" s="99">
        <v>634880</v>
      </c>
    </row>
    <row r="36" spans="1:14">
      <c r="A36" s="84" t="s">
        <v>56</v>
      </c>
      <c r="B36" s="77" t="s">
        <v>29</v>
      </c>
      <c r="C36" s="77" t="s">
        <v>34</v>
      </c>
      <c r="D36" s="77" t="s">
        <v>385</v>
      </c>
      <c r="E36" s="77" t="s">
        <v>421</v>
      </c>
      <c r="F36" s="91">
        <v>9482</v>
      </c>
      <c r="G36" s="91">
        <v>4819</v>
      </c>
      <c r="H36" s="91">
        <v>4663</v>
      </c>
      <c r="I36" s="91">
        <v>49</v>
      </c>
      <c r="J36" s="77" t="s">
        <v>56</v>
      </c>
      <c r="K36" s="77" t="s">
        <v>29</v>
      </c>
      <c r="L36" s="77" t="s">
        <v>382</v>
      </c>
      <c r="M36" s="77"/>
      <c r="N36" s="107">
        <v>512000</v>
      </c>
    </row>
    <row r="37" spans="1:14">
      <c r="A37" s="83" t="s">
        <v>56</v>
      </c>
      <c r="B37" s="78" t="s">
        <v>29</v>
      </c>
      <c r="C37" s="78" t="s">
        <v>34</v>
      </c>
      <c r="D37" s="78" t="s">
        <v>403</v>
      </c>
      <c r="E37" s="78" t="s">
        <v>433</v>
      </c>
      <c r="F37" s="92">
        <v>503834</v>
      </c>
      <c r="G37" s="92">
        <v>177</v>
      </c>
      <c r="H37" s="92">
        <v>503657</v>
      </c>
      <c r="I37" s="92">
        <v>99</v>
      </c>
      <c r="J37" s="78" t="s">
        <v>56</v>
      </c>
      <c r="K37" s="78" t="s">
        <v>29</v>
      </c>
      <c r="L37" s="78" t="s">
        <v>386</v>
      </c>
      <c r="M37" s="78" t="s">
        <v>385</v>
      </c>
      <c r="N37" s="108">
        <v>20480</v>
      </c>
    </row>
    <row r="38" spans="1:14">
      <c r="A38" s="83" t="s">
        <v>56</v>
      </c>
      <c r="B38" s="78" t="s">
        <v>29</v>
      </c>
      <c r="C38" s="78" t="s">
        <v>34</v>
      </c>
      <c r="D38" s="78" t="s">
        <v>385</v>
      </c>
      <c r="E38" s="78" t="s">
        <v>420</v>
      </c>
      <c r="F38" s="92">
        <v>19093</v>
      </c>
      <c r="G38" s="92">
        <v>44</v>
      </c>
      <c r="H38" s="92">
        <v>19049</v>
      </c>
      <c r="I38" s="92">
        <v>99</v>
      </c>
      <c r="J38" s="78" t="s">
        <v>56</v>
      </c>
      <c r="K38" s="78" t="s">
        <v>29</v>
      </c>
      <c r="L38" s="78" t="s">
        <v>384</v>
      </c>
      <c r="M38" s="78" t="s">
        <v>385</v>
      </c>
      <c r="N38" s="108">
        <v>102400</v>
      </c>
    </row>
    <row r="39" spans="1:14">
      <c r="A39" s="83" t="s">
        <v>56</v>
      </c>
      <c r="B39" s="78" t="s">
        <v>29</v>
      </c>
      <c r="C39" s="78" t="s">
        <v>34</v>
      </c>
      <c r="D39" s="78" t="s">
        <v>385</v>
      </c>
      <c r="E39" s="78" t="s">
        <v>422</v>
      </c>
      <c r="F39" s="92">
        <v>4675</v>
      </c>
      <c r="G39" s="92">
        <v>10</v>
      </c>
      <c r="H39" s="92">
        <v>4665</v>
      </c>
      <c r="I39" s="92">
        <v>99</v>
      </c>
      <c r="J39" s="2"/>
      <c r="K39" s="2"/>
      <c r="L39" s="2"/>
      <c r="M39" s="2"/>
      <c r="N39" s="113"/>
    </row>
    <row r="40" spans="1:14">
      <c r="A40" s="83" t="s">
        <v>56</v>
      </c>
      <c r="B40" s="78" t="s">
        <v>29</v>
      </c>
      <c r="C40" s="78" t="s">
        <v>34</v>
      </c>
      <c r="D40" s="78" t="s">
        <v>385</v>
      </c>
      <c r="E40" s="78" t="s">
        <v>430</v>
      </c>
      <c r="F40" s="92">
        <v>471</v>
      </c>
      <c r="G40" s="92">
        <v>466</v>
      </c>
      <c r="H40" s="92">
        <v>5</v>
      </c>
      <c r="I40" s="92">
        <v>1</v>
      </c>
      <c r="J40" s="2"/>
      <c r="K40" s="2"/>
      <c r="L40" s="2"/>
      <c r="M40" s="2"/>
      <c r="N40" s="113"/>
    </row>
    <row r="41" spans="1:14">
      <c r="A41" s="83" t="s">
        <v>56</v>
      </c>
      <c r="B41" s="78" t="s">
        <v>29</v>
      </c>
      <c r="C41" s="78" t="s">
        <v>34</v>
      </c>
      <c r="D41" s="78" t="s">
        <v>385</v>
      </c>
      <c r="E41" s="78" t="s">
        <v>414</v>
      </c>
      <c r="F41" s="92">
        <v>65535</v>
      </c>
      <c r="G41" s="92">
        <v>5986</v>
      </c>
      <c r="H41" s="92">
        <v>59549</v>
      </c>
      <c r="I41" s="92">
        <v>90</v>
      </c>
      <c r="J41" s="2"/>
      <c r="K41" s="2"/>
      <c r="L41" s="2"/>
      <c r="M41" s="2"/>
      <c r="N41" s="113"/>
    </row>
    <row r="42" spans="1:14">
      <c r="A42" s="89"/>
      <c r="B42" s="90"/>
      <c r="C42" s="90"/>
      <c r="D42" s="90"/>
      <c r="E42" s="90"/>
      <c r="F42" s="99">
        <v>603090</v>
      </c>
      <c r="G42" s="100"/>
      <c r="H42" s="100"/>
      <c r="I42" s="100"/>
      <c r="J42" s="76" t="s">
        <v>754</v>
      </c>
      <c r="K42" s="106">
        <v>31.044921875</v>
      </c>
      <c r="L42" s="90"/>
      <c r="M42" s="90"/>
      <c r="N42" s="99">
        <v>634880</v>
      </c>
    </row>
    <row r="43" spans="1:14">
      <c r="A43" s="84" t="s">
        <v>58</v>
      </c>
      <c r="B43" s="77" t="s">
        <v>29</v>
      </c>
      <c r="C43" s="77" t="s">
        <v>34</v>
      </c>
      <c r="D43" s="77" t="s">
        <v>385</v>
      </c>
      <c r="E43" s="77" t="s">
        <v>420</v>
      </c>
      <c r="F43" s="91">
        <v>19093</v>
      </c>
      <c r="G43" s="91">
        <v>964</v>
      </c>
      <c r="H43" s="91">
        <v>18129</v>
      </c>
      <c r="I43" s="91">
        <v>94</v>
      </c>
      <c r="J43" s="77" t="s">
        <v>58</v>
      </c>
      <c r="K43" s="77" t="s">
        <v>29</v>
      </c>
      <c r="L43" s="77" t="s">
        <v>386</v>
      </c>
      <c r="M43" s="77" t="s">
        <v>385</v>
      </c>
      <c r="N43" s="107">
        <v>20480</v>
      </c>
    </row>
    <row r="44" spans="1:14">
      <c r="A44" s="83" t="s">
        <v>58</v>
      </c>
      <c r="B44" s="78" t="s">
        <v>29</v>
      </c>
      <c r="C44" s="78" t="s">
        <v>34</v>
      </c>
      <c r="D44" s="78" t="s">
        <v>385</v>
      </c>
      <c r="E44" s="78" t="s">
        <v>421</v>
      </c>
      <c r="F44" s="92">
        <v>9482</v>
      </c>
      <c r="G44" s="92">
        <v>4323</v>
      </c>
      <c r="H44" s="92">
        <v>5159</v>
      </c>
      <c r="I44" s="92">
        <v>54</v>
      </c>
      <c r="J44" s="78" t="s">
        <v>58</v>
      </c>
      <c r="K44" s="78" t="s">
        <v>29</v>
      </c>
      <c r="L44" s="78" t="s">
        <v>384</v>
      </c>
      <c r="M44" s="78" t="s">
        <v>385</v>
      </c>
      <c r="N44" s="108">
        <v>102400</v>
      </c>
    </row>
    <row r="45" spans="1:14">
      <c r="A45" s="83" t="s">
        <v>58</v>
      </c>
      <c r="B45" s="78" t="s">
        <v>29</v>
      </c>
      <c r="C45" s="78" t="s">
        <v>34</v>
      </c>
      <c r="D45" s="78" t="s">
        <v>403</v>
      </c>
      <c r="E45" s="78" t="s">
        <v>419</v>
      </c>
      <c r="F45" s="92">
        <v>503834</v>
      </c>
      <c r="G45" s="92">
        <v>486314</v>
      </c>
      <c r="H45" s="92">
        <v>17520</v>
      </c>
      <c r="I45" s="92">
        <v>3</v>
      </c>
      <c r="J45" s="78" t="s">
        <v>58</v>
      </c>
      <c r="K45" s="78" t="s">
        <v>29</v>
      </c>
      <c r="L45" s="78" t="s">
        <v>387</v>
      </c>
      <c r="M45" s="78"/>
      <c r="N45" s="108">
        <v>16384</v>
      </c>
    </row>
    <row r="46" spans="1:14">
      <c r="A46" s="83" t="s">
        <v>58</v>
      </c>
      <c r="B46" s="78" t="s">
        <v>29</v>
      </c>
      <c r="C46" s="78" t="s">
        <v>34</v>
      </c>
      <c r="D46" s="78" t="s">
        <v>385</v>
      </c>
      <c r="E46" s="78" t="s">
        <v>430</v>
      </c>
      <c r="F46" s="92">
        <v>471</v>
      </c>
      <c r="G46" s="92">
        <v>464</v>
      </c>
      <c r="H46" s="92">
        <v>7</v>
      </c>
      <c r="I46" s="92">
        <v>1</v>
      </c>
      <c r="J46" s="78" t="s">
        <v>58</v>
      </c>
      <c r="K46" s="78" t="s">
        <v>29</v>
      </c>
      <c r="L46" s="78" t="s">
        <v>382</v>
      </c>
      <c r="M46" s="78"/>
      <c r="N46" s="108">
        <v>512000</v>
      </c>
    </row>
    <row r="47" spans="1:14">
      <c r="A47" s="83" t="s">
        <v>58</v>
      </c>
      <c r="B47" s="78" t="s">
        <v>29</v>
      </c>
      <c r="C47" s="78" t="s">
        <v>34</v>
      </c>
      <c r="D47" s="78" t="s">
        <v>403</v>
      </c>
      <c r="E47" s="78" t="s">
        <v>426</v>
      </c>
      <c r="F47" s="92">
        <v>15994</v>
      </c>
      <c r="G47" s="92">
        <v>3798</v>
      </c>
      <c r="H47" s="92">
        <v>12196</v>
      </c>
      <c r="I47" s="92">
        <v>76</v>
      </c>
      <c r="J47" s="78"/>
      <c r="K47" s="78"/>
      <c r="L47" s="78"/>
      <c r="M47" s="78"/>
      <c r="N47" s="108"/>
    </row>
    <row r="48" spans="1:14">
      <c r="A48" s="83" t="s">
        <v>58</v>
      </c>
      <c r="B48" s="78" t="s">
        <v>29</v>
      </c>
      <c r="C48" s="78" t="s">
        <v>34</v>
      </c>
      <c r="D48" s="78" t="s">
        <v>385</v>
      </c>
      <c r="E48" s="78" t="s">
        <v>422</v>
      </c>
      <c r="F48" s="92">
        <v>4675</v>
      </c>
      <c r="G48" s="92">
        <v>1936</v>
      </c>
      <c r="H48" s="92">
        <v>2739</v>
      </c>
      <c r="I48" s="92">
        <v>58</v>
      </c>
      <c r="J48" s="78"/>
      <c r="K48" s="78"/>
      <c r="L48" s="78"/>
      <c r="M48" s="78"/>
      <c r="N48" s="108"/>
    </row>
    <row r="49" spans="1:14">
      <c r="A49" s="83" t="s">
        <v>58</v>
      </c>
      <c r="B49" s="78" t="s">
        <v>29</v>
      </c>
      <c r="C49" s="78" t="s">
        <v>34</v>
      </c>
      <c r="D49" s="78" t="s">
        <v>385</v>
      </c>
      <c r="E49" s="78" t="s">
        <v>414</v>
      </c>
      <c r="F49" s="92">
        <v>65535</v>
      </c>
      <c r="G49" s="92">
        <v>59184</v>
      </c>
      <c r="H49" s="92">
        <v>6351</v>
      </c>
      <c r="I49" s="92">
        <v>9</v>
      </c>
      <c r="J49" s="78"/>
      <c r="K49" s="78"/>
      <c r="L49" s="78"/>
      <c r="M49" s="78"/>
      <c r="N49" s="108"/>
    </row>
    <row r="50" spans="1:14">
      <c r="A50" s="87"/>
      <c r="B50" s="88"/>
      <c r="C50" s="88"/>
      <c r="D50" s="88"/>
      <c r="E50" s="88"/>
      <c r="F50" s="99">
        <v>619084</v>
      </c>
      <c r="G50" s="88"/>
      <c r="H50" s="88"/>
      <c r="I50" s="88"/>
      <c r="J50" s="76" t="s">
        <v>754</v>
      </c>
      <c r="K50" s="106">
        <v>31.42578125</v>
      </c>
      <c r="L50" s="90"/>
      <c r="M50" s="90"/>
      <c r="N50" s="99">
        <v>651264</v>
      </c>
    </row>
    <row r="51" spans="1:14">
      <c r="A51" s="84" t="s">
        <v>63</v>
      </c>
      <c r="B51" s="77" t="s">
        <v>29</v>
      </c>
      <c r="C51" s="77" t="s">
        <v>34</v>
      </c>
      <c r="D51" s="77" t="s">
        <v>385</v>
      </c>
      <c r="E51" s="77" t="s">
        <v>414</v>
      </c>
      <c r="F51" s="91">
        <v>65535</v>
      </c>
      <c r="G51" s="91">
        <v>10442</v>
      </c>
      <c r="H51" s="91">
        <v>55093</v>
      </c>
      <c r="I51" s="91">
        <v>84</v>
      </c>
      <c r="J51" s="77" t="s">
        <v>63</v>
      </c>
      <c r="K51" s="77" t="s">
        <v>29</v>
      </c>
      <c r="L51" s="77" t="s">
        <v>386</v>
      </c>
      <c r="M51" s="77" t="s">
        <v>385</v>
      </c>
      <c r="N51" s="107">
        <v>20480</v>
      </c>
    </row>
    <row r="52" spans="1:14">
      <c r="A52" s="83" t="s">
        <v>63</v>
      </c>
      <c r="B52" s="78" t="s">
        <v>29</v>
      </c>
      <c r="C52" s="78" t="s">
        <v>34</v>
      </c>
      <c r="D52" s="78" t="s">
        <v>385</v>
      </c>
      <c r="E52" s="78" t="s">
        <v>430</v>
      </c>
      <c r="F52" s="92">
        <v>471</v>
      </c>
      <c r="G52" s="92">
        <v>468</v>
      </c>
      <c r="H52" s="92">
        <v>3</v>
      </c>
      <c r="I52" s="92">
        <v>0</v>
      </c>
      <c r="J52" s="78" t="s">
        <v>63</v>
      </c>
      <c r="K52" s="78" t="s">
        <v>29</v>
      </c>
      <c r="L52" s="78" t="s">
        <v>384</v>
      </c>
      <c r="M52" s="78" t="s">
        <v>385</v>
      </c>
      <c r="N52" s="108">
        <v>102400</v>
      </c>
    </row>
    <row r="53" spans="1:14">
      <c r="A53" s="83" t="s">
        <v>63</v>
      </c>
      <c r="B53" s="78" t="s">
        <v>29</v>
      </c>
      <c r="C53" s="78" t="s">
        <v>34</v>
      </c>
      <c r="D53" s="78" t="s">
        <v>385</v>
      </c>
      <c r="E53" s="78" t="s">
        <v>422</v>
      </c>
      <c r="F53" s="92">
        <v>4675</v>
      </c>
      <c r="G53" s="92">
        <v>38</v>
      </c>
      <c r="H53" s="92">
        <v>4637</v>
      </c>
      <c r="I53" s="92">
        <v>99</v>
      </c>
      <c r="J53" s="78" t="s">
        <v>63</v>
      </c>
      <c r="K53" s="78" t="s">
        <v>29</v>
      </c>
      <c r="L53" s="78" t="s">
        <v>382</v>
      </c>
      <c r="M53" s="78"/>
      <c r="N53" s="108">
        <v>512000</v>
      </c>
    </row>
    <row r="54" spans="1:14">
      <c r="A54" s="83" t="s">
        <v>63</v>
      </c>
      <c r="B54" s="78" t="s">
        <v>29</v>
      </c>
      <c r="C54" s="78" t="s">
        <v>34</v>
      </c>
      <c r="D54" s="78" t="s">
        <v>403</v>
      </c>
      <c r="E54" s="78" t="s">
        <v>419</v>
      </c>
      <c r="F54" s="92">
        <v>503834</v>
      </c>
      <c r="G54" s="92">
        <v>410103</v>
      </c>
      <c r="H54" s="92">
        <v>93731</v>
      </c>
      <c r="I54" s="92">
        <v>18</v>
      </c>
      <c r="J54" s="78" t="s">
        <v>63</v>
      </c>
      <c r="K54" s="78" t="s">
        <v>29</v>
      </c>
      <c r="L54" s="78" t="s">
        <v>387</v>
      </c>
      <c r="M54" s="78"/>
      <c r="N54" s="108">
        <v>16384</v>
      </c>
    </row>
    <row r="55" spans="1:14">
      <c r="A55" s="83" t="s">
        <v>63</v>
      </c>
      <c r="B55" s="78" t="s">
        <v>29</v>
      </c>
      <c r="C55" s="78" t="s">
        <v>34</v>
      </c>
      <c r="D55" s="78" t="s">
        <v>403</v>
      </c>
      <c r="E55" s="78" t="s">
        <v>426</v>
      </c>
      <c r="F55" s="92">
        <v>15994</v>
      </c>
      <c r="G55" s="92">
        <v>14314</v>
      </c>
      <c r="H55" s="92">
        <v>1680</v>
      </c>
      <c r="I55" s="92">
        <v>10</v>
      </c>
      <c r="J55" s="78"/>
      <c r="K55" s="78"/>
      <c r="L55" s="78"/>
      <c r="M55" s="78"/>
      <c r="N55" s="108"/>
    </row>
    <row r="56" spans="1:14">
      <c r="A56" s="83" t="s">
        <v>63</v>
      </c>
      <c r="B56" s="78" t="s">
        <v>29</v>
      </c>
      <c r="C56" s="78" t="s">
        <v>34</v>
      </c>
      <c r="D56" s="78" t="s">
        <v>385</v>
      </c>
      <c r="E56" s="78" t="s">
        <v>420</v>
      </c>
      <c r="F56" s="92">
        <v>19093</v>
      </c>
      <c r="G56" s="92">
        <v>48</v>
      </c>
      <c r="H56" s="92">
        <v>19045</v>
      </c>
      <c r="I56" s="92">
        <v>99</v>
      </c>
      <c r="J56" s="78"/>
      <c r="K56" s="78"/>
      <c r="L56" s="78"/>
      <c r="M56" s="78"/>
      <c r="N56" s="108"/>
    </row>
    <row r="57" spans="1:14">
      <c r="A57" s="83" t="s">
        <v>63</v>
      </c>
      <c r="B57" s="78" t="s">
        <v>29</v>
      </c>
      <c r="C57" s="78" t="s">
        <v>34</v>
      </c>
      <c r="D57" s="78" t="s">
        <v>385</v>
      </c>
      <c r="E57" s="78" t="s">
        <v>421</v>
      </c>
      <c r="F57" s="92">
        <v>9482</v>
      </c>
      <c r="G57" s="92">
        <v>5134</v>
      </c>
      <c r="H57" s="92">
        <v>4348</v>
      </c>
      <c r="I57" s="92">
        <v>45</v>
      </c>
      <c r="J57" s="78"/>
      <c r="K57" s="78"/>
      <c r="L57" s="78"/>
      <c r="M57" s="78"/>
      <c r="N57" s="108"/>
    </row>
    <row r="58" spans="1:14">
      <c r="A58" s="87"/>
      <c r="B58" s="88"/>
      <c r="C58" s="88"/>
      <c r="D58" s="88"/>
      <c r="E58" s="88"/>
      <c r="F58" s="99">
        <v>619084</v>
      </c>
      <c r="G58" s="88"/>
      <c r="H58" s="88"/>
      <c r="I58" s="88"/>
      <c r="J58" s="76" t="s">
        <v>754</v>
      </c>
      <c r="K58" s="106">
        <v>31.42578125</v>
      </c>
      <c r="L58" s="90"/>
      <c r="M58" s="90"/>
      <c r="N58" s="99">
        <v>651264</v>
      </c>
    </row>
    <row r="59" spans="1:14">
      <c r="A59" s="84" t="s">
        <v>66</v>
      </c>
      <c r="B59" s="77" t="s">
        <v>29</v>
      </c>
      <c r="C59" s="77" t="s">
        <v>34</v>
      </c>
      <c r="D59" s="77" t="s">
        <v>403</v>
      </c>
      <c r="E59" s="77" t="s">
        <v>426</v>
      </c>
      <c r="F59" s="91">
        <v>15994</v>
      </c>
      <c r="G59" s="91">
        <v>2344</v>
      </c>
      <c r="H59" s="91">
        <v>13650</v>
      </c>
      <c r="I59" s="91">
        <v>85</v>
      </c>
      <c r="J59" s="77" t="s">
        <v>66</v>
      </c>
      <c r="K59" s="77" t="s">
        <v>29</v>
      </c>
      <c r="L59" s="77" t="s">
        <v>384</v>
      </c>
      <c r="M59" s="77" t="s">
        <v>385</v>
      </c>
      <c r="N59" s="107">
        <v>102400</v>
      </c>
    </row>
    <row r="60" spans="1:14">
      <c r="A60" s="83" t="s">
        <v>66</v>
      </c>
      <c r="B60" s="78" t="s">
        <v>29</v>
      </c>
      <c r="C60" s="78" t="s">
        <v>34</v>
      </c>
      <c r="D60" s="78" t="s">
        <v>403</v>
      </c>
      <c r="E60" s="78" t="s">
        <v>419</v>
      </c>
      <c r="F60" s="92">
        <v>503834</v>
      </c>
      <c r="G60" s="92">
        <v>503818</v>
      </c>
      <c r="H60" s="92">
        <v>16</v>
      </c>
      <c r="I60" s="92">
        <v>0</v>
      </c>
      <c r="J60" s="78" t="s">
        <v>66</v>
      </c>
      <c r="K60" s="78" t="s">
        <v>29</v>
      </c>
      <c r="L60" s="78" t="s">
        <v>386</v>
      </c>
      <c r="M60" s="78" t="s">
        <v>385</v>
      </c>
      <c r="N60" s="108">
        <v>20480</v>
      </c>
    </row>
    <row r="61" spans="1:14">
      <c r="A61" s="83" t="s">
        <v>66</v>
      </c>
      <c r="B61" s="78" t="s">
        <v>29</v>
      </c>
      <c r="C61" s="78" t="s">
        <v>34</v>
      </c>
      <c r="D61" s="78" t="s">
        <v>385</v>
      </c>
      <c r="E61" s="78" t="s">
        <v>414</v>
      </c>
      <c r="F61" s="92">
        <v>65535</v>
      </c>
      <c r="G61" s="92">
        <v>7916</v>
      </c>
      <c r="H61" s="92">
        <v>57619</v>
      </c>
      <c r="I61" s="92">
        <v>87</v>
      </c>
      <c r="J61" s="78" t="s">
        <v>66</v>
      </c>
      <c r="K61" s="78" t="s">
        <v>29</v>
      </c>
      <c r="L61" s="78" t="s">
        <v>382</v>
      </c>
      <c r="M61" s="78"/>
      <c r="N61" s="108">
        <v>512000</v>
      </c>
    </row>
    <row r="62" spans="1:14">
      <c r="A62" s="83" t="s">
        <v>66</v>
      </c>
      <c r="B62" s="78" t="s">
        <v>29</v>
      </c>
      <c r="C62" s="78" t="s">
        <v>34</v>
      </c>
      <c r="D62" s="78" t="s">
        <v>385</v>
      </c>
      <c r="E62" s="78" t="s">
        <v>422</v>
      </c>
      <c r="F62" s="92">
        <v>4675</v>
      </c>
      <c r="G62" s="92">
        <v>10</v>
      </c>
      <c r="H62" s="92">
        <v>4665</v>
      </c>
      <c r="I62" s="92">
        <v>99</v>
      </c>
      <c r="J62" s="78" t="s">
        <v>66</v>
      </c>
      <c r="K62" s="78" t="s">
        <v>29</v>
      </c>
      <c r="L62" s="78" t="s">
        <v>387</v>
      </c>
      <c r="M62" s="78"/>
      <c r="N62" s="108">
        <v>16384</v>
      </c>
    </row>
    <row r="63" spans="1:14">
      <c r="A63" s="83" t="s">
        <v>66</v>
      </c>
      <c r="B63" s="78" t="s">
        <v>29</v>
      </c>
      <c r="C63" s="78" t="s">
        <v>34</v>
      </c>
      <c r="D63" s="78" t="s">
        <v>385</v>
      </c>
      <c r="E63" s="78" t="s">
        <v>421</v>
      </c>
      <c r="F63" s="92">
        <v>9482</v>
      </c>
      <c r="G63" s="92">
        <v>8978</v>
      </c>
      <c r="H63" s="92">
        <v>504</v>
      </c>
      <c r="I63" s="92">
        <v>5</v>
      </c>
      <c r="J63" s="78"/>
      <c r="K63" s="78"/>
      <c r="L63" s="78"/>
      <c r="M63" s="78"/>
      <c r="N63" s="108"/>
    </row>
    <row r="64" spans="1:14">
      <c r="A64" s="83" t="s">
        <v>66</v>
      </c>
      <c r="B64" s="78" t="s">
        <v>29</v>
      </c>
      <c r="C64" s="78" t="s">
        <v>34</v>
      </c>
      <c r="D64" s="78" t="s">
        <v>385</v>
      </c>
      <c r="E64" s="78" t="s">
        <v>420</v>
      </c>
      <c r="F64" s="92">
        <v>19093</v>
      </c>
      <c r="G64" s="92">
        <v>11043</v>
      </c>
      <c r="H64" s="92">
        <v>8050</v>
      </c>
      <c r="I64" s="92">
        <v>42</v>
      </c>
      <c r="J64" s="78"/>
      <c r="K64" s="78"/>
      <c r="L64" s="78"/>
      <c r="M64" s="78"/>
      <c r="N64" s="108"/>
    </row>
    <row r="65" spans="1:14">
      <c r="A65" s="83" t="s">
        <v>66</v>
      </c>
      <c r="B65" s="78" t="s">
        <v>29</v>
      </c>
      <c r="C65" s="78" t="s">
        <v>34</v>
      </c>
      <c r="D65" s="78" t="s">
        <v>385</v>
      </c>
      <c r="E65" s="78" t="s">
        <v>430</v>
      </c>
      <c r="F65" s="92">
        <v>471</v>
      </c>
      <c r="G65" s="92">
        <v>464</v>
      </c>
      <c r="H65" s="92">
        <v>7</v>
      </c>
      <c r="I65" s="92">
        <v>1</v>
      </c>
      <c r="J65" s="78"/>
      <c r="K65" s="78"/>
      <c r="L65" s="78"/>
      <c r="M65" s="78"/>
      <c r="N65" s="108"/>
    </row>
    <row r="66" spans="1:14">
      <c r="A66" s="87"/>
      <c r="B66" s="88"/>
      <c r="C66" s="88"/>
      <c r="D66" s="88"/>
      <c r="E66" s="88"/>
      <c r="F66" s="99">
        <v>619084</v>
      </c>
      <c r="G66" s="88"/>
      <c r="H66" s="88"/>
      <c r="I66" s="88"/>
      <c r="J66" s="76" t="s">
        <v>754</v>
      </c>
      <c r="K66" s="106">
        <v>31.42578125</v>
      </c>
      <c r="L66" s="90"/>
      <c r="M66" s="90"/>
      <c r="N66" s="99">
        <v>651264</v>
      </c>
    </row>
    <row r="67" spans="1:14">
      <c r="A67" s="84" t="s">
        <v>69</v>
      </c>
      <c r="B67" s="114"/>
      <c r="C67" s="114"/>
      <c r="D67" s="114"/>
      <c r="E67" s="114" t="s">
        <v>414</v>
      </c>
      <c r="F67" s="114">
        <v>39936</v>
      </c>
      <c r="G67" s="114">
        <v>36864</v>
      </c>
      <c r="H67" s="114">
        <v>1638.4</v>
      </c>
      <c r="I67" s="114">
        <v>96</v>
      </c>
      <c r="J67" s="77" t="s">
        <v>69</v>
      </c>
      <c r="K67" s="77" t="s">
        <v>29</v>
      </c>
      <c r="L67" s="77" t="s">
        <v>384</v>
      </c>
      <c r="M67" s="77" t="s">
        <v>385</v>
      </c>
      <c r="N67" s="107">
        <v>102400</v>
      </c>
    </row>
    <row r="68" spans="1:14">
      <c r="A68" s="83" t="s">
        <v>69</v>
      </c>
      <c r="B68" s="2"/>
      <c r="C68" s="2"/>
      <c r="D68" s="2"/>
      <c r="E68" s="2" t="s">
        <v>419</v>
      </c>
      <c r="F68" s="2">
        <v>101376</v>
      </c>
      <c r="G68" s="2">
        <v>34816</v>
      </c>
      <c r="H68" s="2">
        <v>67584</v>
      </c>
      <c r="I68" s="2">
        <v>37</v>
      </c>
      <c r="J68" s="78" t="s">
        <v>69</v>
      </c>
      <c r="K68" s="78" t="s">
        <v>29</v>
      </c>
      <c r="L68" s="78" t="s">
        <v>386</v>
      </c>
      <c r="M68" s="78" t="s">
        <v>385</v>
      </c>
      <c r="N68" s="108">
        <v>40960</v>
      </c>
    </row>
    <row r="69" spans="1:14">
      <c r="A69" s="89"/>
      <c r="B69" s="88"/>
      <c r="C69" s="88"/>
      <c r="D69" s="88"/>
      <c r="E69" s="88"/>
      <c r="F69" s="98">
        <v>141312</v>
      </c>
      <c r="G69" s="88"/>
      <c r="H69" s="88"/>
      <c r="I69" s="88"/>
      <c r="J69" s="76" t="s">
        <v>754</v>
      </c>
      <c r="K69" s="106">
        <v>2</v>
      </c>
      <c r="L69" s="90"/>
      <c r="M69" s="90"/>
      <c r="N69" s="120">
        <v>143360</v>
      </c>
    </row>
    <row r="70" spans="1:14">
      <c r="A70" s="84" t="s">
        <v>74</v>
      </c>
      <c r="B70" s="77" t="s">
        <v>29</v>
      </c>
      <c r="C70" s="77" t="s">
        <v>34</v>
      </c>
      <c r="D70" s="77" t="s">
        <v>385</v>
      </c>
      <c r="E70" s="77" t="s">
        <v>420</v>
      </c>
      <c r="F70" s="91">
        <v>20030</v>
      </c>
      <c r="G70" s="91">
        <v>11031</v>
      </c>
      <c r="H70" s="91">
        <v>8999</v>
      </c>
      <c r="I70" s="91">
        <v>44</v>
      </c>
      <c r="J70" s="77" t="s">
        <v>74</v>
      </c>
      <c r="K70" s="77" t="s">
        <v>29</v>
      </c>
      <c r="L70" s="77" t="s">
        <v>387</v>
      </c>
      <c r="M70" s="77"/>
      <c r="N70" s="107">
        <v>20480</v>
      </c>
    </row>
    <row r="71" spans="1:14">
      <c r="A71" s="83" t="s">
        <v>74</v>
      </c>
      <c r="B71" s="78" t="s">
        <v>29</v>
      </c>
      <c r="C71" s="78" t="s">
        <v>34</v>
      </c>
      <c r="D71" s="78" t="s">
        <v>385</v>
      </c>
      <c r="E71" s="78" t="s">
        <v>421</v>
      </c>
      <c r="F71" s="92">
        <v>9259</v>
      </c>
      <c r="G71" s="92">
        <v>1408</v>
      </c>
      <c r="H71" s="92">
        <v>7851</v>
      </c>
      <c r="I71" s="92">
        <v>84</v>
      </c>
      <c r="J71" s="78" t="s">
        <v>74</v>
      </c>
      <c r="K71" s="78" t="s">
        <v>29</v>
      </c>
      <c r="L71" s="78" t="s">
        <v>382</v>
      </c>
      <c r="M71" s="78"/>
      <c r="N71" s="108">
        <v>102400</v>
      </c>
    </row>
    <row r="72" spans="1:14">
      <c r="A72" s="83" t="s">
        <v>74</v>
      </c>
      <c r="B72" s="78" t="s">
        <v>29</v>
      </c>
      <c r="C72" s="78" t="s">
        <v>34</v>
      </c>
      <c r="D72" s="78" t="s">
        <v>403</v>
      </c>
      <c r="E72" s="78" t="s">
        <v>419</v>
      </c>
      <c r="F72" s="92">
        <v>100657</v>
      </c>
      <c r="G72" s="92">
        <v>542</v>
      </c>
      <c r="H72" s="92">
        <v>100115</v>
      </c>
      <c r="I72" s="92">
        <v>99</v>
      </c>
      <c r="J72" s="78" t="s">
        <v>74</v>
      </c>
      <c r="K72" s="78" t="s">
        <v>29</v>
      </c>
      <c r="L72" s="78" t="s">
        <v>389</v>
      </c>
      <c r="M72" s="78"/>
      <c r="N72" s="108">
        <v>20480</v>
      </c>
    </row>
    <row r="73" spans="1:14">
      <c r="A73" s="83" t="s">
        <v>74</v>
      </c>
      <c r="B73" s="78" t="s">
        <v>29</v>
      </c>
      <c r="C73" s="78" t="s">
        <v>34</v>
      </c>
      <c r="D73" s="78" t="s">
        <v>385</v>
      </c>
      <c r="E73" s="78" t="s">
        <v>414</v>
      </c>
      <c r="F73" s="92">
        <v>28031</v>
      </c>
      <c r="G73" s="92">
        <v>2493</v>
      </c>
      <c r="H73" s="92">
        <v>25538</v>
      </c>
      <c r="I73" s="92">
        <v>91</v>
      </c>
      <c r="J73" s="78" t="s">
        <v>74</v>
      </c>
      <c r="K73" s="78" t="s">
        <v>29</v>
      </c>
      <c r="L73" s="78" t="s">
        <v>384</v>
      </c>
      <c r="M73" s="78" t="s">
        <v>385</v>
      </c>
      <c r="N73" s="108">
        <v>15360</v>
      </c>
    </row>
    <row r="74" spans="1:14">
      <c r="A74" s="83" t="s">
        <v>74</v>
      </c>
      <c r="B74" s="78" t="s">
        <v>29</v>
      </c>
      <c r="C74" s="78" t="s">
        <v>34</v>
      </c>
      <c r="D74" s="78" t="s">
        <v>385</v>
      </c>
      <c r="E74" s="78" t="s">
        <v>422</v>
      </c>
      <c r="F74" s="92">
        <v>4911</v>
      </c>
      <c r="G74" s="92">
        <v>10</v>
      </c>
      <c r="H74" s="92">
        <v>4901</v>
      </c>
      <c r="I74" s="92">
        <v>99</v>
      </c>
      <c r="J74" s="78" t="s">
        <v>74</v>
      </c>
      <c r="K74" s="78" t="s">
        <v>29</v>
      </c>
      <c r="L74" s="78" t="s">
        <v>386</v>
      </c>
      <c r="M74" s="78" t="s">
        <v>385</v>
      </c>
      <c r="N74" s="108">
        <v>61440</v>
      </c>
    </row>
    <row r="75" spans="1:14">
      <c r="A75" s="83" t="s">
        <v>74</v>
      </c>
      <c r="B75" s="78" t="s">
        <v>29</v>
      </c>
      <c r="C75" s="78" t="s">
        <v>34</v>
      </c>
      <c r="D75" s="78" t="s">
        <v>385</v>
      </c>
      <c r="E75" s="78" t="s">
        <v>423</v>
      </c>
      <c r="F75" s="92">
        <v>9950</v>
      </c>
      <c r="G75" s="92">
        <v>521</v>
      </c>
      <c r="H75" s="92">
        <v>9429</v>
      </c>
      <c r="I75" s="92">
        <v>94</v>
      </c>
      <c r="J75" s="78"/>
      <c r="K75" s="78"/>
      <c r="L75" s="78"/>
      <c r="M75" s="78"/>
      <c r="N75" s="108"/>
    </row>
    <row r="76" spans="1:14">
      <c r="A76" s="85"/>
      <c r="B76" s="86"/>
      <c r="C76" s="86"/>
      <c r="D76" s="86"/>
      <c r="E76" s="86"/>
      <c r="F76" s="117">
        <v>172838</v>
      </c>
      <c r="G76" s="86"/>
      <c r="H76" s="86"/>
      <c r="I76" s="86"/>
      <c r="J76" s="102" t="s">
        <v>754</v>
      </c>
      <c r="K76" s="103">
        <v>46.212890625</v>
      </c>
      <c r="L76" s="80"/>
      <c r="M76" s="80"/>
      <c r="N76" s="121">
        <v>220160</v>
      </c>
    </row>
    <row r="77" spans="1:14">
      <c r="A77" s="115"/>
      <c r="B77" s="116"/>
      <c r="C77" s="116"/>
      <c r="D77" s="116"/>
      <c r="E77" s="116"/>
      <c r="F77" s="116"/>
      <c r="G77" s="116"/>
      <c r="H77" s="116"/>
      <c r="I77" s="116"/>
      <c r="J77" s="118" t="s">
        <v>77</v>
      </c>
      <c r="K77" s="118" t="s">
        <v>29</v>
      </c>
      <c r="L77" s="118" t="s">
        <v>386</v>
      </c>
      <c r="M77" s="118" t="s">
        <v>385</v>
      </c>
      <c r="N77" s="122">
        <v>40960</v>
      </c>
    </row>
    <row r="78" spans="1:14">
      <c r="A78" s="84" t="s">
        <v>79</v>
      </c>
      <c r="B78" s="77" t="s">
        <v>29</v>
      </c>
      <c r="C78" s="77" t="s">
        <v>34</v>
      </c>
      <c r="D78" s="77" t="s">
        <v>403</v>
      </c>
      <c r="E78" s="77" t="s">
        <v>426</v>
      </c>
      <c r="F78" s="91">
        <v>9951</v>
      </c>
      <c r="G78" s="91">
        <v>3710</v>
      </c>
      <c r="H78" s="91">
        <v>6241</v>
      </c>
      <c r="I78" s="91">
        <v>62</v>
      </c>
      <c r="J78" s="77" t="s">
        <v>79</v>
      </c>
      <c r="K78" s="77" t="s">
        <v>29</v>
      </c>
      <c r="L78" s="77" t="s">
        <v>384</v>
      </c>
      <c r="M78" s="77" t="s">
        <v>385</v>
      </c>
      <c r="N78" s="107">
        <v>5120</v>
      </c>
    </row>
    <row r="79" spans="1:14">
      <c r="A79" s="83" t="s">
        <v>79</v>
      </c>
      <c r="B79" s="78" t="s">
        <v>29</v>
      </c>
      <c r="C79" s="78" t="s">
        <v>34</v>
      </c>
      <c r="D79" s="78" t="s">
        <v>385</v>
      </c>
      <c r="E79" s="78" t="s">
        <v>422</v>
      </c>
      <c r="F79" s="92">
        <v>4911</v>
      </c>
      <c r="G79" s="92">
        <v>10</v>
      </c>
      <c r="H79" s="92">
        <v>4901</v>
      </c>
      <c r="I79" s="92">
        <v>99</v>
      </c>
      <c r="J79" s="78" t="s">
        <v>79</v>
      </c>
      <c r="K79" s="78" t="s">
        <v>29</v>
      </c>
      <c r="L79" s="78" t="s">
        <v>387</v>
      </c>
      <c r="M79" s="78"/>
      <c r="N79" s="108">
        <v>10240</v>
      </c>
    </row>
    <row r="80" spans="1:14">
      <c r="A80" s="83" t="s">
        <v>79</v>
      </c>
      <c r="B80" s="78" t="s">
        <v>29</v>
      </c>
      <c r="C80" s="78" t="s">
        <v>34</v>
      </c>
      <c r="D80" s="78" t="s">
        <v>385</v>
      </c>
      <c r="E80" s="78" t="s">
        <v>414</v>
      </c>
      <c r="F80" s="92">
        <v>28031</v>
      </c>
      <c r="G80" s="92">
        <v>7933</v>
      </c>
      <c r="H80" s="92">
        <v>20098</v>
      </c>
      <c r="I80" s="92">
        <v>71</v>
      </c>
      <c r="J80" s="78" t="s">
        <v>79</v>
      </c>
      <c r="K80" s="78" t="s">
        <v>29</v>
      </c>
      <c r="L80" s="78" t="s">
        <v>389</v>
      </c>
      <c r="M80" s="78"/>
      <c r="N80" s="108">
        <v>10240</v>
      </c>
    </row>
    <row r="81" spans="1:14">
      <c r="A81" s="83" t="s">
        <v>79</v>
      </c>
      <c r="B81" s="78" t="s">
        <v>29</v>
      </c>
      <c r="C81" s="78" t="s">
        <v>34</v>
      </c>
      <c r="D81" s="78" t="s">
        <v>385</v>
      </c>
      <c r="E81" s="78" t="s">
        <v>421</v>
      </c>
      <c r="F81" s="92">
        <v>9259</v>
      </c>
      <c r="G81" s="92">
        <v>2279</v>
      </c>
      <c r="H81" s="92">
        <v>6980</v>
      </c>
      <c r="I81" s="92">
        <v>75</v>
      </c>
      <c r="J81" s="78" t="s">
        <v>79</v>
      </c>
      <c r="K81" s="78" t="s">
        <v>29</v>
      </c>
      <c r="L81" s="78" t="s">
        <v>386</v>
      </c>
      <c r="M81" s="78" t="s">
        <v>385</v>
      </c>
      <c r="N81" s="108">
        <v>61440</v>
      </c>
    </row>
    <row r="82" spans="1:14">
      <c r="A82" s="83" t="s">
        <v>79</v>
      </c>
      <c r="B82" s="78" t="s">
        <v>29</v>
      </c>
      <c r="C82" s="78" t="s">
        <v>34</v>
      </c>
      <c r="D82" s="78" t="s">
        <v>385</v>
      </c>
      <c r="E82" s="78" t="s">
        <v>420</v>
      </c>
      <c r="F82" s="92">
        <v>18644</v>
      </c>
      <c r="G82" s="92">
        <v>3887</v>
      </c>
      <c r="H82" s="92">
        <v>14757</v>
      </c>
      <c r="I82" s="92">
        <v>79</v>
      </c>
      <c r="J82" s="78" t="s">
        <v>79</v>
      </c>
      <c r="K82" s="78" t="s">
        <v>29</v>
      </c>
      <c r="L82" s="78" t="s">
        <v>382</v>
      </c>
      <c r="M82" s="78"/>
      <c r="N82" s="108">
        <v>256000</v>
      </c>
    </row>
    <row r="83" spans="1:14">
      <c r="A83" s="83" t="s">
        <v>79</v>
      </c>
      <c r="B83" s="78" t="s">
        <v>29</v>
      </c>
      <c r="C83" s="78" t="s">
        <v>34</v>
      </c>
      <c r="D83" s="78" t="s">
        <v>403</v>
      </c>
      <c r="E83" s="78" t="s">
        <v>419</v>
      </c>
      <c r="F83" s="92">
        <v>251851</v>
      </c>
      <c r="G83" s="92">
        <v>87062</v>
      </c>
      <c r="H83" s="92">
        <v>164789</v>
      </c>
      <c r="I83" s="92">
        <v>65</v>
      </c>
      <c r="J83" s="78"/>
      <c r="K83" s="78"/>
      <c r="L83" s="78"/>
      <c r="M83" s="78"/>
      <c r="N83" s="108"/>
    </row>
    <row r="84" spans="1:14">
      <c r="A84" s="83" t="s">
        <v>79</v>
      </c>
      <c r="B84" s="78" t="s">
        <v>29</v>
      </c>
      <c r="C84" s="78" t="s">
        <v>34</v>
      </c>
      <c r="D84" s="78" t="s">
        <v>385</v>
      </c>
      <c r="E84" s="78" t="s">
        <v>423</v>
      </c>
      <c r="F84" s="92">
        <v>9951</v>
      </c>
      <c r="G84" s="92">
        <v>5472</v>
      </c>
      <c r="H84" s="92">
        <v>4479</v>
      </c>
      <c r="I84" s="92">
        <v>45</v>
      </c>
      <c r="J84" s="78"/>
      <c r="K84" s="78"/>
      <c r="L84" s="78"/>
      <c r="M84" s="78"/>
      <c r="N84" s="108"/>
    </row>
    <row r="85" spans="1:14">
      <c r="A85" s="87"/>
      <c r="B85" s="88"/>
      <c r="C85" s="88"/>
      <c r="D85" s="88"/>
      <c r="E85" s="88"/>
      <c r="F85" s="98">
        <v>332598</v>
      </c>
      <c r="G85" s="88"/>
      <c r="H85" s="88"/>
      <c r="I85" s="88"/>
      <c r="J85" s="76" t="s">
        <v>754</v>
      </c>
      <c r="K85" s="106">
        <v>10.197265625</v>
      </c>
      <c r="L85" s="90"/>
      <c r="M85" s="90"/>
      <c r="N85" s="120">
        <v>343040</v>
      </c>
    </row>
    <row r="86" spans="1:14">
      <c r="A86" s="84" t="s">
        <v>82</v>
      </c>
      <c r="B86" s="77" t="s">
        <v>29</v>
      </c>
      <c r="C86" s="77" t="s">
        <v>34</v>
      </c>
      <c r="D86" s="77" t="s">
        <v>403</v>
      </c>
      <c r="E86" s="77" t="s">
        <v>426</v>
      </c>
      <c r="F86" s="91">
        <v>9951</v>
      </c>
      <c r="G86" s="91">
        <v>5531</v>
      </c>
      <c r="H86" s="91">
        <v>4420</v>
      </c>
      <c r="I86" s="91">
        <v>44</v>
      </c>
      <c r="J86" s="77" t="s">
        <v>82</v>
      </c>
      <c r="K86" s="77" t="s">
        <v>29</v>
      </c>
      <c r="L86" s="77" t="s">
        <v>384</v>
      </c>
      <c r="M86" s="77" t="s">
        <v>385</v>
      </c>
      <c r="N86" s="107">
        <v>5120</v>
      </c>
    </row>
    <row r="87" spans="1:14">
      <c r="A87" s="83" t="s">
        <v>82</v>
      </c>
      <c r="B87" s="78" t="s">
        <v>29</v>
      </c>
      <c r="C87" s="78" t="s">
        <v>34</v>
      </c>
      <c r="D87" s="78" t="s">
        <v>385</v>
      </c>
      <c r="E87" s="78" t="s">
        <v>420</v>
      </c>
      <c r="F87" s="92">
        <v>18644</v>
      </c>
      <c r="G87" s="92">
        <v>3728</v>
      </c>
      <c r="H87" s="92">
        <v>14916</v>
      </c>
      <c r="I87" s="92">
        <v>80</v>
      </c>
      <c r="J87" s="78" t="s">
        <v>82</v>
      </c>
      <c r="K87" s="78" t="s">
        <v>29</v>
      </c>
      <c r="L87" s="78" t="s">
        <v>382</v>
      </c>
      <c r="M87" s="78"/>
      <c r="N87" s="108">
        <v>256000</v>
      </c>
    </row>
    <row r="88" spans="1:14">
      <c r="A88" s="83" t="s">
        <v>82</v>
      </c>
      <c r="B88" s="78" t="s">
        <v>29</v>
      </c>
      <c r="C88" s="78" t="s">
        <v>34</v>
      </c>
      <c r="D88" s="78" t="s">
        <v>385</v>
      </c>
      <c r="E88" s="78" t="s">
        <v>423</v>
      </c>
      <c r="F88" s="92">
        <v>9951</v>
      </c>
      <c r="G88" s="92">
        <v>7009</v>
      </c>
      <c r="H88" s="92">
        <v>2942</v>
      </c>
      <c r="I88" s="92">
        <v>29</v>
      </c>
      <c r="J88" s="78" t="s">
        <v>82</v>
      </c>
      <c r="K88" s="78" t="s">
        <v>29</v>
      </c>
      <c r="L88" s="78" t="s">
        <v>389</v>
      </c>
      <c r="M88" s="78"/>
      <c r="N88" s="108">
        <v>10240</v>
      </c>
    </row>
    <row r="89" spans="1:14">
      <c r="A89" s="83" t="s">
        <v>82</v>
      </c>
      <c r="B89" s="78" t="s">
        <v>29</v>
      </c>
      <c r="C89" s="78" t="s">
        <v>34</v>
      </c>
      <c r="D89" s="78" t="s">
        <v>403</v>
      </c>
      <c r="E89" s="78" t="s">
        <v>419</v>
      </c>
      <c r="F89" s="92">
        <v>251851</v>
      </c>
      <c r="G89" s="92">
        <v>110754</v>
      </c>
      <c r="H89" s="92">
        <v>141097</v>
      </c>
      <c r="I89" s="92">
        <v>56</v>
      </c>
      <c r="J89" s="78" t="s">
        <v>82</v>
      </c>
      <c r="K89" s="78" t="s">
        <v>29</v>
      </c>
      <c r="L89" s="78" t="s">
        <v>386</v>
      </c>
      <c r="M89" s="78" t="s">
        <v>385</v>
      </c>
      <c r="N89" s="108">
        <v>61440</v>
      </c>
    </row>
    <row r="90" spans="1:14">
      <c r="A90" s="83" t="s">
        <v>82</v>
      </c>
      <c r="B90" s="78" t="s">
        <v>29</v>
      </c>
      <c r="C90" s="78" t="s">
        <v>34</v>
      </c>
      <c r="D90" s="78" t="s">
        <v>385</v>
      </c>
      <c r="E90" s="78" t="s">
        <v>421</v>
      </c>
      <c r="F90" s="92">
        <v>9259</v>
      </c>
      <c r="G90" s="92">
        <v>4682</v>
      </c>
      <c r="H90" s="92">
        <v>4577</v>
      </c>
      <c r="I90" s="92">
        <v>49</v>
      </c>
      <c r="J90" s="78" t="s">
        <v>82</v>
      </c>
      <c r="K90" s="78" t="s">
        <v>29</v>
      </c>
      <c r="L90" s="78" t="s">
        <v>387</v>
      </c>
      <c r="M90" s="78"/>
      <c r="N90" s="108">
        <v>10240</v>
      </c>
    </row>
    <row r="91" spans="1:14">
      <c r="A91" s="83" t="s">
        <v>82</v>
      </c>
      <c r="B91" s="78" t="s">
        <v>29</v>
      </c>
      <c r="C91" s="78" t="s">
        <v>34</v>
      </c>
      <c r="D91" s="78" t="s">
        <v>385</v>
      </c>
      <c r="E91" s="78" t="s">
        <v>422</v>
      </c>
      <c r="F91" s="92">
        <v>4911</v>
      </c>
      <c r="G91" s="92">
        <v>26</v>
      </c>
      <c r="H91" s="92">
        <v>4885</v>
      </c>
      <c r="I91" s="92">
        <v>99</v>
      </c>
      <c r="J91" s="78"/>
      <c r="K91" s="78"/>
      <c r="L91" s="78"/>
      <c r="M91" s="78"/>
      <c r="N91" s="108"/>
    </row>
    <row r="92" spans="1:14">
      <c r="A92" s="83" t="s">
        <v>82</v>
      </c>
      <c r="B92" s="78" t="s">
        <v>29</v>
      </c>
      <c r="C92" s="78" t="s">
        <v>34</v>
      </c>
      <c r="D92" s="78" t="s">
        <v>385</v>
      </c>
      <c r="E92" s="78" t="s">
        <v>414</v>
      </c>
      <c r="F92" s="92">
        <v>28031</v>
      </c>
      <c r="G92" s="92">
        <v>16623</v>
      </c>
      <c r="H92" s="92">
        <v>11408</v>
      </c>
      <c r="I92" s="92">
        <v>40</v>
      </c>
      <c r="J92" s="78"/>
      <c r="K92" s="78"/>
      <c r="L92" s="78"/>
      <c r="M92" s="78"/>
      <c r="N92" s="108"/>
    </row>
    <row r="93" spans="1:14">
      <c r="A93" s="85"/>
      <c r="B93" s="86"/>
      <c r="C93" s="86"/>
      <c r="D93" s="86"/>
      <c r="E93" s="86"/>
      <c r="F93" s="117">
        <v>332598</v>
      </c>
      <c r="G93" s="86"/>
      <c r="H93" s="86"/>
      <c r="I93" s="86"/>
      <c r="J93" s="102" t="s">
        <v>754</v>
      </c>
      <c r="K93" s="103">
        <v>10.197265625</v>
      </c>
      <c r="L93" s="80"/>
      <c r="M93" s="80"/>
      <c r="N93" s="121">
        <v>343040</v>
      </c>
    </row>
    <row r="94" spans="1:14">
      <c r="A94" s="82" t="s">
        <v>85</v>
      </c>
      <c r="B94" s="82" t="s">
        <v>29</v>
      </c>
      <c r="C94" s="82" t="s">
        <v>34</v>
      </c>
      <c r="D94" s="82" t="s">
        <v>385</v>
      </c>
      <c r="E94" s="82" t="s">
        <v>414</v>
      </c>
      <c r="F94" s="95">
        <v>65535</v>
      </c>
      <c r="G94" s="95">
        <v>2521</v>
      </c>
      <c r="H94" s="95">
        <v>63014</v>
      </c>
      <c r="I94" s="95">
        <v>96</v>
      </c>
      <c r="J94" s="82" t="s">
        <v>85</v>
      </c>
      <c r="K94" s="82" t="s">
        <v>29</v>
      </c>
      <c r="L94" s="82" t="s">
        <v>386</v>
      </c>
      <c r="M94" s="82" t="s">
        <v>385</v>
      </c>
      <c r="N94" s="95">
        <v>102400</v>
      </c>
    </row>
    <row r="95" spans="1:14">
      <c r="A95" s="78" t="s">
        <v>85</v>
      </c>
      <c r="B95" s="78" t="s">
        <v>29</v>
      </c>
      <c r="C95" s="78" t="s">
        <v>34</v>
      </c>
      <c r="D95" s="78" t="s">
        <v>385</v>
      </c>
      <c r="E95" s="78" t="s">
        <v>421</v>
      </c>
      <c r="F95" s="92">
        <v>9482</v>
      </c>
      <c r="G95" s="92">
        <v>1372</v>
      </c>
      <c r="H95" s="92">
        <v>8110</v>
      </c>
      <c r="I95" s="92">
        <v>85</v>
      </c>
      <c r="J95" s="78" t="s">
        <v>85</v>
      </c>
      <c r="K95" s="78" t="s">
        <v>29</v>
      </c>
      <c r="L95" s="78" t="s">
        <v>384</v>
      </c>
      <c r="M95" s="78" t="s">
        <v>385</v>
      </c>
      <c r="N95" s="92">
        <v>20480</v>
      </c>
    </row>
    <row r="96" spans="1:14">
      <c r="A96" s="78" t="s">
        <v>85</v>
      </c>
      <c r="B96" s="78" t="s">
        <v>29</v>
      </c>
      <c r="C96" s="78" t="s">
        <v>34</v>
      </c>
      <c r="D96" s="78" t="s">
        <v>385</v>
      </c>
      <c r="E96" s="78" t="s">
        <v>422</v>
      </c>
      <c r="F96" s="92">
        <v>4675</v>
      </c>
      <c r="G96" s="92">
        <v>10</v>
      </c>
      <c r="H96" s="92">
        <v>4665</v>
      </c>
      <c r="I96" s="92">
        <v>99</v>
      </c>
      <c r="J96" s="78" t="s">
        <v>85</v>
      </c>
      <c r="K96" s="78" t="s">
        <v>29</v>
      </c>
      <c r="L96" s="78" t="s">
        <v>387</v>
      </c>
      <c r="M96" s="78"/>
      <c r="N96" s="92">
        <v>16384</v>
      </c>
    </row>
    <row r="97" spans="1:14">
      <c r="A97" s="78" t="s">
        <v>85</v>
      </c>
      <c r="B97" s="78" t="s">
        <v>29</v>
      </c>
      <c r="C97" s="78" t="s">
        <v>34</v>
      </c>
      <c r="D97" s="78" t="s">
        <v>385</v>
      </c>
      <c r="E97" s="78" t="s">
        <v>420</v>
      </c>
      <c r="F97" s="92">
        <v>19093</v>
      </c>
      <c r="G97" s="92">
        <v>288</v>
      </c>
      <c r="H97" s="92">
        <v>18805</v>
      </c>
      <c r="I97" s="92">
        <v>98</v>
      </c>
      <c r="J97" s="78" t="s">
        <v>85</v>
      </c>
      <c r="K97" s="78" t="s">
        <v>29</v>
      </c>
      <c r="L97" s="78" t="s">
        <v>382</v>
      </c>
      <c r="M97" s="78"/>
      <c r="N97" s="92">
        <v>102400</v>
      </c>
    </row>
    <row r="98" spans="1:14">
      <c r="A98" s="78" t="s">
        <v>85</v>
      </c>
      <c r="B98" s="78" t="s">
        <v>29</v>
      </c>
      <c r="C98" s="78" t="s">
        <v>34</v>
      </c>
      <c r="D98" s="78" t="s">
        <v>385</v>
      </c>
      <c r="E98" s="78" t="s">
        <v>430</v>
      </c>
      <c r="F98" s="92">
        <v>471</v>
      </c>
      <c r="G98" s="92">
        <v>105</v>
      </c>
      <c r="H98" s="92">
        <v>366</v>
      </c>
      <c r="I98" s="92">
        <v>77</v>
      </c>
      <c r="J98" s="78"/>
      <c r="K98" s="78"/>
      <c r="L98" s="78"/>
      <c r="M98" s="78"/>
      <c r="N98" s="92"/>
    </row>
    <row r="99" spans="1:14">
      <c r="A99" s="88"/>
      <c r="B99" s="88"/>
      <c r="C99" s="88"/>
      <c r="D99" s="88"/>
      <c r="E99" s="88"/>
      <c r="F99" s="98">
        <v>99256</v>
      </c>
      <c r="G99" s="88"/>
      <c r="H99" s="88"/>
      <c r="I99" s="88"/>
      <c r="J99" s="76" t="s">
        <v>754</v>
      </c>
      <c r="K99" s="119">
        <v>139.0703125</v>
      </c>
      <c r="L99" s="90"/>
      <c r="M99" s="90"/>
      <c r="N99" s="120">
        <v>241664</v>
      </c>
    </row>
    <row r="100" spans="1:14">
      <c r="A100" s="84" t="s">
        <v>88</v>
      </c>
      <c r="B100" s="77" t="s">
        <v>29</v>
      </c>
      <c r="C100" s="77" t="s">
        <v>34</v>
      </c>
      <c r="D100" s="77" t="s">
        <v>385</v>
      </c>
      <c r="E100" s="77" t="s">
        <v>430</v>
      </c>
      <c r="F100" s="91">
        <v>471</v>
      </c>
      <c r="G100" s="91">
        <v>104</v>
      </c>
      <c r="H100" s="91">
        <v>367</v>
      </c>
      <c r="I100" s="91">
        <v>77</v>
      </c>
      <c r="J100" s="77" t="s">
        <v>88</v>
      </c>
      <c r="K100" s="77" t="s">
        <v>29</v>
      </c>
      <c r="L100" s="77" t="s">
        <v>382</v>
      </c>
      <c r="M100" s="77"/>
      <c r="N100" s="107">
        <v>102400</v>
      </c>
    </row>
    <row r="101" spans="1:14">
      <c r="A101" s="83" t="s">
        <v>88</v>
      </c>
      <c r="B101" s="78" t="s">
        <v>29</v>
      </c>
      <c r="C101" s="78" t="s">
        <v>34</v>
      </c>
      <c r="D101" s="78" t="s">
        <v>385</v>
      </c>
      <c r="E101" s="78" t="s">
        <v>421</v>
      </c>
      <c r="F101" s="92">
        <v>9482</v>
      </c>
      <c r="G101" s="92">
        <v>344</v>
      </c>
      <c r="H101" s="92">
        <v>9138</v>
      </c>
      <c r="I101" s="92">
        <v>96</v>
      </c>
      <c r="J101" s="78" t="s">
        <v>88</v>
      </c>
      <c r="K101" s="78" t="s">
        <v>29</v>
      </c>
      <c r="L101" s="78" t="s">
        <v>387</v>
      </c>
      <c r="M101" s="78"/>
      <c r="N101" s="108">
        <v>16384</v>
      </c>
    </row>
    <row r="102" spans="1:14">
      <c r="A102" s="83" t="s">
        <v>88</v>
      </c>
      <c r="B102" s="78" t="s">
        <v>29</v>
      </c>
      <c r="C102" s="78" t="s">
        <v>34</v>
      </c>
      <c r="D102" s="78" t="s">
        <v>385</v>
      </c>
      <c r="E102" s="78" t="s">
        <v>422</v>
      </c>
      <c r="F102" s="92">
        <v>4675</v>
      </c>
      <c r="G102" s="92">
        <v>10</v>
      </c>
      <c r="H102" s="92">
        <v>4665</v>
      </c>
      <c r="I102" s="92">
        <v>99</v>
      </c>
      <c r="J102" s="78" t="s">
        <v>88</v>
      </c>
      <c r="K102" s="78" t="s">
        <v>29</v>
      </c>
      <c r="L102" s="78" t="s">
        <v>386</v>
      </c>
      <c r="M102" s="78" t="s">
        <v>385</v>
      </c>
      <c r="N102" s="108">
        <v>102400</v>
      </c>
    </row>
    <row r="103" spans="1:14">
      <c r="A103" s="83" t="s">
        <v>88</v>
      </c>
      <c r="B103" s="78" t="s">
        <v>29</v>
      </c>
      <c r="C103" s="78" t="s">
        <v>34</v>
      </c>
      <c r="D103" s="78" t="s">
        <v>385</v>
      </c>
      <c r="E103" s="78" t="s">
        <v>420</v>
      </c>
      <c r="F103" s="92">
        <v>19093</v>
      </c>
      <c r="G103" s="92">
        <v>244</v>
      </c>
      <c r="H103" s="92">
        <v>18849</v>
      </c>
      <c r="I103" s="92">
        <v>98</v>
      </c>
      <c r="J103" s="78" t="s">
        <v>88</v>
      </c>
      <c r="K103" s="78" t="s">
        <v>29</v>
      </c>
      <c r="L103" s="78" t="s">
        <v>384</v>
      </c>
      <c r="M103" s="78" t="s">
        <v>385</v>
      </c>
      <c r="N103" s="108">
        <v>20480</v>
      </c>
    </row>
    <row r="104" spans="1:14">
      <c r="A104" s="83" t="s">
        <v>88</v>
      </c>
      <c r="B104" s="78" t="s">
        <v>29</v>
      </c>
      <c r="C104" s="78" t="s">
        <v>34</v>
      </c>
      <c r="D104" s="78" t="s">
        <v>385</v>
      </c>
      <c r="E104" s="78" t="s">
        <v>414</v>
      </c>
      <c r="F104" s="92">
        <v>65535</v>
      </c>
      <c r="G104" s="92">
        <v>2064</v>
      </c>
      <c r="H104" s="92">
        <v>63471</v>
      </c>
      <c r="I104" s="92">
        <v>96</v>
      </c>
      <c r="J104" s="78"/>
      <c r="K104" s="78"/>
      <c r="L104" s="78"/>
      <c r="M104" s="78"/>
      <c r="N104" s="108"/>
    </row>
    <row r="105" spans="1:14">
      <c r="A105" s="87"/>
      <c r="B105" s="88"/>
      <c r="C105" s="88"/>
      <c r="D105" s="88"/>
      <c r="E105" s="88"/>
      <c r="F105" s="98">
        <v>99256</v>
      </c>
      <c r="G105" s="88"/>
      <c r="H105" s="88"/>
      <c r="I105" s="88"/>
      <c r="J105" s="76" t="s">
        <v>754</v>
      </c>
      <c r="K105" s="119">
        <v>139.0703125</v>
      </c>
      <c r="L105" s="90"/>
      <c r="M105" s="90"/>
      <c r="N105" s="120">
        <v>241664</v>
      </c>
    </row>
    <row r="106" spans="1:14">
      <c r="A106" s="84" t="s">
        <v>92</v>
      </c>
      <c r="B106" s="77" t="s">
        <v>29</v>
      </c>
      <c r="C106" s="77" t="s">
        <v>34</v>
      </c>
      <c r="D106" s="77" t="s">
        <v>385</v>
      </c>
      <c r="E106" s="77" t="s">
        <v>414</v>
      </c>
      <c r="F106" s="91">
        <v>28031</v>
      </c>
      <c r="G106" s="91">
        <v>2148</v>
      </c>
      <c r="H106" s="91">
        <v>25883</v>
      </c>
      <c r="I106" s="91">
        <v>92</v>
      </c>
      <c r="J106" s="77" t="s">
        <v>92</v>
      </c>
      <c r="K106" s="77" t="s">
        <v>29</v>
      </c>
      <c r="L106" s="77" t="s">
        <v>386</v>
      </c>
      <c r="M106" s="77" t="s">
        <v>385</v>
      </c>
      <c r="N106" s="107">
        <v>61440</v>
      </c>
    </row>
    <row r="107" spans="1:14">
      <c r="A107" s="83" t="s">
        <v>92</v>
      </c>
      <c r="B107" s="78" t="s">
        <v>29</v>
      </c>
      <c r="C107" s="78" t="s">
        <v>34</v>
      </c>
      <c r="D107" s="78" t="s">
        <v>385</v>
      </c>
      <c r="E107" s="78" t="s">
        <v>422</v>
      </c>
      <c r="F107" s="92">
        <v>4911</v>
      </c>
      <c r="G107" s="92">
        <v>10</v>
      </c>
      <c r="H107" s="92">
        <v>4901</v>
      </c>
      <c r="I107" s="92">
        <v>99</v>
      </c>
      <c r="J107" s="78" t="s">
        <v>92</v>
      </c>
      <c r="K107" s="78" t="s">
        <v>29</v>
      </c>
      <c r="L107" s="78" t="s">
        <v>384</v>
      </c>
      <c r="M107" s="78" t="s">
        <v>385</v>
      </c>
      <c r="N107" s="108">
        <v>15360</v>
      </c>
    </row>
    <row r="108" spans="1:14">
      <c r="A108" s="83" t="s">
        <v>92</v>
      </c>
      <c r="B108" s="78" t="s">
        <v>29</v>
      </c>
      <c r="C108" s="78" t="s">
        <v>34</v>
      </c>
      <c r="D108" s="78" t="s">
        <v>385</v>
      </c>
      <c r="E108" s="78" t="s">
        <v>423</v>
      </c>
      <c r="F108" s="92">
        <v>9950</v>
      </c>
      <c r="G108" s="92">
        <v>40</v>
      </c>
      <c r="H108" s="92">
        <v>9910</v>
      </c>
      <c r="I108" s="92">
        <v>99</v>
      </c>
      <c r="J108" s="2"/>
      <c r="K108" s="2"/>
      <c r="L108" s="2"/>
      <c r="M108" s="2"/>
      <c r="N108" s="113"/>
    </row>
    <row r="109" spans="1:14">
      <c r="A109" s="83" t="s">
        <v>92</v>
      </c>
      <c r="B109" s="78" t="s">
        <v>29</v>
      </c>
      <c r="C109" s="78" t="s">
        <v>34</v>
      </c>
      <c r="D109" s="78" t="s">
        <v>385</v>
      </c>
      <c r="E109" s="78" t="s">
        <v>421</v>
      </c>
      <c r="F109" s="92">
        <v>9259</v>
      </c>
      <c r="G109" s="92">
        <v>630</v>
      </c>
      <c r="H109" s="92">
        <v>8629</v>
      </c>
      <c r="I109" s="92">
        <v>93</v>
      </c>
      <c r="J109" s="2"/>
      <c r="K109" s="2"/>
      <c r="L109" s="2"/>
      <c r="M109" s="2"/>
      <c r="N109" s="113"/>
    </row>
    <row r="110" spans="1:14">
      <c r="A110" s="83" t="s">
        <v>92</v>
      </c>
      <c r="B110" s="78" t="s">
        <v>29</v>
      </c>
      <c r="C110" s="78" t="s">
        <v>34</v>
      </c>
      <c r="D110" s="78" t="s">
        <v>385</v>
      </c>
      <c r="E110" s="78" t="s">
        <v>420</v>
      </c>
      <c r="F110" s="92">
        <v>18644</v>
      </c>
      <c r="G110" s="92">
        <v>16255</v>
      </c>
      <c r="H110" s="92">
        <v>2389</v>
      </c>
      <c r="I110" s="92">
        <v>12</v>
      </c>
      <c r="J110" s="78"/>
      <c r="K110" s="78"/>
      <c r="L110" s="78"/>
      <c r="M110" s="78"/>
      <c r="N110" s="108"/>
    </row>
    <row r="111" spans="1:14">
      <c r="A111" s="79"/>
      <c r="B111" s="80"/>
      <c r="C111" s="80"/>
      <c r="D111" s="80"/>
      <c r="E111" s="80"/>
      <c r="F111" s="117">
        <v>70795</v>
      </c>
      <c r="G111" s="86"/>
      <c r="H111" s="86"/>
      <c r="I111" s="86"/>
      <c r="J111" s="102" t="s">
        <v>754</v>
      </c>
      <c r="K111" s="103">
        <v>5.8642578125</v>
      </c>
      <c r="L111" s="80"/>
      <c r="M111" s="80"/>
      <c r="N111" s="121">
        <v>76800</v>
      </c>
    </row>
    <row r="112" spans="1:14">
      <c r="A112" s="82" t="s">
        <v>96</v>
      </c>
      <c r="B112" s="82" t="s">
        <v>29</v>
      </c>
      <c r="C112" s="82" t="s">
        <v>34</v>
      </c>
      <c r="D112" s="82" t="s">
        <v>385</v>
      </c>
      <c r="E112" s="82" t="s">
        <v>422</v>
      </c>
      <c r="F112" s="95">
        <v>4675</v>
      </c>
      <c r="G112" s="95">
        <v>10</v>
      </c>
      <c r="H112" s="95">
        <v>4665</v>
      </c>
      <c r="I112" s="95">
        <v>99</v>
      </c>
      <c r="J112" s="82" t="s">
        <v>96</v>
      </c>
      <c r="K112" s="82" t="s">
        <v>29</v>
      </c>
      <c r="L112" s="82" t="s">
        <v>386</v>
      </c>
      <c r="M112" s="82" t="s">
        <v>385</v>
      </c>
      <c r="N112" s="95">
        <v>20480</v>
      </c>
    </row>
    <row r="113" spans="1:14">
      <c r="A113" s="78" t="s">
        <v>96</v>
      </c>
      <c r="B113" s="78" t="s">
        <v>29</v>
      </c>
      <c r="C113" s="78" t="s">
        <v>34</v>
      </c>
      <c r="D113" s="78" t="s">
        <v>385</v>
      </c>
      <c r="E113" s="78" t="s">
        <v>414</v>
      </c>
      <c r="F113" s="92">
        <v>65535</v>
      </c>
      <c r="G113" s="92">
        <v>2541</v>
      </c>
      <c r="H113" s="92">
        <v>62994</v>
      </c>
      <c r="I113" s="92">
        <v>96</v>
      </c>
      <c r="J113" s="78" t="s">
        <v>96</v>
      </c>
      <c r="K113" s="78" t="s">
        <v>29</v>
      </c>
      <c r="L113" s="78" t="s">
        <v>384</v>
      </c>
      <c r="M113" s="78" t="s">
        <v>385</v>
      </c>
      <c r="N113" s="92">
        <v>102400</v>
      </c>
    </row>
    <row r="114" spans="1:14">
      <c r="A114" s="78" t="s">
        <v>96</v>
      </c>
      <c r="B114" s="78" t="s">
        <v>29</v>
      </c>
      <c r="C114" s="78" t="s">
        <v>34</v>
      </c>
      <c r="D114" s="78" t="s">
        <v>385</v>
      </c>
      <c r="E114" s="78" t="s">
        <v>421</v>
      </c>
      <c r="F114" s="92">
        <v>9482</v>
      </c>
      <c r="G114" s="92">
        <v>409</v>
      </c>
      <c r="H114" s="92">
        <v>9073</v>
      </c>
      <c r="I114" s="92">
        <v>95</v>
      </c>
      <c r="J114" s="78"/>
      <c r="K114" s="78"/>
      <c r="L114" s="78"/>
      <c r="M114" s="78"/>
      <c r="N114" s="92"/>
    </row>
    <row r="115" spans="1:14">
      <c r="A115" s="78" t="s">
        <v>96</v>
      </c>
      <c r="B115" s="78" t="s">
        <v>29</v>
      </c>
      <c r="C115" s="78" t="s">
        <v>34</v>
      </c>
      <c r="D115" s="78" t="s">
        <v>385</v>
      </c>
      <c r="E115" s="78" t="s">
        <v>430</v>
      </c>
      <c r="F115" s="92">
        <v>471</v>
      </c>
      <c r="G115" s="92">
        <v>105</v>
      </c>
      <c r="H115" s="92">
        <v>366</v>
      </c>
      <c r="I115" s="92">
        <v>77</v>
      </c>
      <c r="J115" s="78"/>
      <c r="K115" s="78"/>
      <c r="L115" s="78"/>
      <c r="M115" s="78"/>
      <c r="N115" s="92"/>
    </row>
    <row r="116" spans="1:14">
      <c r="A116" s="78" t="s">
        <v>96</v>
      </c>
      <c r="B116" s="78" t="s">
        <v>29</v>
      </c>
      <c r="C116" s="78" t="s">
        <v>34</v>
      </c>
      <c r="D116" s="78" t="s">
        <v>385</v>
      </c>
      <c r="E116" s="78" t="s">
        <v>420</v>
      </c>
      <c r="F116" s="92">
        <v>19093</v>
      </c>
      <c r="G116" s="92">
        <v>44</v>
      </c>
      <c r="H116" s="92">
        <v>19049</v>
      </c>
      <c r="I116" s="92">
        <v>99</v>
      </c>
      <c r="J116" s="78"/>
      <c r="K116" s="78"/>
      <c r="L116" s="78"/>
      <c r="M116" s="78"/>
      <c r="N116" s="92"/>
    </row>
    <row r="117" spans="1:14">
      <c r="A117" s="88"/>
      <c r="B117" s="88"/>
      <c r="C117" s="88"/>
      <c r="D117" s="88"/>
      <c r="E117" s="88"/>
      <c r="F117" s="98">
        <v>99256</v>
      </c>
      <c r="G117" s="88"/>
      <c r="H117" s="88"/>
      <c r="I117" s="88"/>
      <c r="J117" s="76" t="s">
        <v>754</v>
      </c>
      <c r="K117" s="106">
        <v>23.0703125</v>
      </c>
      <c r="L117" s="90"/>
      <c r="M117" s="90"/>
      <c r="N117" s="120">
        <v>122880</v>
      </c>
    </row>
    <row r="118" spans="1:14">
      <c r="A118" s="84" t="s">
        <v>100</v>
      </c>
      <c r="B118" s="77" t="s">
        <v>29</v>
      </c>
      <c r="C118" s="77" t="s">
        <v>34</v>
      </c>
      <c r="D118" s="77" t="s">
        <v>403</v>
      </c>
      <c r="E118" s="77" t="s">
        <v>459</v>
      </c>
      <c r="F118" s="91">
        <v>307069</v>
      </c>
      <c r="G118" s="91">
        <v>2272</v>
      </c>
      <c r="H118" s="91">
        <v>304797</v>
      </c>
      <c r="I118" s="91">
        <v>99</v>
      </c>
      <c r="J118" s="77" t="s">
        <v>100</v>
      </c>
      <c r="K118" s="77" t="s">
        <v>29</v>
      </c>
      <c r="L118" s="77" t="s">
        <v>384</v>
      </c>
      <c r="M118" s="77" t="s">
        <v>385</v>
      </c>
      <c r="N118" s="107">
        <v>307200</v>
      </c>
    </row>
    <row r="119" spans="1:14">
      <c r="A119" s="83" t="s">
        <v>100</v>
      </c>
      <c r="B119" s="78" t="s">
        <v>29</v>
      </c>
      <c r="C119" s="78" t="s">
        <v>34</v>
      </c>
      <c r="D119" s="78" t="s">
        <v>385</v>
      </c>
      <c r="E119" s="78" t="s">
        <v>463</v>
      </c>
      <c r="F119" s="92">
        <v>71177</v>
      </c>
      <c r="G119" s="92">
        <v>18326</v>
      </c>
      <c r="H119" s="92">
        <v>52851</v>
      </c>
      <c r="I119" s="92">
        <v>74</v>
      </c>
      <c r="J119" s="78" t="s">
        <v>100</v>
      </c>
      <c r="K119" s="78" t="s">
        <v>29</v>
      </c>
      <c r="L119" s="78" t="s">
        <v>386</v>
      </c>
      <c r="M119" s="78" t="s">
        <v>385</v>
      </c>
      <c r="N119" s="108">
        <v>71680</v>
      </c>
    </row>
    <row r="120" spans="1:14">
      <c r="A120" s="83" t="s">
        <v>100</v>
      </c>
      <c r="B120" s="78" t="s">
        <v>29</v>
      </c>
      <c r="C120" s="78" t="s">
        <v>34</v>
      </c>
      <c r="D120" s="78" t="s">
        <v>403</v>
      </c>
      <c r="E120" s="78" t="s">
        <v>464</v>
      </c>
      <c r="F120" s="92">
        <v>15728712</v>
      </c>
      <c r="G120" s="92">
        <v>13113307</v>
      </c>
      <c r="H120" s="92">
        <v>2615405</v>
      </c>
      <c r="I120" s="92">
        <v>16</v>
      </c>
      <c r="J120" s="78" t="s">
        <v>100</v>
      </c>
      <c r="K120" s="78" t="s">
        <v>29</v>
      </c>
      <c r="L120" s="78" t="s">
        <v>382</v>
      </c>
      <c r="M120" s="78"/>
      <c r="N120" s="108">
        <v>15728843</v>
      </c>
    </row>
    <row r="121" spans="1:14">
      <c r="A121" s="85"/>
      <c r="B121" s="86"/>
      <c r="C121" s="86"/>
      <c r="D121" s="86"/>
      <c r="E121" s="86"/>
      <c r="F121" s="117">
        <v>16106958</v>
      </c>
      <c r="G121" s="86"/>
      <c r="H121" s="86"/>
      <c r="I121" s="86"/>
      <c r="J121" s="102" t="s">
        <v>754</v>
      </c>
      <c r="K121" s="103">
        <v>0.7470703125</v>
      </c>
      <c r="L121" s="80"/>
      <c r="M121" s="80"/>
      <c r="N121" s="121">
        <v>16107723</v>
      </c>
    </row>
    <row r="122" spans="1:14">
      <c r="A122" s="84" t="s">
        <v>104</v>
      </c>
      <c r="B122" s="77" t="s">
        <v>29</v>
      </c>
      <c r="C122" s="77" t="s">
        <v>34</v>
      </c>
      <c r="D122" s="77" t="s">
        <v>403</v>
      </c>
      <c r="E122" s="77" t="s">
        <v>465</v>
      </c>
      <c r="F122" s="91">
        <v>5242749</v>
      </c>
      <c r="G122" s="91">
        <v>135851</v>
      </c>
      <c r="H122" s="91">
        <v>5106898</v>
      </c>
      <c r="I122" s="91">
        <v>97</v>
      </c>
      <c r="J122" s="77" t="s">
        <v>104</v>
      </c>
      <c r="K122" s="77" t="s">
        <v>29</v>
      </c>
      <c r="L122" s="77" t="s">
        <v>384</v>
      </c>
      <c r="M122" s="77" t="s">
        <v>385</v>
      </c>
      <c r="N122" s="107">
        <v>307200</v>
      </c>
    </row>
    <row r="123" spans="1:14">
      <c r="A123" s="83" t="s">
        <v>104</v>
      </c>
      <c r="B123" s="78" t="s">
        <v>29</v>
      </c>
      <c r="C123" s="78" t="s">
        <v>34</v>
      </c>
      <c r="D123" s="78" t="s">
        <v>385</v>
      </c>
      <c r="E123" s="78" t="s">
        <v>463</v>
      </c>
      <c r="F123" s="92">
        <v>71177</v>
      </c>
      <c r="G123" s="92">
        <v>24831</v>
      </c>
      <c r="H123" s="92">
        <v>46346</v>
      </c>
      <c r="I123" s="92">
        <v>65</v>
      </c>
      <c r="J123" s="78" t="s">
        <v>104</v>
      </c>
      <c r="K123" s="78" t="s">
        <v>29</v>
      </c>
      <c r="L123" s="78" t="s">
        <v>386</v>
      </c>
      <c r="M123" s="78" t="s">
        <v>385</v>
      </c>
      <c r="N123" s="108">
        <v>71680</v>
      </c>
    </row>
    <row r="124" spans="1:14">
      <c r="A124" s="83" t="s">
        <v>104</v>
      </c>
      <c r="B124" s="78" t="s">
        <v>29</v>
      </c>
      <c r="C124" s="78" t="s">
        <v>34</v>
      </c>
      <c r="D124" s="78" t="s">
        <v>403</v>
      </c>
      <c r="E124" s="78" t="s">
        <v>459</v>
      </c>
      <c r="F124" s="92">
        <v>307069</v>
      </c>
      <c r="G124" s="92">
        <v>50459</v>
      </c>
      <c r="H124" s="92">
        <v>256610</v>
      </c>
      <c r="I124" s="92">
        <v>83</v>
      </c>
      <c r="J124" s="78" t="s">
        <v>104</v>
      </c>
      <c r="K124" s="78" t="s">
        <v>29</v>
      </c>
      <c r="L124" s="78" t="s">
        <v>382</v>
      </c>
      <c r="M124" s="78"/>
      <c r="N124" s="108">
        <v>5242880</v>
      </c>
    </row>
    <row r="125" spans="1:14">
      <c r="A125" s="87"/>
      <c r="B125" s="88"/>
      <c r="C125" s="88"/>
      <c r="D125" s="88"/>
      <c r="E125" s="88"/>
      <c r="F125" s="98">
        <v>5620995</v>
      </c>
      <c r="G125" s="88"/>
      <c r="H125" s="88"/>
      <c r="I125" s="88"/>
      <c r="J125" s="76" t="s">
        <v>754</v>
      </c>
      <c r="K125" s="106">
        <v>0.7470703125</v>
      </c>
      <c r="L125" s="90"/>
      <c r="M125" s="90"/>
      <c r="N125" s="120">
        <v>5621760</v>
      </c>
    </row>
    <row r="126" spans="1:14">
      <c r="A126" s="84" t="s">
        <v>107</v>
      </c>
      <c r="B126" s="77" t="s">
        <v>29</v>
      </c>
      <c r="C126" s="77" t="s">
        <v>34</v>
      </c>
      <c r="D126" s="77" t="s">
        <v>403</v>
      </c>
      <c r="E126" s="77" t="s">
        <v>459</v>
      </c>
      <c r="F126" s="91">
        <v>307069</v>
      </c>
      <c r="G126" s="91">
        <v>131</v>
      </c>
      <c r="H126" s="91">
        <v>306938</v>
      </c>
      <c r="I126" s="91">
        <v>99</v>
      </c>
      <c r="J126" s="77" t="s">
        <v>107</v>
      </c>
      <c r="K126" s="77" t="s">
        <v>29</v>
      </c>
      <c r="L126" s="77" t="s">
        <v>384</v>
      </c>
      <c r="M126" s="77" t="s">
        <v>385</v>
      </c>
      <c r="N126" s="107">
        <v>307200</v>
      </c>
    </row>
    <row r="127" spans="1:14">
      <c r="A127" s="83" t="s">
        <v>107</v>
      </c>
      <c r="B127" s="78" t="s">
        <v>29</v>
      </c>
      <c r="C127" s="78" t="s">
        <v>34</v>
      </c>
      <c r="D127" s="78" t="s">
        <v>385</v>
      </c>
      <c r="E127" s="78" t="s">
        <v>463</v>
      </c>
      <c r="F127" s="92">
        <v>71177</v>
      </c>
      <c r="G127" s="92">
        <v>17701</v>
      </c>
      <c r="H127" s="92">
        <v>53476</v>
      </c>
      <c r="I127" s="92">
        <v>75</v>
      </c>
      <c r="J127" s="78" t="s">
        <v>107</v>
      </c>
      <c r="K127" s="78" t="s">
        <v>29</v>
      </c>
      <c r="L127" s="78" t="s">
        <v>386</v>
      </c>
      <c r="M127" s="78" t="s">
        <v>385</v>
      </c>
      <c r="N127" s="108">
        <v>71680</v>
      </c>
    </row>
    <row r="128" spans="1:14">
      <c r="A128" s="87"/>
      <c r="B128" s="88"/>
      <c r="C128" s="88"/>
      <c r="D128" s="88"/>
      <c r="E128" s="88"/>
      <c r="F128" s="98">
        <v>378246</v>
      </c>
      <c r="G128" s="88"/>
      <c r="H128" s="88"/>
      <c r="I128" s="88"/>
      <c r="J128" s="76" t="s">
        <v>754</v>
      </c>
      <c r="K128" s="106">
        <v>0.619140625</v>
      </c>
      <c r="L128" s="90"/>
      <c r="M128" s="90"/>
      <c r="N128" s="120">
        <v>378880</v>
      </c>
    </row>
    <row r="129" spans="1:14">
      <c r="A129" s="84" t="s">
        <v>110</v>
      </c>
      <c r="B129" s="77" t="s">
        <v>29</v>
      </c>
      <c r="C129" s="77" t="s">
        <v>34</v>
      </c>
      <c r="D129" s="77" t="s">
        <v>385</v>
      </c>
      <c r="E129" s="77" t="s">
        <v>422</v>
      </c>
      <c r="F129" s="91">
        <v>4675</v>
      </c>
      <c r="G129" s="91">
        <v>10</v>
      </c>
      <c r="H129" s="91">
        <v>4665</v>
      </c>
      <c r="I129" s="91">
        <v>99</v>
      </c>
      <c r="J129" s="77" t="s">
        <v>110</v>
      </c>
      <c r="K129" s="77" t="s">
        <v>29</v>
      </c>
      <c r="L129" s="77" t="s">
        <v>386</v>
      </c>
      <c r="M129" s="77" t="s">
        <v>385</v>
      </c>
      <c r="N129" s="107">
        <v>102400</v>
      </c>
    </row>
    <row r="130" spans="1:14">
      <c r="A130" s="83" t="s">
        <v>110</v>
      </c>
      <c r="B130" s="78" t="s">
        <v>29</v>
      </c>
      <c r="C130" s="78" t="s">
        <v>34</v>
      </c>
      <c r="D130" s="78" t="s">
        <v>385</v>
      </c>
      <c r="E130" s="78" t="s">
        <v>420</v>
      </c>
      <c r="F130" s="92">
        <v>19093</v>
      </c>
      <c r="G130" s="92">
        <v>244</v>
      </c>
      <c r="H130" s="92">
        <v>18849</v>
      </c>
      <c r="I130" s="92">
        <v>98</v>
      </c>
      <c r="J130" s="78" t="s">
        <v>110</v>
      </c>
      <c r="K130" s="78" t="s">
        <v>29</v>
      </c>
      <c r="L130" s="78" t="s">
        <v>384</v>
      </c>
      <c r="M130" s="78" t="s">
        <v>385</v>
      </c>
      <c r="N130" s="108">
        <v>20480</v>
      </c>
    </row>
    <row r="131" spans="1:14">
      <c r="A131" s="83" t="s">
        <v>110</v>
      </c>
      <c r="B131" s="78" t="s">
        <v>29</v>
      </c>
      <c r="C131" s="78" t="s">
        <v>34</v>
      </c>
      <c r="D131" s="78" t="s">
        <v>385</v>
      </c>
      <c r="E131" s="78" t="s">
        <v>421</v>
      </c>
      <c r="F131" s="92">
        <v>9482</v>
      </c>
      <c r="G131" s="92">
        <v>5373</v>
      </c>
      <c r="H131" s="92">
        <v>4109</v>
      </c>
      <c r="I131" s="92">
        <v>43</v>
      </c>
      <c r="J131" s="78"/>
      <c r="K131" s="78"/>
      <c r="L131" s="78"/>
      <c r="M131" s="78"/>
      <c r="N131" s="108"/>
    </row>
    <row r="132" spans="1:14">
      <c r="A132" s="83" t="s">
        <v>110</v>
      </c>
      <c r="B132" s="78" t="s">
        <v>29</v>
      </c>
      <c r="C132" s="78" t="s">
        <v>34</v>
      </c>
      <c r="D132" s="78" t="s">
        <v>385</v>
      </c>
      <c r="E132" s="78" t="s">
        <v>430</v>
      </c>
      <c r="F132" s="92">
        <v>471</v>
      </c>
      <c r="G132" s="92">
        <v>105</v>
      </c>
      <c r="H132" s="92">
        <v>366</v>
      </c>
      <c r="I132" s="92">
        <v>77</v>
      </c>
      <c r="J132" s="78"/>
      <c r="K132" s="78"/>
      <c r="L132" s="78"/>
      <c r="M132" s="78"/>
      <c r="N132" s="108"/>
    </row>
    <row r="133" spans="1:14">
      <c r="A133" s="83" t="s">
        <v>110</v>
      </c>
      <c r="B133" s="78" t="s">
        <v>29</v>
      </c>
      <c r="C133" s="78" t="s">
        <v>34</v>
      </c>
      <c r="D133" s="78" t="s">
        <v>385</v>
      </c>
      <c r="E133" s="78" t="s">
        <v>414</v>
      </c>
      <c r="F133" s="92">
        <v>65535</v>
      </c>
      <c r="G133" s="92">
        <v>7954</v>
      </c>
      <c r="H133" s="92">
        <v>57581</v>
      </c>
      <c r="I133" s="92">
        <v>87</v>
      </c>
      <c r="J133" s="78"/>
      <c r="K133" s="78"/>
      <c r="L133" s="78"/>
      <c r="M133" s="78"/>
      <c r="N133" s="108"/>
    </row>
    <row r="134" spans="1:14">
      <c r="A134" s="87"/>
      <c r="B134" s="88"/>
      <c r="C134" s="88"/>
      <c r="D134" s="88"/>
      <c r="E134" s="88"/>
      <c r="F134" s="98">
        <v>99256</v>
      </c>
      <c r="G134" s="88"/>
      <c r="H134" s="88"/>
      <c r="I134" s="88"/>
      <c r="J134" s="76" t="s">
        <v>754</v>
      </c>
      <c r="K134" s="106">
        <v>23.0703125</v>
      </c>
      <c r="L134" s="90"/>
      <c r="M134" s="90"/>
      <c r="N134" s="120">
        <v>122880</v>
      </c>
    </row>
    <row r="135" spans="1:14">
      <c r="A135" s="84" t="s">
        <v>114</v>
      </c>
      <c r="B135" s="77" t="s">
        <v>29</v>
      </c>
      <c r="C135" s="77" t="s">
        <v>34</v>
      </c>
      <c r="D135" s="77" t="s">
        <v>385</v>
      </c>
      <c r="E135" s="77" t="s">
        <v>420</v>
      </c>
      <c r="F135" s="91">
        <v>18644</v>
      </c>
      <c r="G135" s="91">
        <v>5892</v>
      </c>
      <c r="H135" s="91">
        <v>12752</v>
      </c>
      <c r="I135" s="91">
        <v>68</v>
      </c>
      <c r="J135" s="128" t="s">
        <v>114</v>
      </c>
      <c r="K135" s="128" t="s">
        <v>29</v>
      </c>
      <c r="L135" s="128" t="s">
        <v>384</v>
      </c>
      <c r="M135" s="128"/>
      <c r="N135" s="131">
        <v>1048576</v>
      </c>
    </row>
    <row r="136" spans="1:14">
      <c r="A136" s="83" t="s">
        <v>114</v>
      </c>
      <c r="B136" s="78" t="s">
        <v>29</v>
      </c>
      <c r="C136" s="78" t="s">
        <v>34</v>
      </c>
      <c r="D136" s="78" t="s">
        <v>385</v>
      </c>
      <c r="E136" s="78" t="s">
        <v>414</v>
      </c>
      <c r="F136" s="92">
        <v>28031</v>
      </c>
      <c r="G136" s="92">
        <v>1748</v>
      </c>
      <c r="H136" s="92">
        <v>26283</v>
      </c>
      <c r="I136" s="92">
        <v>93</v>
      </c>
      <c r="J136" s="129" t="s">
        <v>114</v>
      </c>
      <c r="K136" s="129" t="s">
        <v>29</v>
      </c>
      <c r="L136" s="129" t="s">
        <v>386</v>
      </c>
      <c r="M136" s="129" t="s">
        <v>385</v>
      </c>
      <c r="N136" s="132">
        <v>61440</v>
      </c>
    </row>
    <row r="137" spans="1:14">
      <c r="A137" s="83" t="s">
        <v>114</v>
      </c>
      <c r="B137" s="78" t="s">
        <v>29</v>
      </c>
      <c r="C137" s="78" t="s">
        <v>34</v>
      </c>
      <c r="D137" s="78" t="s">
        <v>403</v>
      </c>
      <c r="E137" s="78" t="s">
        <v>475</v>
      </c>
      <c r="F137" s="92">
        <v>1031991</v>
      </c>
      <c r="G137" s="92">
        <v>967209</v>
      </c>
      <c r="H137" s="92">
        <v>64782</v>
      </c>
      <c r="I137" s="92">
        <v>6</v>
      </c>
      <c r="J137" s="129" t="s">
        <v>114</v>
      </c>
      <c r="K137" s="129" t="s">
        <v>29</v>
      </c>
      <c r="L137" s="129" t="s">
        <v>382</v>
      </c>
      <c r="M137" s="129"/>
      <c r="N137" s="132">
        <v>512000</v>
      </c>
    </row>
    <row r="138" spans="1:14">
      <c r="A138" s="83" t="s">
        <v>114</v>
      </c>
      <c r="B138" s="78" t="s">
        <v>29</v>
      </c>
      <c r="C138" s="78" t="s">
        <v>34</v>
      </c>
      <c r="D138" s="78" t="s">
        <v>385</v>
      </c>
      <c r="E138" s="78" t="s">
        <v>421</v>
      </c>
      <c r="F138" s="92">
        <v>9259</v>
      </c>
      <c r="G138" s="92">
        <v>814</v>
      </c>
      <c r="H138" s="92">
        <v>8445</v>
      </c>
      <c r="I138" s="92">
        <v>91</v>
      </c>
      <c r="N138" s="133"/>
    </row>
    <row r="139" spans="1:14">
      <c r="A139" s="85"/>
      <c r="B139" s="86"/>
      <c r="C139" s="86"/>
      <c r="D139" s="86"/>
      <c r="E139" s="86"/>
      <c r="F139" s="117">
        <v>1087925</v>
      </c>
      <c r="G139" s="86"/>
      <c r="H139" s="86"/>
      <c r="I139" s="86"/>
      <c r="J139" s="102" t="s">
        <v>754</v>
      </c>
      <c r="K139" s="130">
        <v>521.5732421875</v>
      </c>
      <c r="L139" s="80"/>
      <c r="M139" s="80"/>
      <c r="N139" s="121">
        <v>1622016</v>
      </c>
    </row>
    <row r="140" spans="1:14">
      <c r="A140" s="82" t="s">
        <v>116</v>
      </c>
      <c r="B140" s="82" t="s">
        <v>29</v>
      </c>
      <c r="C140" s="82" t="s">
        <v>34</v>
      </c>
      <c r="D140" s="82" t="s">
        <v>385</v>
      </c>
      <c r="E140" s="82" t="s">
        <v>422</v>
      </c>
      <c r="F140" s="95">
        <v>4675</v>
      </c>
      <c r="G140" s="95">
        <v>10</v>
      </c>
      <c r="H140" s="95">
        <v>4665</v>
      </c>
      <c r="I140" s="95">
        <v>99</v>
      </c>
      <c r="J140" s="82" t="s">
        <v>116</v>
      </c>
      <c r="K140" s="82" t="s">
        <v>29</v>
      </c>
      <c r="L140" s="82" t="s">
        <v>384</v>
      </c>
      <c r="M140" s="82" t="s">
        <v>385</v>
      </c>
      <c r="N140" s="95">
        <v>102400</v>
      </c>
    </row>
    <row r="141" spans="1:14">
      <c r="A141" s="78" t="s">
        <v>116</v>
      </c>
      <c r="B141" s="78" t="s">
        <v>29</v>
      </c>
      <c r="C141" s="78" t="s">
        <v>34</v>
      </c>
      <c r="D141" s="78" t="s">
        <v>385</v>
      </c>
      <c r="E141" s="78" t="s">
        <v>430</v>
      </c>
      <c r="F141" s="92">
        <v>471</v>
      </c>
      <c r="G141" s="92">
        <v>343</v>
      </c>
      <c r="H141" s="92">
        <v>128</v>
      </c>
      <c r="I141" s="92">
        <v>27</v>
      </c>
      <c r="J141" s="78" t="s">
        <v>116</v>
      </c>
      <c r="K141" s="78" t="s">
        <v>29</v>
      </c>
      <c r="L141" s="78" t="s">
        <v>386</v>
      </c>
      <c r="M141" s="78" t="s">
        <v>385</v>
      </c>
      <c r="N141" s="92">
        <v>20480</v>
      </c>
    </row>
    <row r="142" spans="1:14">
      <c r="A142" s="78" t="s">
        <v>116</v>
      </c>
      <c r="B142" s="78" t="s">
        <v>29</v>
      </c>
      <c r="C142" s="78" t="s">
        <v>34</v>
      </c>
      <c r="D142" s="78" t="s">
        <v>385</v>
      </c>
      <c r="E142" s="78" t="s">
        <v>420</v>
      </c>
      <c r="F142" s="92">
        <v>19093</v>
      </c>
      <c r="G142" s="92">
        <v>245</v>
      </c>
      <c r="H142" s="92">
        <v>18848</v>
      </c>
      <c r="I142" s="92">
        <v>98</v>
      </c>
      <c r="J142" s="78" t="s">
        <v>116</v>
      </c>
      <c r="K142" s="78" t="s">
        <v>29</v>
      </c>
      <c r="L142" s="78" t="s">
        <v>382</v>
      </c>
      <c r="M142" s="78"/>
      <c r="N142" s="92">
        <v>1048576</v>
      </c>
    </row>
    <row r="143" spans="1:14">
      <c r="A143" s="78" t="s">
        <v>116</v>
      </c>
      <c r="B143" s="78" t="s">
        <v>29</v>
      </c>
      <c r="C143" s="78" t="s">
        <v>34</v>
      </c>
      <c r="D143" s="78" t="s">
        <v>385</v>
      </c>
      <c r="E143" s="78" t="s">
        <v>414</v>
      </c>
      <c r="F143" s="92">
        <v>65535</v>
      </c>
      <c r="G143" s="92">
        <v>4411</v>
      </c>
      <c r="H143" s="92">
        <v>61124</v>
      </c>
      <c r="I143" s="92">
        <v>93</v>
      </c>
      <c r="J143" s="78"/>
      <c r="K143" s="78"/>
      <c r="L143" s="78"/>
      <c r="M143" s="78"/>
      <c r="N143" s="92"/>
    </row>
    <row r="144" spans="1:14">
      <c r="A144" s="78" t="s">
        <v>116</v>
      </c>
      <c r="B144" s="78" t="s">
        <v>29</v>
      </c>
      <c r="C144" s="78" t="s">
        <v>34</v>
      </c>
      <c r="D144" s="78" t="s">
        <v>385</v>
      </c>
      <c r="E144" s="78" t="s">
        <v>421</v>
      </c>
      <c r="F144" s="92">
        <v>9482</v>
      </c>
      <c r="G144" s="92">
        <v>5022</v>
      </c>
      <c r="H144" s="92">
        <v>4460</v>
      </c>
      <c r="I144" s="92">
        <v>47</v>
      </c>
      <c r="J144" s="78"/>
      <c r="K144" s="78"/>
      <c r="L144" s="78"/>
      <c r="M144" s="78"/>
      <c r="N144" s="92"/>
    </row>
    <row r="145" spans="1:14">
      <c r="A145" s="88"/>
      <c r="B145" s="88"/>
      <c r="C145" s="88"/>
      <c r="D145" s="88"/>
      <c r="E145" s="88"/>
      <c r="F145" s="98">
        <v>99256</v>
      </c>
      <c r="G145" s="88"/>
      <c r="H145" s="88"/>
      <c r="I145" s="88"/>
      <c r="J145" s="76" t="s">
        <v>754</v>
      </c>
      <c r="K145" s="119">
        <v>1047.0703125</v>
      </c>
      <c r="L145" s="90"/>
      <c r="M145" s="90"/>
      <c r="N145" s="120">
        <v>1171456</v>
      </c>
    </row>
    <row r="146" spans="1:14">
      <c r="A146" s="84" t="s">
        <v>118</v>
      </c>
      <c r="B146" s="77" t="s">
        <v>29</v>
      </c>
      <c r="C146" s="77" t="s">
        <v>34</v>
      </c>
      <c r="D146" s="77" t="s">
        <v>385</v>
      </c>
      <c r="E146" s="77" t="s">
        <v>420</v>
      </c>
      <c r="F146" s="91">
        <v>19093</v>
      </c>
      <c r="G146" s="91">
        <v>244</v>
      </c>
      <c r="H146" s="91">
        <v>18849</v>
      </c>
      <c r="I146" s="91">
        <v>98</v>
      </c>
      <c r="J146" s="77" t="s">
        <v>118</v>
      </c>
      <c r="K146" s="77" t="s">
        <v>29</v>
      </c>
      <c r="L146" s="77" t="s">
        <v>386</v>
      </c>
      <c r="M146" s="77" t="s">
        <v>385</v>
      </c>
      <c r="N146" s="107">
        <v>102400</v>
      </c>
    </row>
    <row r="147" spans="1:14">
      <c r="A147" s="83" t="s">
        <v>118</v>
      </c>
      <c r="B147" s="78" t="s">
        <v>29</v>
      </c>
      <c r="C147" s="78" t="s">
        <v>34</v>
      </c>
      <c r="D147" s="78" t="s">
        <v>385</v>
      </c>
      <c r="E147" s="78" t="s">
        <v>422</v>
      </c>
      <c r="F147" s="92">
        <v>4675</v>
      </c>
      <c r="G147" s="92">
        <v>10</v>
      </c>
      <c r="H147" s="92">
        <v>4665</v>
      </c>
      <c r="I147" s="92">
        <v>99</v>
      </c>
      <c r="J147" s="78" t="s">
        <v>118</v>
      </c>
      <c r="K147" s="78" t="s">
        <v>29</v>
      </c>
      <c r="L147" s="78" t="s">
        <v>384</v>
      </c>
      <c r="M147" s="78" t="s">
        <v>385</v>
      </c>
      <c r="N147" s="108">
        <v>20480</v>
      </c>
    </row>
    <row r="148" spans="1:14">
      <c r="A148" s="83" t="s">
        <v>118</v>
      </c>
      <c r="B148" s="78" t="s">
        <v>29</v>
      </c>
      <c r="C148" s="78" t="s">
        <v>34</v>
      </c>
      <c r="D148" s="78" t="s">
        <v>385</v>
      </c>
      <c r="E148" s="78" t="s">
        <v>421</v>
      </c>
      <c r="F148" s="92">
        <v>9482</v>
      </c>
      <c r="G148" s="92">
        <v>4901</v>
      </c>
      <c r="H148" s="92">
        <v>4581</v>
      </c>
      <c r="I148" s="92">
        <v>48</v>
      </c>
      <c r="J148" s="78" t="s">
        <v>118</v>
      </c>
      <c r="K148" s="78" t="s">
        <v>29</v>
      </c>
      <c r="L148" s="78" t="s">
        <v>382</v>
      </c>
      <c r="M148" s="78"/>
      <c r="N148" s="108">
        <v>1048576</v>
      </c>
    </row>
    <row r="149" spans="1:14">
      <c r="A149" s="83" t="s">
        <v>118</v>
      </c>
      <c r="B149" s="78" t="s">
        <v>29</v>
      </c>
      <c r="C149" s="78" t="s">
        <v>34</v>
      </c>
      <c r="D149" s="78" t="s">
        <v>385</v>
      </c>
      <c r="E149" s="78" t="s">
        <v>414</v>
      </c>
      <c r="F149" s="92">
        <v>65535</v>
      </c>
      <c r="G149" s="92">
        <v>5459</v>
      </c>
      <c r="H149" s="92">
        <v>60076</v>
      </c>
      <c r="I149" s="92">
        <v>91</v>
      </c>
      <c r="J149" s="78"/>
      <c r="K149" s="78"/>
      <c r="L149" s="78"/>
      <c r="M149" s="78"/>
      <c r="N149" s="108"/>
    </row>
    <row r="150" spans="1:14">
      <c r="A150" s="89" t="s">
        <v>118</v>
      </c>
      <c r="B150" s="90" t="s">
        <v>29</v>
      </c>
      <c r="C150" s="90" t="s">
        <v>34</v>
      </c>
      <c r="D150" s="90" t="s">
        <v>385</v>
      </c>
      <c r="E150" s="90" t="s">
        <v>430</v>
      </c>
      <c r="F150" s="100">
        <v>471</v>
      </c>
      <c r="G150" s="100">
        <v>468</v>
      </c>
      <c r="H150" s="100">
        <v>3</v>
      </c>
      <c r="I150" s="100">
        <v>0</v>
      </c>
      <c r="J150" s="88"/>
      <c r="K150" s="88"/>
      <c r="L150" s="88"/>
      <c r="M150" s="88"/>
      <c r="N150" s="134"/>
    </row>
    <row r="151" spans="1:14">
      <c r="A151" s="85"/>
      <c r="B151" s="86"/>
      <c r="C151" s="86"/>
      <c r="D151" s="86"/>
      <c r="E151" s="86"/>
      <c r="F151" s="117">
        <v>99256</v>
      </c>
      <c r="G151" s="86"/>
      <c r="H151" s="86"/>
      <c r="I151" s="86"/>
      <c r="J151" s="102" t="s">
        <v>754</v>
      </c>
      <c r="K151" s="130">
        <v>1047.0703125</v>
      </c>
      <c r="L151" s="80"/>
      <c r="M151" s="80"/>
      <c r="N151" s="121">
        <v>1171456</v>
      </c>
    </row>
    <row r="152" spans="1:14">
      <c r="A152" s="84" t="s">
        <v>120</v>
      </c>
      <c r="B152" s="77" t="s">
        <v>29</v>
      </c>
      <c r="C152" s="77" t="s">
        <v>34</v>
      </c>
      <c r="D152" s="77" t="s">
        <v>403</v>
      </c>
      <c r="E152" s="77" t="s">
        <v>480</v>
      </c>
      <c r="F152" s="91">
        <v>5242749</v>
      </c>
      <c r="G152" s="91">
        <v>2496626</v>
      </c>
      <c r="H152" s="91">
        <v>2746123</v>
      </c>
      <c r="I152" s="91">
        <v>52</v>
      </c>
      <c r="J152" s="77" t="s">
        <v>120</v>
      </c>
      <c r="K152" s="77" t="s">
        <v>29</v>
      </c>
      <c r="L152" s="77" t="s">
        <v>387</v>
      </c>
      <c r="M152" s="77"/>
      <c r="N152" s="107">
        <v>15728640</v>
      </c>
    </row>
    <row r="153" spans="1:14">
      <c r="A153" s="83" t="s">
        <v>120</v>
      </c>
      <c r="B153" s="78" t="s">
        <v>29</v>
      </c>
      <c r="C153" s="78" t="s">
        <v>34</v>
      </c>
      <c r="D153" s="78" t="s">
        <v>385</v>
      </c>
      <c r="E153" s="78" t="s">
        <v>463</v>
      </c>
      <c r="F153" s="92">
        <v>102297</v>
      </c>
      <c r="G153" s="92">
        <v>65577</v>
      </c>
      <c r="H153" s="92">
        <v>36720</v>
      </c>
      <c r="I153" s="92">
        <v>35</v>
      </c>
      <c r="J153" s="78" t="s">
        <v>120</v>
      </c>
      <c r="K153" s="78" t="s">
        <v>29</v>
      </c>
      <c r="L153" s="78" t="s">
        <v>384</v>
      </c>
      <c r="M153" s="78"/>
      <c r="N153" s="108">
        <v>5242880</v>
      </c>
    </row>
    <row r="154" spans="1:14">
      <c r="A154" s="83" t="s">
        <v>120</v>
      </c>
      <c r="B154" s="78" t="s">
        <v>29</v>
      </c>
      <c r="C154" s="78" t="s">
        <v>34</v>
      </c>
      <c r="D154" s="78" t="s">
        <v>403</v>
      </c>
      <c r="E154" s="78" t="s">
        <v>484</v>
      </c>
      <c r="F154" s="92">
        <v>37748345</v>
      </c>
      <c r="G154" s="92">
        <v>35583587</v>
      </c>
      <c r="H154" s="92">
        <v>2164758</v>
      </c>
      <c r="I154" s="92">
        <v>5</v>
      </c>
      <c r="J154" s="78" t="s">
        <v>120</v>
      </c>
      <c r="K154" s="78" t="s">
        <v>29</v>
      </c>
      <c r="L154" s="78" t="s">
        <v>382</v>
      </c>
      <c r="M154" s="78"/>
      <c r="N154" s="108">
        <v>11534336</v>
      </c>
    </row>
    <row r="155" spans="1:14">
      <c r="A155" s="123"/>
      <c r="B155" s="2"/>
      <c r="C155" s="2"/>
      <c r="D155" s="2"/>
      <c r="E155" s="2"/>
      <c r="F155" s="2"/>
      <c r="G155" s="2"/>
      <c r="H155" s="2"/>
      <c r="I155" s="2"/>
      <c r="J155" s="78" t="s">
        <v>120</v>
      </c>
      <c r="K155" s="78" t="s">
        <v>29</v>
      </c>
      <c r="L155" s="78" t="s">
        <v>389</v>
      </c>
      <c r="M155" s="78"/>
      <c r="N155" s="108">
        <v>10485760</v>
      </c>
    </row>
    <row r="156" spans="1:14">
      <c r="A156" s="123"/>
      <c r="B156" s="2"/>
      <c r="C156" s="2"/>
      <c r="D156" s="2"/>
      <c r="E156" s="2"/>
      <c r="F156" s="2"/>
      <c r="G156" s="2"/>
      <c r="H156" s="2"/>
      <c r="I156" s="2"/>
      <c r="J156" s="78" t="s">
        <v>120</v>
      </c>
      <c r="K156" s="78" t="s">
        <v>29</v>
      </c>
      <c r="L156" s="78" t="s">
        <v>386</v>
      </c>
      <c r="M156" s="78" t="s">
        <v>385</v>
      </c>
      <c r="N156" s="108">
        <v>102400</v>
      </c>
    </row>
    <row r="157" spans="1:14">
      <c r="A157" s="85"/>
      <c r="B157" s="86"/>
      <c r="C157" s="86"/>
      <c r="D157" s="86"/>
      <c r="E157" s="86"/>
      <c r="F157" s="117">
        <v>43093391</v>
      </c>
      <c r="G157" s="86"/>
      <c r="H157" s="86"/>
      <c r="I157" s="86"/>
      <c r="J157" s="102" t="s">
        <v>754</v>
      </c>
      <c r="K157" s="103">
        <v>0.6103515625</v>
      </c>
      <c r="L157" s="80"/>
      <c r="M157" s="80"/>
      <c r="N157" s="121">
        <v>43094016</v>
      </c>
    </row>
    <row r="158" spans="1:14">
      <c r="A158" s="84" t="s">
        <v>124</v>
      </c>
      <c r="B158" s="77" t="s">
        <v>29</v>
      </c>
      <c r="C158" s="77" t="s">
        <v>34</v>
      </c>
      <c r="D158" s="77" t="s">
        <v>385</v>
      </c>
      <c r="E158" s="77" t="s">
        <v>463</v>
      </c>
      <c r="F158" s="91">
        <v>102297</v>
      </c>
      <c r="G158" s="91">
        <v>67396</v>
      </c>
      <c r="H158" s="91">
        <v>34901</v>
      </c>
      <c r="I158" s="91">
        <v>34</v>
      </c>
      <c r="J158" s="77" t="s">
        <v>124</v>
      </c>
      <c r="K158" s="77" t="s">
        <v>29</v>
      </c>
      <c r="L158" s="77" t="s">
        <v>386</v>
      </c>
      <c r="M158" s="77" t="s">
        <v>385</v>
      </c>
      <c r="N158" s="107">
        <v>102400</v>
      </c>
    </row>
    <row r="159" spans="1:14">
      <c r="A159" s="79"/>
      <c r="B159" s="80"/>
      <c r="C159" s="80"/>
      <c r="D159" s="80"/>
      <c r="E159" s="80"/>
      <c r="F159" s="117">
        <v>102297</v>
      </c>
      <c r="G159" s="86"/>
      <c r="H159" s="86"/>
      <c r="I159" s="86"/>
      <c r="J159" s="102" t="s">
        <v>754</v>
      </c>
      <c r="K159" s="103">
        <v>0.1005859375</v>
      </c>
      <c r="L159" s="80"/>
      <c r="M159" s="80"/>
      <c r="N159" s="121">
        <v>102400</v>
      </c>
    </row>
    <row r="160" spans="1:14">
      <c r="A160" s="84" t="s">
        <v>127</v>
      </c>
      <c r="B160" s="77" t="s">
        <v>29</v>
      </c>
      <c r="C160" s="77" t="s">
        <v>34</v>
      </c>
      <c r="D160" s="77" t="s">
        <v>385</v>
      </c>
      <c r="E160" s="77" t="s">
        <v>463</v>
      </c>
      <c r="F160" s="91">
        <v>102297</v>
      </c>
      <c r="G160" s="91">
        <v>65322</v>
      </c>
      <c r="H160" s="91">
        <v>36975</v>
      </c>
      <c r="I160" s="91">
        <v>36</v>
      </c>
      <c r="J160" s="77" t="s">
        <v>127</v>
      </c>
      <c r="K160" s="77" t="s">
        <v>29</v>
      </c>
      <c r="L160" s="77" t="s">
        <v>386</v>
      </c>
      <c r="M160" s="77" t="s">
        <v>385</v>
      </c>
      <c r="N160" s="107">
        <v>102400</v>
      </c>
    </row>
    <row r="161" spans="1:14">
      <c r="A161" s="85"/>
      <c r="B161" s="86"/>
      <c r="C161" s="86"/>
      <c r="D161" s="86"/>
      <c r="E161" s="86"/>
      <c r="F161" s="117">
        <v>102297</v>
      </c>
      <c r="G161" s="86"/>
      <c r="H161" s="86"/>
      <c r="I161" s="86"/>
      <c r="J161" s="102" t="s">
        <v>754</v>
      </c>
      <c r="K161" s="103">
        <v>0.1005859375</v>
      </c>
      <c r="L161" s="80"/>
      <c r="M161" s="80"/>
      <c r="N161" s="121">
        <v>102400</v>
      </c>
    </row>
    <row r="162" spans="1:14">
      <c r="A162" s="84" t="s">
        <v>129</v>
      </c>
      <c r="B162" s="77" t="s">
        <v>29</v>
      </c>
      <c r="C162" s="77" t="s">
        <v>34</v>
      </c>
      <c r="D162" s="77" t="s">
        <v>385</v>
      </c>
      <c r="E162" s="77" t="s">
        <v>414</v>
      </c>
      <c r="F162" s="91">
        <v>65535</v>
      </c>
      <c r="G162" s="91">
        <v>5459</v>
      </c>
      <c r="H162" s="91">
        <v>60076</v>
      </c>
      <c r="I162" s="91">
        <v>91</v>
      </c>
      <c r="J162" s="77" t="s">
        <v>129</v>
      </c>
      <c r="K162" s="77" t="s">
        <v>29</v>
      </c>
      <c r="L162" s="77" t="s">
        <v>384</v>
      </c>
      <c r="M162" s="77" t="s">
        <v>385</v>
      </c>
      <c r="N162" s="107">
        <v>20480</v>
      </c>
    </row>
    <row r="163" spans="1:14">
      <c r="A163" s="83" t="s">
        <v>129</v>
      </c>
      <c r="B163" s="78" t="s">
        <v>29</v>
      </c>
      <c r="C163" s="78" t="s">
        <v>34</v>
      </c>
      <c r="D163" s="78" t="s">
        <v>385</v>
      </c>
      <c r="E163" s="78" t="s">
        <v>420</v>
      </c>
      <c r="F163" s="92">
        <v>19093</v>
      </c>
      <c r="G163" s="92">
        <v>244</v>
      </c>
      <c r="H163" s="92">
        <v>18849</v>
      </c>
      <c r="I163" s="92">
        <v>98</v>
      </c>
      <c r="J163" s="78" t="s">
        <v>129</v>
      </c>
      <c r="K163" s="78" t="s">
        <v>29</v>
      </c>
      <c r="L163" s="78" t="s">
        <v>382</v>
      </c>
      <c r="M163" s="78"/>
      <c r="N163" s="108">
        <v>1048576</v>
      </c>
    </row>
    <row r="164" spans="1:14">
      <c r="A164" s="83" t="s">
        <v>129</v>
      </c>
      <c r="B164" s="78" t="s">
        <v>29</v>
      </c>
      <c r="C164" s="78" t="s">
        <v>34</v>
      </c>
      <c r="D164" s="78" t="s">
        <v>385</v>
      </c>
      <c r="E164" s="78" t="s">
        <v>430</v>
      </c>
      <c r="F164" s="92">
        <v>471</v>
      </c>
      <c r="G164" s="92">
        <v>468</v>
      </c>
      <c r="H164" s="92">
        <v>3</v>
      </c>
      <c r="I164" s="92">
        <v>0</v>
      </c>
      <c r="J164" s="78" t="s">
        <v>129</v>
      </c>
      <c r="K164" s="78" t="s">
        <v>29</v>
      </c>
      <c r="L164" s="78" t="s">
        <v>386</v>
      </c>
      <c r="M164" s="78" t="s">
        <v>385</v>
      </c>
      <c r="N164" s="108">
        <v>102400</v>
      </c>
    </row>
    <row r="165" spans="1:14">
      <c r="A165" s="83" t="s">
        <v>129</v>
      </c>
      <c r="B165" s="78" t="s">
        <v>29</v>
      </c>
      <c r="C165" s="78" t="s">
        <v>34</v>
      </c>
      <c r="D165" s="78" t="s">
        <v>385</v>
      </c>
      <c r="E165" s="78" t="s">
        <v>421</v>
      </c>
      <c r="F165" s="92">
        <v>9482</v>
      </c>
      <c r="G165" s="92">
        <v>4901</v>
      </c>
      <c r="H165" s="92">
        <v>4581</v>
      </c>
      <c r="I165" s="92">
        <v>48</v>
      </c>
      <c r="J165" s="78"/>
      <c r="K165" s="78"/>
      <c r="L165" s="78"/>
      <c r="M165" s="78"/>
      <c r="N165" s="108"/>
    </row>
    <row r="166" spans="1:14">
      <c r="A166" s="83" t="s">
        <v>129</v>
      </c>
      <c r="B166" s="78" t="s">
        <v>29</v>
      </c>
      <c r="C166" s="78" t="s">
        <v>34</v>
      </c>
      <c r="D166" s="78" t="s">
        <v>385</v>
      </c>
      <c r="E166" s="78" t="s">
        <v>422</v>
      </c>
      <c r="F166" s="92">
        <v>4675</v>
      </c>
      <c r="G166" s="92">
        <v>10</v>
      </c>
      <c r="H166" s="92">
        <v>4665</v>
      </c>
      <c r="I166" s="92">
        <v>99</v>
      </c>
      <c r="J166" s="78"/>
      <c r="K166" s="78"/>
      <c r="L166" s="78"/>
      <c r="M166" s="78"/>
      <c r="N166" s="108"/>
    </row>
    <row r="167" spans="1:14">
      <c r="A167" s="85"/>
      <c r="B167" s="86"/>
      <c r="C167" s="86"/>
      <c r="D167" s="86"/>
      <c r="E167" s="86"/>
      <c r="F167" s="117">
        <v>99256</v>
      </c>
      <c r="G167" s="86"/>
      <c r="H167" s="86"/>
      <c r="I167" s="86"/>
      <c r="J167" s="102" t="s">
        <v>754</v>
      </c>
      <c r="K167" s="130">
        <v>1047.0703125</v>
      </c>
      <c r="L167" s="80"/>
      <c r="M167" s="80"/>
      <c r="N167" s="121">
        <v>1171456</v>
      </c>
    </row>
    <row r="168" spans="1:14">
      <c r="A168" s="84" t="s">
        <v>131</v>
      </c>
      <c r="B168" s="77" t="s">
        <v>29</v>
      </c>
      <c r="C168" s="77" t="s">
        <v>34</v>
      </c>
      <c r="D168" s="77" t="s">
        <v>385</v>
      </c>
      <c r="E168" s="77" t="s">
        <v>420</v>
      </c>
      <c r="F168" s="91">
        <v>19093</v>
      </c>
      <c r="G168" s="91">
        <v>9590</v>
      </c>
      <c r="H168" s="91">
        <v>9503</v>
      </c>
      <c r="I168" s="91">
        <v>49</v>
      </c>
      <c r="J168" s="77" t="s">
        <v>131</v>
      </c>
      <c r="K168" s="77" t="s">
        <v>29</v>
      </c>
      <c r="L168" s="77" t="s">
        <v>382</v>
      </c>
      <c r="M168" s="77"/>
      <c r="N168" s="107">
        <v>1048593</v>
      </c>
    </row>
    <row r="169" spans="1:14">
      <c r="A169" s="83" t="s">
        <v>131</v>
      </c>
      <c r="B169" s="78" t="s">
        <v>29</v>
      </c>
      <c r="C169" s="78" t="s">
        <v>34</v>
      </c>
      <c r="D169" s="78" t="s">
        <v>385</v>
      </c>
      <c r="E169" s="78" t="s">
        <v>422</v>
      </c>
      <c r="F169" s="92">
        <v>4675</v>
      </c>
      <c r="G169" s="92">
        <v>10</v>
      </c>
      <c r="H169" s="92">
        <v>4665</v>
      </c>
      <c r="I169" s="92">
        <v>99</v>
      </c>
      <c r="J169" s="78" t="s">
        <v>131</v>
      </c>
      <c r="K169" s="78" t="s">
        <v>29</v>
      </c>
      <c r="L169" s="78" t="s">
        <v>384</v>
      </c>
      <c r="M169" s="78" t="s">
        <v>385</v>
      </c>
      <c r="N169" s="108">
        <v>102400</v>
      </c>
    </row>
    <row r="170" spans="1:14">
      <c r="A170" s="83" t="s">
        <v>131</v>
      </c>
      <c r="B170" s="78" t="s">
        <v>29</v>
      </c>
      <c r="C170" s="78" t="s">
        <v>34</v>
      </c>
      <c r="D170" s="78" t="s">
        <v>403</v>
      </c>
      <c r="E170" s="78" t="s">
        <v>493</v>
      </c>
      <c r="F170" s="92">
        <v>1032009</v>
      </c>
      <c r="G170" s="92">
        <v>134539</v>
      </c>
      <c r="H170" s="92">
        <v>897470</v>
      </c>
      <c r="I170" s="92">
        <v>86</v>
      </c>
      <c r="J170" s="78" t="s">
        <v>131</v>
      </c>
      <c r="K170" s="78" t="s">
        <v>29</v>
      </c>
      <c r="L170" s="78" t="s">
        <v>386</v>
      </c>
      <c r="M170" s="78" t="s">
        <v>385</v>
      </c>
      <c r="N170" s="108">
        <v>20480</v>
      </c>
    </row>
    <row r="171" spans="1:14">
      <c r="A171" s="83" t="s">
        <v>131</v>
      </c>
      <c r="B171" s="78" t="s">
        <v>29</v>
      </c>
      <c r="C171" s="78" t="s">
        <v>34</v>
      </c>
      <c r="D171" s="78" t="s">
        <v>385</v>
      </c>
      <c r="E171" s="78" t="s">
        <v>430</v>
      </c>
      <c r="F171" s="92">
        <v>471</v>
      </c>
      <c r="G171" s="92">
        <v>466</v>
      </c>
      <c r="H171" s="92">
        <v>5</v>
      </c>
      <c r="I171" s="92">
        <v>1</v>
      </c>
      <c r="J171" s="2"/>
      <c r="K171" s="2"/>
      <c r="L171" s="2"/>
      <c r="M171" s="2"/>
      <c r="N171" s="113"/>
    </row>
    <row r="172" spans="1:14">
      <c r="A172" s="83" t="s">
        <v>131</v>
      </c>
      <c r="B172" s="78" t="s">
        <v>29</v>
      </c>
      <c r="C172" s="78" t="s">
        <v>34</v>
      </c>
      <c r="D172" s="78" t="s">
        <v>385</v>
      </c>
      <c r="E172" s="78" t="s">
        <v>414</v>
      </c>
      <c r="F172" s="92">
        <v>65535</v>
      </c>
      <c r="G172" s="92">
        <v>46932</v>
      </c>
      <c r="H172" s="92">
        <v>18603</v>
      </c>
      <c r="I172" s="92">
        <v>28</v>
      </c>
      <c r="J172" s="2"/>
      <c r="K172" s="2"/>
      <c r="L172" s="2"/>
      <c r="M172" s="2"/>
      <c r="N172" s="113"/>
    </row>
    <row r="173" spans="1:14">
      <c r="A173" s="83" t="s">
        <v>131</v>
      </c>
      <c r="B173" s="78" t="s">
        <v>29</v>
      </c>
      <c r="C173" s="78" t="s">
        <v>34</v>
      </c>
      <c r="D173" s="78" t="s">
        <v>385</v>
      </c>
      <c r="E173" s="78" t="s">
        <v>421</v>
      </c>
      <c r="F173" s="92">
        <v>9482</v>
      </c>
      <c r="G173" s="92">
        <v>594</v>
      </c>
      <c r="H173" s="92">
        <v>8888</v>
      </c>
      <c r="I173" s="92">
        <v>93</v>
      </c>
      <c r="J173" s="2"/>
      <c r="K173" s="2"/>
      <c r="L173" s="2"/>
      <c r="M173" s="2"/>
      <c r="N173" s="113"/>
    </row>
    <row r="174" spans="1:14">
      <c r="A174" s="89"/>
      <c r="B174" s="90"/>
      <c r="C174" s="90"/>
      <c r="D174" s="90"/>
      <c r="E174" s="90"/>
      <c r="F174" s="98">
        <v>1131265</v>
      </c>
      <c r="G174" s="100"/>
      <c r="H174" s="100"/>
      <c r="I174" s="100"/>
      <c r="J174" s="76" t="s">
        <v>754</v>
      </c>
      <c r="K174" s="106">
        <v>39.265625</v>
      </c>
      <c r="L174" s="88"/>
      <c r="M174" s="88"/>
      <c r="N174" s="120">
        <v>1171473</v>
      </c>
    </row>
    <row r="175" spans="1:14">
      <c r="A175" s="84" t="s">
        <v>134</v>
      </c>
      <c r="B175" s="77" t="s">
        <v>29</v>
      </c>
      <c r="C175" s="77" t="s">
        <v>34</v>
      </c>
      <c r="D175" s="77" t="s">
        <v>385</v>
      </c>
      <c r="E175" s="77" t="s">
        <v>420</v>
      </c>
      <c r="F175" s="91">
        <v>19093</v>
      </c>
      <c r="G175" s="91">
        <v>862</v>
      </c>
      <c r="H175" s="91">
        <v>18231</v>
      </c>
      <c r="I175" s="91">
        <v>95</v>
      </c>
      <c r="J175" s="77" t="s">
        <v>134</v>
      </c>
      <c r="K175" s="77" t="s">
        <v>29</v>
      </c>
      <c r="L175" s="77" t="s">
        <v>386</v>
      </c>
      <c r="M175" s="77" t="s">
        <v>385</v>
      </c>
      <c r="N175" s="107">
        <v>102400</v>
      </c>
    </row>
    <row r="176" spans="1:14">
      <c r="A176" s="83" t="s">
        <v>134</v>
      </c>
      <c r="B176" s="78" t="s">
        <v>29</v>
      </c>
      <c r="C176" s="78" t="s">
        <v>34</v>
      </c>
      <c r="D176" s="78" t="s">
        <v>385</v>
      </c>
      <c r="E176" s="78" t="s">
        <v>430</v>
      </c>
      <c r="F176" s="92">
        <v>471</v>
      </c>
      <c r="G176" s="92">
        <v>471</v>
      </c>
      <c r="H176" s="92">
        <v>0</v>
      </c>
      <c r="I176" s="92">
        <v>0</v>
      </c>
      <c r="J176" s="78" t="s">
        <v>134</v>
      </c>
      <c r="K176" s="78" t="s">
        <v>29</v>
      </c>
      <c r="L176" s="78" t="s">
        <v>382</v>
      </c>
      <c r="M176" s="78"/>
      <c r="N176" s="108">
        <v>1048576</v>
      </c>
    </row>
    <row r="177" spans="1:14">
      <c r="A177" s="83" t="s">
        <v>134</v>
      </c>
      <c r="B177" s="78" t="s">
        <v>29</v>
      </c>
      <c r="C177" s="78" t="s">
        <v>34</v>
      </c>
      <c r="D177" s="78" t="s">
        <v>385</v>
      </c>
      <c r="E177" s="78" t="s">
        <v>422</v>
      </c>
      <c r="F177" s="92">
        <v>4675</v>
      </c>
      <c r="G177" s="92">
        <v>10</v>
      </c>
      <c r="H177" s="92">
        <v>4665</v>
      </c>
      <c r="I177" s="92">
        <v>99</v>
      </c>
      <c r="J177" s="78" t="s">
        <v>134</v>
      </c>
      <c r="K177" s="78" t="s">
        <v>29</v>
      </c>
      <c r="L177" s="78" t="s">
        <v>384</v>
      </c>
      <c r="M177" s="78" t="s">
        <v>385</v>
      </c>
      <c r="N177" s="108">
        <v>20480</v>
      </c>
    </row>
    <row r="178" spans="1:14">
      <c r="A178" s="83" t="s">
        <v>134</v>
      </c>
      <c r="B178" s="78" t="s">
        <v>29</v>
      </c>
      <c r="C178" s="78" t="s">
        <v>34</v>
      </c>
      <c r="D178" s="78" t="s">
        <v>385</v>
      </c>
      <c r="E178" s="78" t="s">
        <v>421</v>
      </c>
      <c r="F178" s="92">
        <v>9482</v>
      </c>
      <c r="G178" s="92">
        <v>3276</v>
      </c>
      <c r="H178" s="92">
        <v>6206</v>
      </c>
      <c r="I178" s="92">
        <v>65</v>
      </c>
      <c r="J178" s="78"/>
      <c r="K178" s="78"/>
      <c r="L178" s="78"/>
      <c r="M178" s="78"/>
      <c r="N178" s="108"/>
    </row>
    <row r="179" spans="1:14">
      <c r="A179" s="83" t="s">
        <v>134</v>
      </c>
      <c r="B179" s="78" t="s">
        <v>29</v>
      </c>
      <c r="C179" s="78" t="s">
        <v>34</v>
      </c>
      <c r="D179" s="78" t="s">
        <v>385</v>
      </c>
      <c r="E179" s="78" t="s">
        <v>414</v>
      </c>
      <c r="F179" s="92">
        <v>65535</v>
      </c>
      <c r="G179" s="92">
        <v>5493</v>
      </c>
      <c r="H179" s="92">
        <v>60042</v>
      </c>
      <c r="I179" s="92">
        <v>91</v>
      </c>
      <c r="J179" s="78"/>
      <c r="K179" s="78"/>
      <c r="L179" s="78"/>
      <c r="M179" s="78"/>
      <c r="N179" s="108"/>
    </row>
    <row r="180" spans="1:14">
      <c r="A180" s="87"/>
      <c r="B180" s="88"/>
      <c r="C180" s="88"/>
      <c r="D180" s="88"/>
      <c r="E180" s="88"/>
      <c r="F180" s="98">
        <v>99256</v>
      </c>
      <c r="G180" s="100"/>
      <c r="H180" s="100"/>
      <c r="I180" s="100"/>
      <c r="J180" s="76" t="s">
        <v>754</v>
      </c>
      <c r="K180" s="119">
        <v>1047.0703125</v>
      </c>
      <c r="L180" s="88"/>
      <c r="M180" s="88"/>
      <c r="N180" s="120">
        <v>1171456</v>
      </c>
    </row>
    <row r="181" spans="1:14">
      <c r="A181" s="84" t="s">
        <v>136</v>
      </c>
      <c r="B181" s="77" t="s">
        <v>29</v>
      </c>
      <c r="C181" s="77" t="s">
        <v>34</v>
      </c>
      <c r="D181" s="77" t="s">
        <v>403</v>
      </c>
      <c r="E181" s="124" t="s">
        <v>464</v>
      </c>
      <c r="F181" s="125">
        <v>1048445</v>
      </c>
      <c r="G181" s="91">
        <v>73774</v>
      </c>
      <c r="H181" s="91">
        <v>974671</v>
      </c>
      <c r="I181" s="91">
        <v>92</v>
      </c>
      <c r="J181" s="77" t="s">
        <v>136</v>
      </c>
      <c r="K181" s="77" t="s">
        <v>29</v>
      </c>
      <c r="L181" s="124" t="s">
        <v>386</v>
      </c>
      <c r="M181" s="124" t="s">
        <v>755</v>
      </c>
      <c r="N181" s="135">
        <v>102400</v>
      </c>
    </row>
    <row r="182" spans="1:14">
      <c r="A182" s="83" t="s">
        <v>136</v>
      </c>
      <c r="B182" s="78" t="s">
        <v>29</v>
      </c>
      <c r="C182" s="78" t="s">
        <v>34</v>
      </c>
      <c r="D182" s="78" t="s">
        <v>403</v>
      </c>
      <c r="E182" s="126" t="s">
        <v>498</v>
      </c>
      <c r="F182" s="127">
        <v>15728509</v>
      </c>
      <c r="G182" s="92">
        <v>11396610</v>
      </c>
      <c r="H182" s="92">
        <v>4331899</v>
      </c>
      <c r="I182" s="92">
        <v>27</v>
      </c>
      <c r="J182" s="78" t="s">
        <v>136</v>
      </c>
      <c r="K182" s="78" t="s">
        <v>29</v>
      </c>
      <c r="L182" s="126" t="s">
        <v>387</v>
      </c>
      <c r="M182" s="126" t="s">
        <v>756</v>
      </c>
      <c r="N182" s="136">
        <v>31457280</v>
      </c>
    </row>
    <row r="183" spans="1:14">
      <c r="A183" s="83" t="s">
        <v>136</v>
      </c>
      <c r="B183" s="78" t="s">
        <v>29</v>
      </c>
      <c r="C183" s="78" t="s">
        <v>34</v>
      </c>
      <c r="D183" s="78" t="s">
        <v>403</v>
      </c>
      <c r="E183" s="126" t="s">
        <v>499</v>
      </c>
      <c r="F183" s="127">
        <v>10485629</v>
      </c>
      <c r="G183" s="92">
        <v>9851363</v>
      </c>
      <c r="H183" s="92">
        <v>634266</v>
      </c>
      <c r="I183" s="92">
        <v>6</v>
      </c>
      <c r="J183" s="78" t="s">
        <v>136</v>
      </c>
      <c r="K183" s="78" t="s">
        <v>29</v>
      </c>
      <c r="L183" s="126" t="s">
        <v>394</v>
      </c>
      <c r="M183" s="126" t="s">
        <v>757</v>
      </c>
      <c r="N183" s="136">
        <v>5242880</v>
      </c>
    </row>
    <row r="184" spans="1:14">
      <c r="A184" s="83" t="s">
        <v>136</v>
      </c>
      <c r="B184" s="78" t="s">
        <v>29</v>
      </c>
      <c r="C184" s="78" t="s">
        <v>34</v>
      </c>
      <c r="D184" s="78" t="s">
        <v>403</v>
      </c>
      <c r="E184" s="126" t="s">
        <v>500</v>
      </c>
      <c r="F184" s="127">
        <v>3145597</v>
      </c>
      <c r="G184" s="92">
        <v>3102301</v>
      </c>
      <c r="H184" s="92">
        <v>43296</v>
      </c>
      <c r="I184" s="92">
        <v>1</v>
      </c>
      <c r="J184" s="78" t="s">
        <v>136</v>
      </c>
      <c r="K184" s="78" t="s">
        <v>29</v>
      </c>
      <c r="L184" s="126" t="s">
        <v>395</v>
      </c>
      <c r="M184" s="126" t="s">
        <v>758</v>
      </c>
      <c r="N184" s="136">
        <v>10485760</v>
      </c>
    </row>
    <row r="185" spans="1:14">
      <c r="A185" s="83" t="s">
        <v>136</v>
      </c>
      <c r="B185" s="78" t="s">
        <v>29</v>
      </c>
      <c r="C185" s="78" t="s">
        <v>34</v>
      </c>
      <c r="D185" s="78" t="s">
        <v>403</v>
      </c>
      <c r="E185" s="126" t="s">
        <v>501</v>
      </c>
      <c r="F185" s="127">
        <v>409596</v>
      </c>
      <c r="G185" s="92">
        <v>28650</v>
      </c>
      <c r="H185" s="92">
        <v>380946</v>
      </c>
      <c r="I185" s="92">
        <v>93</v>
      </c>
      <c r="J185" s="78" t="s">
        <v>136</v>
      </c>
      <c r="K185" s="78" t="s">
        <v>29</v>
      </c>
      <c r="L185" s="126" t="s">
        <v>396</v>
      </c>
      <c r="M185" s="126" t="s">
        <v>759</v>
      </c>
      <c r="N185" s="136">
        <v>10485760</v>
      </c>
    </row>
    <row r="186" spans="1:14">
      <c r="A186" s="83" t="s">
        <v>136</v>
      </c>
      <c r="B186" s="78" t="s">
        <v>29</v>
      </c>
      <c r="C186" s="78" t="s">
        <v>34</v>
      </c>
      <c r="D186" s="78" t="s">
        <v>403</v>
      </c>
      <c r="E186" s="126" t="s">
        <v>502</v>
      </c>
      <c r="F186" s="127">
        <v>5242749</v>
      </c>
      <c r="G186" s="92">
        <v>2996508</v>
      </c>
      <c r="H186" s="92">
        <v>2246241</v>
      </c>
      <c r="I186" s="92">
        <v>42</v>
      </c>
      <c r="J186" s="78" t="s">
        <v>136</v>
      </c>
      <c r="K186" s="78" t="s">
        <v>29</v>
      </c>
      <c r="L186" s="126" t="s">
        <v>397</v>
      </c>
      <c r="M186" s="126" t="s">
        <v>760</v>
      </c>
      <c r="N186" s="136">
        <v>15728640</v>
      </c>
    </row>
    <row r="187" spans="1:14">
      <c r="A187" s="83" t="s">
        <v>136</v>
      </c>
      <c r="B187" s="78" t="s">
        <v>29</v>
      </c>
      <c r="C187" s="78" t="s">
        <v>34</v>
      </c>
      <c r="D187" s="78" t="s">
        <v>403</v>
      </c>
      <c r="E187" s="126" t="s">
        <v>503</v>
      </c>
      <c r="F187" s="127">
        <v>20971259</v>
      </c>
      <c r="G187" s="92">
        <v>18034221</v>
      </c>
      <c r="H187" s="92">
        <v>2937038</v>
      </c>
      <c r="I187" s="92">
        <v>14</v>
      </c>
      <c r="J187" s="78" t="s">
        <v>136</v>
      </c>
      <c r="K187" s="78" t="s">
        <v>29</v>
      </c>
      <c r="L187" s="126" t="s">
        <v>398</v>
      </c>
      <c r="M187" s="126" t="s">
        <v>761</v>
      </c>
      <c r="N187" s="136">
        <v>3145728</v>
      </c>
    </row>
    <row r="188" spans="1:14">
      <c r="A188" s="83" t="s">
        <v>136</v>
      </c>
      <c r="B188" s="78" t="s">
        <v>29</v>
      </c>
      <c r="C188" s="78" t="s">
        <v>34</v>
      </c>
      <c r="D188" s="78" t="s">
        <v>403</v>
      </c>
      <c r="E188" s="126" t="s">
        <v>504</v>
      </c>
      <c r="F188" s="127">
        <v>31457019</v>
      </c>
      <c r="G188" s="92">
        <v>25356080</v>
      </c>
      <c r="H188" s="92">
        <v>6100939</v>
      </c>
      <c r="I188" s="92">
        <v>19</v>
      </c>
      <c r="J188" s="78" t="s">
        <v>136</v>
      </c>
      <c r="K188" s="78" t="s">
        <v>29</v>
      </c>
      <c r="L188" s="126" t="s">
        <v>399</v>
      </c>
      <c r="M188" s="126" t="s">
        <v>762</v>
      </c>
      <c r="N188" s="136">
        <v>16742400</v>
      </c>
    </row>
    <row r="189" spans="1:14">
      <c r="A189" s="83" t="s">
        <v>136</v>
      </c>
      <c r="B189" s="78" t="s">
        <v>29</v>
      </c>
      <c r="C189" s="78" t="s">
        <v>34</v>
      </c>
      <c r="D189" s="78" t="s">
        <v>403</v>
      </c>
      <c r="E189" s="126" t="s">
        <v>505</v>
      </c>
      <c r="F189" s="127">
        <v>16742269</v>
      </c>
      <c r="G189" s="92">
        <v>16489836</v>
      </c>
      <c r="H189" s="92">
        <v>252433</v>
      </c>
      <c r="I189" s="92">
        <v>1</v>
      </c>
      <c r="J189" s="78" t="s">
        <v>136</v>
      </c>
      <c r="K189" s="78" t="s">
        <v>29</v>
      </c>
      <c r="L189" s="126" t="s">
        <v>400</v>
      </c>
      <c r="M189" s="126" t="s">
        <v>763</v>
      </c>
      <c r="N189" s="136">
        <v>1048576</v>
      </c>
    </row>
    <row r="190" spans="1:14">
      <c r="A190" s="83" t="s">
        <v>136</v>
      </c>
      <c r="B190" s="78" t="s">
        <v>29</v>
      </c>
      <c r="C190" s="78" t="s">
        <v>34</v>
      </c>
      <c r="D190" s="78" t="s">
        <v>403</v>
      </c>
      <c r="E190" s="126" t="s">
        <v>506</v>
      </c>
      <c r="F190" s="127">
        <v>31457149</v>
      </c>
      <c r="G190" s="92">
        <v>278150</v>
      </c>
      <c r="H190" s="92">
        <v>31178999</v>
      </c>
      <c r="I190" s="92">
        <v>99</v>
      </c>
      <c r="J190" s="78" t="s">
        <v>136</v>
      </c>
      <c r="K190" s="78" t="s">
        <v>29</v>
      </c>
      <c r="L190" s="126" t="s">
        <v>389</v>
      </c>
      <c r="M190" s="126" t="s">
        <v>764</v>
      </c>
      <c r="N190" s="136">
        <v>15728640</v>
      </c>
    </row>
    <row r="191" spans="1:14">
      <c r="A191" s="83" t="s">
        <v>136</v>
      </c>
      <c r="B191" s="78" t="s">
        <v>29</v>
      </c>
      <c r="C191" s="78" t="s">
        <v>34</v>
      </c>
      <c r="D191" s="78" t="s">
        <v>385</v>
      </c>
      <c r="E191" s="126" t="s">
        <v>463</v>
      </c>
      <c r="F191" s="127">
        <v>102297</v>
      </c>
      <c r="G191" s="92">
        <v>89973</v>
      </c>
      <c r="H191" s="92">
        <v>12324</v>
      </c>
      <c r="I191" s="92">
        <v>12</v>
      </c>
      <c r="J191" s="78" t="s">
        <v>136</v>
      </c>
      <c r="K191" s="78" t="s">
        <v>29</v>
      </c>
      <c r="L191" s="126" t="s">
        <v>401</v>
      </c>
      <c r="M191" s="126" t="s">
        <v>760</v>
      </c>
      <c r="N191" s="136">
        <v>15728640</v>
      </c>
    </row>
    <row r="192" spans="1:14">
      <c r="A192" s="83" t="s">
        <v>136</v>
      </c>
      <c r="B192" s="78" t="s">
        <v>29</v>
      </c>
      <c r="C192" s="78" t="s">
        <v>34</v>
      </c>
      <c r="D192" s="78" t="s">
        <v>403</v>
      </c>
      <c r="E192" s="78" t="s">
        <v>507</v>
      </c>
      <c r="F192" s="92">
        <v>5242749</v>
      </c>
      <c r="G192" s="92">
        <v>655435</v>
      </c>
      <c r="H192" s="92">
        <v>4587314</v>
      </c>
      <c r="I192" s="92">
        <v>87</v>
      </c>
      <c r="J192" s="78" t="s">
        <v>136</v>
      </c>
      <c r="K192" s="78" t="s">
        <v>29</v>
      </c>
      <c r="L192" s="126" t="s">
        <v>384</v>
      </c>
      <c r="M192" s="126" t="s">
        <v>385</v>
      </c>
      <c r="N192" s="136">
        <v>409600</v>
      </c>
    </row>
    <row r="193" spans="1:14">
      <c r="A193" s="83"/>
      <c r="B193" s="78"/>
      <c r="C193" s="78"/>
      <c r="D193" s="78"/>
      <c r="E193" s="78"/>
      <c r="F193" s="92"/>
      <c r="G193" s="92"/>
      <c r="H193" s="92"/>
      <c r="I193" s="92"/>
      <c r="J193" s="78" t="s">
        <v>765</v>
      </c>
      <c r="K193" s="78"/>
      <c r="L193" s="138" t="s">
        <v>382</v>
      </c>
      <c r="M193" s="138"/>
      <c r="N193" s="139">
        <v>5242880</v>
      </c>
    </row>
    <row r="194" spans="1:14">
      <c r="A194" s="123"/>
      <c r="B194" s="2"/>
      <c r="C194" s="2"/>
      <c r="D194" s="2"/>
      <c r="E194" s="2"/>
      <c r="F194" s="2"/>
      <c r="G194" s="2"/>
      <c r="H194" s="2"/>
      <c r="I194" s="2"/>
      <c r="J194" s="78" t="s">
        <v>136</v>
      </c>
      <c r="K194" s="78" t="s">
        <v>29</v>
      </c>
      <c r="L194" s="126" t="s">
        <v>402</v>
      </c>
      <c r="M194" s="126" t="s">
        <v>759</v>
      </c>
      <c r="N194" s="136">
        <v>10485760</v>
      </c>
    </row>
    <row r="195" spans="1:14">
      <c r="A195" s="85"/>
      <c r="B195" s="86"/>
      <c r="C195" s="86"/>
      <c r="D195" s="86"/>
      <c r="E195" s="86"/>
      <c r="F195" s="117">
        <v>142033267</v>
      </c>
      <c r="G195" s="94"/>
      <c r="H195" s="94"/>
      <c r="I195" s="94"/>
      <c r="J195" s="102" t="s">
        <v>754</v>
      </c>
      <c r="K195" s="103">
        <v>1.6376953125</v>
      </c>
      <c r="L195" s="86"/>
      <c r="M195" s="86"/>
      <c r="N195" s="121">
        <v>142034944</v>
      </c>
    </row>
    <row r="196" spans="1:14">
      <c r="A196" s="84" t="s">
        <v>139</v>
      </c>
      <c r="B196" s="77" t="s">
        <v>29</v>
      </c>
      <c r="C196" s="77" t="s">
        <v>34</v>
      </c>
      <c r="D196" s="77" t="s">
        <v>385</v>
      </c>
      <c r="E196" s="77" t="s">
        <v>463</v>
      </c>
      <c r="F196" s="91">
        <v>153246</v>
      </c>
      <c r="G196" s="91">
        <v>62963</v>
      </c>
      <c r="H196" s="91">
        <v>90283</v>
      </c>
      <c r="I196" s="91">
        <v>58</v>
      </c>
      <c r="J196" s="77" t="s">
        <v>139</v>
      </c>
      <c r="K196" s="77" t="s">
        <v>29</v>
      </c>
      <c r="L196" s="77" t="s">
        <v>384</v>
      </c>
      <c r="M196" s="77" t="s">
        <v>385</v>
      </c>
      <c r="N196" s="107">
        <v>102400</v>
      </c>
    </row>
    <row r="197" spans="1:14">
      <c r="A197" s="83" t="s">
        <v>139</v>
      </c>
      <c r="B197" s="78" t="s">
        <v>29</v>
      </c>
      <c r="C197" s="78" t="s">
        <v>34</v>
      </c>
      <c r="D197" s="78" t="s">
        <v>403</v>
      </c>
      <c r="E197" s="78" t="s">
        <v>459</v>
      </c>
      <c r="F197" s="92">
        <v>102269</v>
      </c>
      <c r="G197" s="92">
        <v>164</v>
      </c>
      <c r="H197" s="92">
        <v>102105</v>
      </c>
      <c r="I197" s="92">
        <v>99</v>
      </c>
      <c r="J197" s="78" t="s">
        <v>139</v>
      </c>
      <c r="K197" s="78" t="s">
        <v>29</v>
      </c>
      <c r="L197" s="78" t="s">
        <v>386</v>
      </c>
      <c r="M197" s="78" t="s">
        <v>385</v>
      </c>
      <c r="N197" s="108">
        <v>153600</v>
      </c>
    </row>
    <row r="198" spans="1:14">
      <c r="A198" s="85"/>
      <c r="B198" s="86"/>
      <c r="C198" s="86"/>
      <c r="D198" s="86"/>
      <c r="E198" s="86"/>
      <c r="F198" s="117">
        <v>255515</v>
      </c>
      <c r="G198" s="94"/>
      <c r="H198" s="94"/>
      <c r="I198" s="94"/>
      <c r="J198" s="102" t="s">
        <v>754</v>
      </c>
      <c r="K198" s="103">
        <v>0.4736328125</v>
      </c>
      <c r="L198" s="86"/>
      <c r="M198" s="86"/>
      <c r="N198" s="121">
        <v>256000</v>
      </c>
    </row>
    <row r="199" spans="1:14">
      <c r="A199" s="84" t="s">
        <v>143</v>
      </c>
      <c r="B199" s="77" t="s">
        <v>29</v>
      </c>
      <c r="C199" s="77" t="s">
        <v>34</v>
      </c>
      <c r="D199" s="77" t="s">
        <v>385</v>
      </c>
      <c r="E199" s="77" t="s">
        <v>414</v>
      </c>
      <c r="F199" s="91">
        <v>65535</v>
      </c>
      <c r="G199" s="91">
        <v>18479</v>
      </c>
      <c r="H199" s="91">
        <v>47056</v>
      </c>
      <c r="I199" s="91">
        <v>71</v>
      </c>
      <c r="J199" s="77" t="s">
        <v>143</v>
      </c>
      <c r="K199" s="77" t="s">
        <v>29</v>
      </c>
      <c r="L199" s="77" t="s">
        <v>387</v>
      </c>
      <c r="M199" s="77"/>
      <c r="N199" s="107">
        <v>16384</v>
      </c>
    </row>
    <row r="200" spans="1:14">
      <c r="A200" s="83" t="s">
        <v>143</v>
      </c>
      <c r="B200" s="78" t="s">
        <v>29</v>
      </c>
      <c r="C200" s="78" t="s">
        <v>34</v>
      </c>
      <c r="D200" s="78" t="s">
        <v>403</v>
      </c>
      <c r="E200" s="78" t="s">
        <v>426</v>
      </c>
      <c r="F200" s="92">
        <v>15994</v>
      </c>
      <c r="G200" s="92">
        <v>6373</v>
      </c>
      <c r="H200" s="92">
        <v>9621</v>
      </c>
      <c r="I200" s="92">
        <v>60</v>
      </c>
      <c r="J200" s="78" t="s">
        <v>143</v>
      </c>
      <c r="K200" s="78" t="s">
        <v>29</v>
      </c>
      <c r="L200" s="78" t="s">
        <v>382</v>
      </c>
      <c r="M200" s="78"/>
      <c r="N200" s="108">
        <v>102400</v>
      </c>
    </row>
    <row r="201" spans="1:14">
      <c r="A201" s="83" t="s">
        <v>143</v>
      </c>
      <c r="B201" s="78" t="s">
        <v>29</v>
      </c>
      <c r="C201" s="78" t="s">
        <v>34</v>
      </c>
      <c r="D201" s="78" t="s">
        <v>403</v>
      </c>
      <c r="E201" s="78" t="s">
        <v>419</v>
      </c>
      <c r="F201" s="92">
        <v>100661</v>
      </c>
      <c r="G201" s="92">
        <v>48828</v>
      </c>
      <c r="H201" s="92">
        <v>51833</v>
      </c>
      <c r="I201" s="92">
        <v>51</v>
      </c>
      <c r="J201" s="78" t="s">
        <v>143</v>
      </c>
      <c r="K201" s="78" t="s">
        <v>29</v>
      </c>
      <c r="L201" s="78" t="s">
        <v>384</v>
      </c>
      <c r="M201" s="78" t="s">
        <v>385</v>
      </c>
      <c r="N201" s="108">
        <v>20480</v>
      </c>
    </row>
    <row r="202" spans="1:14">
      <c r="A202" s="83" t="s">
        <v>143</v>
      </c>
      <c r="B202" s="78" t="s">
        <v>29</v>
      </c>
      <c r="C202" s="78" t="s">
        <v>34</v>
      </c>
      <c r="D202" s="78" t="s">
        <v>385</v>
      </c>
      <c r="E202" s="78" t="s">
        <v>430</v>
      </c>
      <c r="F202" s="92">
        <v>471</v>
      </c>
      <c r="G202" s="92">
        <v>471</v>
      </c>
      <c r="H202" s="92">
        <v>0</v>
      </c>
      <c r="I202" s="92">
        <v>0</v>
      </c>
      <c r="J202" s="78" t="s">
        <v>143</v>
      </c>
      <c r="K202" s="78" t="s">
        <v>29</v>
      </c>
      <c r="L202" s="78" t="s">
        <v>386</v>
      </c>
      <c r="M202" s="78" t="s">
        <v>385</v>
      </c>
      <c r="N202" s="108">
        <v>102400</v>
      </c>
    </row>
    <row r="203" spans="1:14">
      <c r="A203" s="83" t="s">
        <v>143</v>
      </c>
      <c r="B203" s="78" t="s">
        <v>29</v>
      </c>
      <c r="C203" s="78" t="s">
        <v>34</v>
      </c>
      <c r="D203" s="78" t="s">
        <v>385</v>
      </c>
      <c r="E203" s="78" t="s">
        <v>420</v>
      </c>
      <c r="F203" s="92">
        <v>19093</v>
      </c>
      <c r="G203" s="92">
        <v>1284</v>
      </c>
      <c r="H203" s="92">
        <v>17809</v>
      </c>
      <c r="I203" s="92">
        <v>93</v>
      </c>
      <c r="J203" s="2"/>
      <c r="K203" s="2"/>
      <c r="L203" s="2"/>
      <c r="M203" s="2"/>
      <c r="N203" s="113"/>
    </row>
    <row r="204" spans="1:14">
      <c r="A204" s="83" t="s">
        <v>143</v>
      </c>
      <c r="B204" s="78" t="s">
        <v>29</v>
      </c>
      <c r="C204" s="78" t="s">
        <v>34</v>
      </c>
      <c r="D204" s="78" t="s">
        <v>385</v>
      </c>
      <c r="E204" s="78" t="s">
        <v>421</v>
      </c>
      <c r="F204" s="92">
        <v>9482</v>
      </c>
      <c r="G204" s="92">
        <v>1281</v>
      </c>
      <c r="H204" s="92">
        <v>8201</v>
      </c>
      <c r="I204" s="92">
        <v>86</v>
      </c>
      <c r="J204" s="2"/>
      <c r="K204" s="2"/>
      <c r="L204" s="2"/>
      <c r="M204" s="2"/>
      <c r="N204" s="113"/>
    </row>
    <row r="205" spans="1:14">
      <c r="A205" s="83" t="s">
        <v>143</v>
      </c>
      <c r="B205" s="78" t="s">
        <v>29</v>
      </c>
      <c r="C205" s="78" t="s">
        <v>34</v>
      </c>
      <c r="D205" s="78" t="s">
        <v>385</v>
      </c>
      <c r="E205" s="78" t="s">
        <v>422</v>
      </c>
      <c r="F205" s="92">
        <v>4675</v>
      </c>
      <c r="G205" s="92">
        <v>270</v>
      </c>
      <c r="H205" s="92">
        <v>4405</v>
      </c>
      <c r="I205" s="92">
        <v>94</v>
      </c>
      <c r="J205" s="2"/>
      <c r="K205" s="2"/>
      <c r="L205" s="2"/>
      <c r="M205" s="2"/>
      <c r="N205" s="113"/>
    </row>
    <row r="206" spans="1:14">
      <c r="A206" s="137"/>
      <c r="B206" s="9"/>
      <c r="C206" s="9"/>
      <c r="D206" s="9"/>
      <c r="E206" s="9"/>
      <c r="F206" s="98">
        <v>215911</v>
      </c>
      <c r="G206" s="100"/>
      <c r="H206" s="100"/>
      <c r="I206" s="100"/>
      <c r="J206" s="76" t="s">
        <v>754</v>
      </c>
      <c r="K206" s="106">
        <v>25.1494140625</v>
      </c>
      <c r="L206" s="88"/>
      <c r="M206" s="88"/>
      <c r="N206" s="120">
        <v>241664</v>
      </c>
    </row>
    <row r="207" spans="1:14">
      <c r="A207" s="84" t="s">
        <v>145</v>
      </c>
      <c r="B207" s="77" t="s">
        <v>29</v>
      </c>
      <c r="C207" s="77" t="s">
        <v>34</v>
      </c>
      <c r="D207" s="77" t="s">
        <v>385</v>
      </c>
      <c r="E207" s="77" t="s">
        <v>414</v>
      </c>
      <c r="F207" s="91">
        <v>65535</v>
      </c>
      <c r="G207" s="91">
        <v>8560</v>
      </c>
      <c r="H207" s="91">
        <v>56975</v>
      </c>
      <c r="I207" s="91">
        <v>86</v>
      </c>
      <c r="J207" s="77" t="s">
        <v>145</v>
      </c>
      <c r="K207" s="77" t="s">
        <v>29</v>
      </c>
      <c r="L207" s="77" t="s">
        <v>382</v>
      </c>
      <c r="M207" s="77"/>
      <c r="N207" s="107">
        <v>1048576</v>
      </c>
    </row>
    <row r="208" spans="1:14">
      <c r="A208" s="83" t="s">
        <v>145</v>
      </c>
      <c r="B208" s="78" t="s">
        <v>29</v>
      </c>
      <c r="C208" s="78" t="s">
        <v>34</v>
      </c>
      <c r="D208" s="78" t="s">
        <v>385</v>
      </c>
      <c r="E208" s="78" t="s">
        <v>421</v>
      </c>
      <c r="F208" s="92">
        <v>9482</v>
      </c>
      <c r="G208" s="92">
        <v>5006</v>
      </c>
      <c r="H208" s="92">
        <v>4476</v>
      </c>
      <c r="I208" s="92">
        <v>47</v>
      </c>
      <c r="J208" s="78" t="s">
        <v>145</v>
      </c>
      <c r="K208" s="78" t="s">
        <v>29</v>
      </c>
      <c r="L208" s="78" t="s">
        <v>384</v>
      </c>
      <c r="M208" s="78" t="s">
        <v>385</v>
      </c>
      <c r="N208" s="108">
        <v>20480</v>
      </c>
    </row>
    <row r="209" spans="1:14">
      <c r="A209" s="83" t="s">
        <v>145</v>
      </c>
      <c r="B209" s="78" t="s">
        <v>29</v>
      </c>
      <c r="C209" s="78" t="s">
        <v>34</v>
      </c>
      <c r="D209" s="78" t="s">
        <v>385</v>
      </c>
      <c r="E209" s="78" t="s">
        <v>430</v>
      </c>
      <c r="F209" s="92">
        <v>471</v>
      </c>
      <c r="G209" s="92">
        <v>468</v>
      </c>
      <c r="H209" s="92">
        <v>3</v>
      </c>
      <c r="I209" s="92">
        <v>0</v>
      </c>
      <c r="J209" s="78" t="s">
        <v>145</v>
      </c>
      <c r="K209" s="78" t="s">
        <v>29</v>
      </c>
      <c r="L209" s="78" t="s">
        <v>386</v>
      </c>
      <c r="M209" s="78" t="s">
        <v>385</v>
      </c>
      <c r="N209" s="108">
        <v>102400</v>
      </c>
    </row>
    <row r="210" spans="1:14">
      <c r="A210" s="83" t="s">
        <v>145</v>
      </c>
      <c r="B210" s="78" t="s">
        <v>29</v>
      </c>
      <c r="C210" s="78" t="s">
        <v>34</v>
      </c>
      <c r="D210" s="78" t="s">
        <v>385</v>
      </c>
      <c r="E210" s="78" t="s">
        <v>420</v>
      </c>
      <c r="F210" s="92">
        <v>19093</v>
      </c>
      <c r="G210" s="92">
        <v>245</v>
      </c>
      <c r="H210" s="92">
        <v>18848</v>
      </c>
      <c r="I210" s="92">
        <v>98</v>
      </c>
      <c r="J210" s="78"/>
      <c r="K210" s="78"/>
      <c r="L210" s="78"/>
      <c r="M210" s="78"/>
      <c r="N210" s="108"/>
    </row>
    <row r="211" spans="1:14">
      <c r="A211" s="83" t="s">
        <v>145</v>
      </c>
      <c r="B211" s="78" t="s">
        <v>29</v>
      </c>
      <c r="C211" s="78" t="s">
        <v>34</v>
      </c>
      <c r="D211" s="78" t="s">
        <v>385</v>
      </c>
      <c r="E211" s="78" t="s">
        <v>422</v>
      </c>
      <c r="F211" s="92">
        <v>4675</v>
      </c>
      <c r="G211" s="92">
        <v>10</v>
      </c>
      <c r="H211" s="92">
        <v>4665</v>
      </c>
      <c r="I211" s="92">
        <v>99</v>
      </c>
      <c r="J211" s="78"/>
      <c r="K211" s="78"/>
      <c r="L211" s="78"/>
      <c r="M211" s="78"/>
      <c r="N211" s="108"/>
    </row>
    <row r="212" spans="1:14">
      <c r="A212" s="87"/>
      <c r="B212" s="88"/>
      <c r="C212" s="88"/>
      <c r="D212" s="88"/>
      <c r="E212" s="88"/>
      <c r="F212" s="98">
        <v>99256</v>
      </c>
      <c r="G212" s="100"/>
      <c r="H212" s="100"/>
      <c r="I212" s="100"/>
      <c r="J212" s="76" t="s">
        <v>754</v>
      </c>
      <c r="K212" s="119">
        <v>1047.0703125</v>
      </c>
      <c r="L212" s="88"/>
      <c r="M212" s="88"/>
      <c r="N212" s="120">
        <v>1171456</v>
      </c>
    </row>
    <row r="213" spans="1:14">
      <c r="A213" s="84" t="s">
        <v>147</v>
      </c>
      <c r="B213" s="77" t="s">
        <v>29</v>
      </c>
      <c r="C213" s="77" t="s">
        <v>34</v>
      </c>
      <c r="D213" s="77" t="s">
        <v>403</v>
      </c>
      <c r="E213" s="77" t="s">
        <v>514</v>
      </c>
      <c r="F213" s="91">
        <v>352636</v>
      </c>
      <c r="G213" s="91">
        <v>253375</v>
      </c>
      <c r="H213" s="91">
        <v>99261</v>
      </c>
      <c r="I213" s="91">
        <v>28</v>
      </c>
      <c r="J213" s="77" t="s">
        <v>147</v>
      </c>
      <c r="K213" s="77" t="s">
        <v>29</v>
      </c>
      <c r="L213" s="77" t="s">
        <v>386</v>
      </c>
      <c r="M213" s="77" t="s">
        <v>385</v>
      </c>
      <c r="N213" s="107">
        <v>61440</v>
      </c>
    </row>
    <row r="214" spans="1:14">
      <c r="A214" s="83" t="s">
        <v>147</v>
      </c>
      <c r="B214" s="78" t="s">
        <v>29</v>
      </c>
      <c r="C214" s="78" t="s">
        <v>34</v>
      </c>
      <c r="D214" s="78" t="s">
        <v>385</v>
      </c>
      <c r="E214" s="78" t="s">
        <v>414</v>
      </c>
      <c r="F214" s="92">
        <v>28031</v>
      </c>
      <c r="G214" s="92">
        <v>8874</v>
      </c>
      <c r="H214" s="92">
        <v>19157</v>
      </c>
      <c r="I214" s="92">
        <v>68</v>
      </c>
      <c r="J214" s="78" t="s">
        <v>147</v>
      </c>
      <c r="K214" s="78" t="s">
        <v>29</v>
      </c>
      <c r="L214" s="78" t="s">
        <v>382</v>
      </c>
      <c r="M214" s="78"/>
      <c r="N214" s="108">
        <v>102400</v>
      </c>
    </row>
    <row r="215" spans="1:14">
      <c r="A215" s="83" t="s">
        <v>147</v>
      </c>
      <c r="B215" s="78" t="s">
        <v>29</v>
      </c>
      <c r="C215" s="78" t="s">
        <v>34</v>
      </c>
      <c r="D215" s="78" t="s">
        <v>403</v>
      </c>
      <c r="E215" s="78" t="s">
        <v>517</v>
      </c>
      <c r="F215" s="92">
        <v>251854</v>
      </c>
      <c r="G215" s="92">
        <v>228228</v>
      </c>
      <c r="H215" s="92">
        <v>23626</v>
      </c>
      <c r="I215" s="92">
        <v>9</v>
      </c>
      <c r="J215" s="78" t="s">
        <v>147</v>
      </c>
      <c r="K215" s="78" t="s">
        <v>29</v>
      </c>
      <c r="L215" s="78" t="s">
        <v>387</v>
      </c>
      <c r="M215" s="78"/>
      <c r="N215" s="108">
        <v>256000</v>
      </c>
    </row>
    <row r="216" spans="1:14">
      <c r="A216" s="83" t="s">
        <v>147</v>
      </c>
      <c r="B216" s="78" t="s">
        <v>29</v>
      </c>
      <c r="C216" s="78" t="s">
        <v>34</v>
      </c>
      <c r="D216" s="78" t="s">
        <v>385</v>
      </c>
      <c r="E216" s="78" t="s">
        <v>421</v>
      </c>
      <c r="F216" s="92">
        <v>9259</v>
      </c>
      <c r="G216" s="92">
        <v>654</v>
      </c>
      <c r="H216" s="92">
        <v>8605</v>
      </c>
      <c r="I216" s="92">
        <v>92</v>
      </c>
      <c r="J216" s="78" t="s">
        <v>147</v>
      </c>
      <c r="K216" s="78" t="s">
        <v>29</v>
      </c>
      <c r="L216" s="78" t="s">
        <v>384</v>
      </c>
      <c r="M216" s="78" t="s">
        <v>385</v>
      </c>
      <c r="N216" s="108">
        <v>256000</v>
      </c>
    </row>
    <row r="217" spans="1:14">
      <c r="A217" s="83" t="s">
        <v>147</v>
      </c>
      <c r="B217" s="78" t="s">
        <v>29</v>
      </c>
      <c r="C217" s="78" t="s">
        <v>34</v>
      </c>
      <c r="D217" s="78" t="s">
        <v>385</v>
      </c>
      <c r="E217" s="78" t="s">
        <v>420</v>
      </c>
      <c r="F217" s="92">
        <v>0</v>
      </c>
      <c r="G217" s="92">
        <v>0</v>
      </c>
      <c r="H217" s="92">
        <v>0</v>
      </c>
      <c r="I217" s="92">
        <v>0</v>
      </c>
      <c r="J217" s="78"/>
      <c r="K217" s="78"/>
      <c r="L217" s="78"/>
      <c r="M217" s="78"/>
      <c r="N217" s="108"/>
    </row>
    <row r="218" spans="1:14">
      <c r="A218" s="85"/>
      <c r="B218" s="86"/>
      <c r="C218" s="86"/>
      <c r="D218" s="86"/>
      <c r="E218" s="86"/>
      <c r="F218" s="117">
        <v>641780</v>
      </c>
      <c r="G218" s="94"/>
      <c r="H218" s="94"/>
      <c r="I218" s="94"/>
      <c r="J218" s="102" t="s">
        <v>754</v>
      </c>
      <c r="K218" s="103">
        <v>33.26171875</v>
      </c>
      <c r="L218" s="86"/>
      <c r="M218" s="86"/>
      <c r="N218" s="121">
        <v>675840</v>
      </c>
    </row>
    <row r="219" spans="1:14">
      <c r="A219" s="84" t="s">
        <v>150</v>
      </c>
      <c r="B219" s="77" t="s">
        <v>29</v>
      </c>
      <c r="C219" s="77" t="s">
        <v>34</v>
      </c>
      <c r="D219" s="77" t="s">
        <v>385</v>
      </c>
      <c r="E219" s="77" t="s">
        <v>430</v>
      </c>
      <c r="F219" s="91">
        <v>472</v>
      </c>
      <c r="G219" s="91">
        <v>469</v>
      </c>
      <c r="H219" s="91">
        <v>0</v>
      </c>
      <c r="I219" s="91">
        <v>100</v>
      </c>
      <c r="J219" s="77" t="s">
        <v>150</v>
      </c>
      <c r="K219" s="77" t="s">
        <v>29</v>
      </c>
      <c r="L219" s="77" t="s">
        <v>386</v>
      </c>
      <c r="M219" s="77" t="s">
        <v>385</v>
      </c>
      <c r="N219" s="107">
        <v>20480</v>
      </c>
    </row>
    <row r="220" spans="1:14">
      <c r="A220" s="83" t="s">
        <v>150</v>
      </c>
      <c r="B220" s="78" t="s">
        <v>29</v>
      </c>
      <c r="C220" s="78" t="s">
        <v>34</v>
      </c>
      <c r="D220" s="78" t="s">
        <v>385</v>
      </c>
      <c r="E220" s="78" t="s">
        <v>414</v>
      </c>
      <c r="F220" s="92">
        <v>64000</v>
      </c>
      <c r="G220" s="63">
        <v>6758.4</v>
      </c>
      <c r="H220" s="63">
        <v>56320</v>
      </c>
      <c r="I220" s="92">
        <v>11</v>
      </c>
      <c r="J220" s="78" t="s">
        <v>150</v>
      </c>
      <c r="K220" s="78" t="s">
        <v>29</v>
      </c>
      <c r="L220" s="78" t="s">
        <v>382</v>
      </c>
      <c r="M220" s="78"/>
      <c r="N220" s="108">
        <v>512000</v>
      </c>
    </row>
    <row r="221" spans="1:14">
      <c r="A221" s="123"/>
      <c r="B221" s="2"/>
      <c r="C221" s="2"/>
      <c r="D221" s="2"/>
      <c r="E221" s="2" t="s">
        <v>420</v>
      </c>
      <c r="F221" s="2">
        <v>19456</v>
      </c>
      <c r="G221" s="2">
        <v>18432</v>
      </c>
      <c r="H221" s="2">
        <v>618</v>
      </c>
      <c r="I221" s="2">
        <v>97</v>
      </c>
      <c r="J221" s="78" t="s">
        <v>150</v>
      </c>
      <c r="K221" s="78" t="s">
        <v>29</v>
      </c>
      <c r="L221" s="78" t="s">
        <v>384</v>
      </c>
      <c r="M221" s="78" t="s">
        <v>385</v>
      </c>
      <c r="N221" s="108">
        <v>102400</v>
      </c>
    </row>
    <row r="222" spans="1:14">
      <c r="A222" s="123"/>
      <c r="B222" s="2"/>
      <c r="C222" s="2"/>
      <c r="D222" s="2"/>
      <c r="E222" s="2" t="s">
        <v>421</v>
      </c>
      <c r="F222" s="2">
        <v>9523.2000000000007</v>
      </c>
      <c r="G222" s="2">
        <v>5017.6000000000004</v>
      </c>
      <c r="H222" s="2">
        <v>4096</v>
      </c>
      <c r="I222" s="2">
        <v>55</v>
      </c>
      <c r="J222" s="2"/>
      <c r="K222" s="2"/>
      <c r="L222" s="2"/>
      <c r="M222" s="2"/>
      <c r="N222" s="113"/>
    </row>
    <row r="223" spans="1:14">
      <c r="A223" s="123"/>
      <c r="B223" s="2"/>
      <c r="C223" s="2"/>
      <c r="D223" s="2"/>
      <c r="E223" s="2" t="s">
        <v>422</v>
      </c>
      <c r="F223" s="2">
        <v>4710.3999999999996</v>
      </c>
      <c r="G223" s="2">
        <v>124</v>
      </c>
      <c r="H223" s="2">
        <v>4300.8</v>
      </c>
      <c r="I223" s="2">
        <v>3</v>
      </c>
      <c r="J223" s="2"/>
      <c r="K223" s="2"/>
      <c r="L223" s="2"/>
      <c r="M223" s="2"/>
      <c r="N223" s="113"/>
    </row>
    <row r="224" spans="1:14">
      <c r="A224" s="123"/>
      <c r="B224" s="2"/>
      <c r="C224" s="2"/>
      <c r="D224" s="2"/>
      <c r="E224" s="2" t="s">
        <v>766</v>
      </c>
      <c r="F224" s="2">
        <v>504832</v>
      </c>
      <c r="G224" s="2">
        <v>478208</v>
      </c>
      <c r="H224" s="2">
        <v>93</v>
      </c>
      <c r="I224" s="2">
        <v>100</v>
      </c>
      <c r="J224" s="2"/>
      <c r="K224" s="2"/>
      <c r="L224" s="2"/>
      <c r="M224" s="2"/>
      <c r="N224" s="113"/>
    </row>
    <row r="225" spans="1:14">
      <c r="A225" s="87"/>
      <c r="B225" s="88"/>
      <c r="C225" s="88"/>
      <c r="D225" s="88"/>
      <c r="E225" s="88"/>
      <c r="F225" s="98">
        <v>602993.6</v>
      </c>
      <c r="G225" s="100"/>
      <c r="H225" s="100"/>
      <c r="I225" s="100"/>
      <c r="J225" s="76" t="s">
        <v>754</v>
      </c>
      <c r="K225" s="106">
        <v>31.139062500000001</v>
      </c>
      <c r="L225" s="88"/>
      <c r="M225" s="88"/>
      <c r="N225" s="120">
        <v>634880</v>
      </c>
    </row>
    <row r="226" spans="1:14">
      <c r="A226" s="84" t="s">
        <v>153</v>
      </c>
      <c r="B226" s="77" t="s">
        <v>29</v>
      </c>
      <c r="C226" s="77" t="s">
        <v>34</v>
      </c>
      <c r="D226" s="77" t="s">
        <v>403</v>
      </c>
      <c r="E226" s="77" t="s">
        <v>433</v>
      </c>
      <c r="F226" s="91">
        <v>654370</v>
      </c>
      <c r="G226" s="91">
        <v>504553</v>
      </c>
      <c r="H226" s="91">
        <v>149817</v>
      </c>
      <c r="I226" s="91">
        <v>22</v>
      </c>
      <c r="J226" s="77" t="s">
        <v>153</v>
      </c>
      <c r="K226" s="77" t="s">
        <v>29</v>
      </c>
      <c r="L226" s="77" t="s">
        <v>382</v>
      </c>
      <c r="M226" s="77"/>
      <c r="N226" s="107">
        <v>614400</v>
      </c>
    </row>
    <row r="227" spans="1:14">
      <c r="A227" s="83" t="s">
        <v>153</v>
      </c>
      <c r="B227" s="78" t="s">
        <v>29</v>
      </c>
      <c r="C227" s="78" t="s">
        <v>34</v>
      </c>
      <c r="D227" s="78" t="s">
        <v>385</v>
      </c>
      <c r="E227" s="78" t="s">
        <v>420</v>
      </c>
      <c r="F227" s="92">
        <v>18644</v>
      </c>
      <c r="G227" s="92">
        <v>348</v>
      </c>
      <c r="H227" s="92">
        <v>18296</v>
      </c>
      <c r="I227" s="92">
        <v>98</v>
      </c>
      <c r="J227" s="78" t="s">
        <v>153</v>
      </c>
      <c r="K227" s="78" t="s">
        <v>29</v>
      </c>
      <c r="L227" s="78" t="s">
        <v>384</v>
      </c>
      <c r="M227" s="78" t="s">
        <v>385</v>
      </c>
      <c r="N227" s="108">
        <v>51200</v>
      </c>
    </row>
    <row r="228" spans="1:14">
      <c r="A228" s="83" t="s">
        <v>153</v>
      </c>
      <c r="B228" s="78" t="s">
        <v>29</v>
      </c>
      <c r="C228" s="78" t="s">
        <v>34</v>
      </c>
      <c r="D228" s="78" t="s">
        <v>385</v>
      </c>
      <c r="E228" s="78" t="s">
        <v>421</v>
      </c>
      <c r="F228" s="92">
        <v>9259</v>
      </c>
      <c r="G228" s="92">
        <v>617</v>
      </c>
      <c r="H228" s="92">
        <v>8642</v>
      </c>
      <c r="I228" s="92">
        <v>93</v>
      </c>
      <c r="J228" s="78" t="s">
        <v>153</v>
      </c>
      <c r="K228" s="78" t="s">
        <v>29</v>
      </c>
      <c r="L228" s="78" t="s">
        <v>386</v>
      </c>
      <c r="M228" s="78" t="s">
        <v>385</v>
      </c>
      <c r="N228" s="108">
        <v>61440</v>
      </c>
    </row>
    <row r="229" spans="1:14">
      <c r="A229" s="83" t="s">
        <v>153</v>
      </c>
      <c r="B229" s="78" t="s">
        <v>29</v>
      </c>
      <c r="C229" s="78" t="s">
        <v>34</v>
      </c>
      <c r="D229" s="78" t="s">
        <v>385</v>
      </c>
      <c r="E229" s="78" t="s">
        <v>414</v>
      </c>
      <c r="F229" s="92">
        <v>28031</v>
      </c>
      <c r="G229" s="92">
        <v>9948</v>
      </c>
      <c r="H229" s="92">
        <v>18083</v>
      </c>
      <c r="I229" s="92">
        <v>64</v>
      </c>
      <c r="J229" s="2"/>
      <c r="K229" s="2"/>
      <c r="L229" s="2"/>
      <c r="M229" s="2"/>
      <c r="N229" s="113"/>
    </row>
    <row r="230" spans="1:14">
      <c r="A230" s="79"/>
      <c r="B230" s="80"/>
      <c r="C230" s="80"/>
      <c r="D230" s="80"/>
      <c r="E230" s="80"/>
      <c r="F230" s="117">
        <v>710304</v>
      </c>
      <c r="G230" s="94"/>
      <c r="H230" s="94"/>
      <c r="I230" s="94"/>
      <c r="J230" s="102" t="s">
        <v>754</v>
      </c>
      <c r="K230" s="103">
        <v>16.34375</v>
      </c>
      <c r="L230" s="86"/>
      <c r="M230" s="86"/>
      <c r="N230" s="121">
        <v>727040</v>
      </c>
    </row>
    <row r="231" spans="1:14">
      <c r="A231" s="84" t="s">
        <v>155</v>
      </c>
      <c r="B231" s="77" t="s">
        <v>29</v>
      </c>
      <c r="C231" s="77" t="s">
        <v>34</v>
      </c>
      <c r="D231" s="77" t="s">
        <v>385</v>
      </c>
      <c r="E231" s="77" t="s">
        <v>414</v>
      </c>
      <c r="F231" s="91">
        <v>28031</v>
      </c>
      <c r="G231" s="91">
        <v>9952</v>
      </c>
      <c r="H231" s="91">
        <v>18079</v>
      </c>
      <c r="I231" s="91">
        <v>64</v>
      </c>
      <c r="J231" s="77" t="s">
        <v>155</v>
      </c>
      <c r="K231" s="77" t="s">
        <v>29</v>
      </c>
      <c r="L231" s="77" t="s">
        <v>382</v>
      </c>
      <c r="M231" s="77"/>
      <c r="N231" s="107">
        <v>614400</v>
      </c>
    </row>
    <row r="232" spans="1:14">
      <c r="A232" s="83" t="s">
        <v>155</v>
      </c>
      <c r="B232" s="78" t="s">
        <v>29</v>
      </c>
      <c r="C232" s="78" t="s">
        <v>34</v>
      </c>
      <c r="D232" s="78" t="s">
        <v>403</v>
      </c>
      <c r="E232" s="78" t="s">
        <v>433</v>
      </c>
      <c r="F232" s="92">
        <v>654370</v>
      </c>
      <c r="G232" s="92">
        <v>505186</v>
      </c>
      <c r="H232" s="92">
        <v>149184</v>
      </c>
      <c r="I232" s="92">
        <v>22</v>
      </c>
      <c r="J232" s="78" t="s">
        <v>155</v>
      </c>
      <c r="K232" s="78" t="s">
        <v>29</v>
      </c>
      <c r="L232" s="78" t="s">
        <v>386</v>
      </c>
      <c r="M232" s="78" t="s">
        <v>385</v>
      </c>
      <c r="N232" s="108">
        <v>61440</v>
      </c>
    </row>
    <row r="233" spans="1:14">
      <c r="A233" s="83" t="s">
        <v>155</v>
      </c>
      <c r="B233" s="78" t="s">
        <v>29</v>
      </c>
      <c r="C233" s="78" t="s">
        <v>34</v>
      </c>
      <c r="D233" s="78" t="s">
        <v>385</v>
      </c>
      <c r="E233" s="78" t="s">
        <v>421</v>
      </c>
      <c r="F233" s="92">
        <v>9259</v>
      </c>
      <c r="G233" s="92">
        <v>656</v>
      </c>
      <c r="H233" s="92">
        <v>8603</v>
      </c>
      <c r="I233" s="92">
        <v>92</v>
      </c>
      <c r="J233" s="78" t="s">
        <v>155</v>
      </c>
      <c r="K233" s="78" t="s">
        <v>29</v>
      </c>
      <c r="L233" s="78" t="s">
        <v>384</v>
      </c>
      <c r="M233" s="78" t="s">
        <v>385</v>
      </c>
      <c r="N233" s="108">
        <v>51200</v>
      </c>
    </row>
    <row r="234" spans="1:14">
      <c r="A234" s="83" t="s">
        <v>155</v>
      </c>
      <c r="B234" s="78" t="s">
        <v>29</v>
      </c>
      <c r="C234" s="78" t="s">
        <v>34</v>
      </c>
      <c r="D234" s="78" t="s">
        <v>385</v>
      </c>
      <c r="E234" s="78" t="s">
        <v>420</v>
      </c>
      <c r="F234" s="92">
        <v>18644</v>
      </c>
      <c r="G234" s="92">
        <v>929</v>
      </c>
      <c r="H234" s="92">
        <v>17715</v>
      </c>
      <c r="I234" s="92">
        <v>95</v>
      </c>
      <c r="J234" s="78"/>
      <c r="K234" s="78"/>
      <c r="L234" s="78"/>
      <c r="M234" s="78"/>
      <c r="N234" s="108"/>
    </row>
    <row r="235" spans="1:14">
      <c r="A235" s="85"/>
      <c r="B235" s="86"/>
      <c r="C235" s="86"/>
      <c r="D235" s="86"/>
      <c r="E235" s="86"/>
      <c r="F235" s="117">
        <v>710304</v>
      </c>
      <c r="G235" s="94"/>
      <c r="H235" s="94"/>
      <c r="I235" s="94"/>
      <c r="J235" s="102" t="s">
        <v>754</v>
      </c>
      <c r="K235" s="103">
        <v>16.34375</v>
      </c>
      <c r="L235" s="86"/>
      <c r="M235" s="86"/>
      <c r="N235" s="121">
        <v>727040</v>
      </c>
    </row>
    <row r="236" spans="1:14">
      <c r="A236" s="84" t="s">
        <v>159</v>
      </c>
      <c r="B236" s="77" t="s">
        <v>29</v>
      </c>
      <c r="C236" s="77" t="s">
        <v>34</v>
      </c>
      <c r="D236" s="77" t="s">
        <v>403</v>
      </c>
      <c r="E236" s="77" t="s">
        <v>526</v>
      </c>
      <c r="F236" s="91">
        <v>3003741</v>
      </c>
      <c r="G236" s="91">
        <v>1899818</v>
      </c>
      <c r="H236" s="91">
        <v>1103923</v>
      </c>
      <c r="I236" s="91">
        <v>36</v>
      </c>
      <c r="J236" s="77" t="s">
        <v>159</v>
      </c>
      <c r="K236" s="77" t="s">
        <v>29</v>
      </c>
      <c r="L236" s="77" t="s">
        <v>395</v>
      </c>
      <c r="M236" s="77"/>
      <c r="N236" s="107">
        <v>1048576</v>
      </c>
    </row>
    <row r="237" spans="1:14">
      <c r="A237" s="83" t="s">
        <v>159</v>
      </c>
      <c r="B237" s="78" t="s">
        <v>29</v>
      </c>
      <c r="C237" s="78" t="s">
        <v>34</v>
      </c>
      <c r="D237" s="78" t="s">
        <v>385</v>
      </c>
      <c r="E237" s="78" t="s">
        <v>421</v>
      </c>
      <c r="F237" s="92">
        <v>9482</v>
      </c>
      <c r="G237" s="92">
        <v>1455</v>
      </c>
      <c r="H237" s="92">
        <v>8027</v>
      </c>
      <c r="I237" s="92">
        <v>84</v>
      </c>
      <c r="J237" s="78" t="s">
        <v>159</v>
      </c>
      <c r="K237" s="78" t="s">
        <v>29</v>
      </c>
      <c r="L237" s="78" t="s">
        <v>386</v>
      </c>
      <c r="M237" s="78" t="s">
        <v>385</v>
      </c>
      <c r="N237" s="108">
        <v>102400</v>
      </c>
    </row>
    <row r="238" spans="1:14">
      <c r="A238" s="83" t="s">
        <v>159</v>
      </c>
      <c r="B238" s="78" t="s">
        <v>29</v>
      </c>
      <c r="C238" s="78" t="s">
        <v>34</v>
      </c>
      <c r="D238" s="78" t="s">
        <v>540</v>
      </c>
      <c r="E238" s="78" t="s">
        <v>541</v>
      </c>
      <c r="F238" s="92">
        <v>1031991</v>
      </c>
      <c r="G238" s="92">
        <v>702</v>
      </c>
      <c r="H238" s="92">
        <v>1031289</v>
      </c>
      <c r="I238" s="92">
        <v>99</v>
      </c>
      <c r="J238" s="78" t="s">
        <v>159</v>
      </c>
      <c r="K238" s="78" t="s">
        <v>29</v>
      </c>
      <c r="L238" s="78" t="s">
        <v>398</v>
      </c>
      <c r="M238" s="78"/>
      <c r="N238" s="108">
        <v>3145728</v>
      </c>
    </row>
    <row r="239" spans="1:14">
      <c r="A239" s="83" t="s">
        <v>159</v>
      </c>
      <c r="B239" s="78" t="s">
        <v>29</v>
      </c>
      <c r="C239" s="78" t="s">
        <v>34</v>
      </c>
      <c r="D239" s="78" t="s">
        <v>403</v>
      </c>
      <c r="E239" s="78" t="s">
        <v>542</v>
      </c>
      <c r="F239" s="92">
        <v>2064117</v>
      </c>
      <c r="G239" s="92">
        <v>1603358</v>
      </c>
      <c r="H239" s="92">
        <v>460759</v>
      </c>
      <c r="I239" s="92">
        <v>22</v>
      </c>
      <c r="J239" s="78" t="s">
        <v>159</v>
      </c>
      <c r="K239" s="78" t="s">
        <v>29</v>
      </c>
      <c r="L239" s="78" t="s">
        <v>384</v>
      </c>
      <c r="M239" s="78" t="s">
        <v>385</v>
      </c>
      <c r="N239" s="108">
        <v>20480</v>
      </c>
    </row>
    <row r="240" spans="1:14">
      <c r="A240" s="83" t="s">
        <v>159</v>
      </c>
      <c r="B240" s="78" t="s">
        <v>29</v>
      </c>
      <c r="C240" s="78" t="s">
        <v>34</v>
      </c>
      <c r="D240" s="78" t="s">
        <v>403</v>
      </c>
      <c r="E240" s="78" t="s">
        <v>543</v>
      </c>
      <c r="F240" s="92">
        <v>6241758</v>
      </c>
      <c r="G240" s="92">
        <v>2210816</v>
      </c>
      <c r="H240" s="92">
        <v>4030942</v>
      </c>
      <c r="I240" s="92">
        <v>64</v>
      </c>
      <c r="J240" s="78" t="s">
        <v>159</v>
      </c>
      <c r="K240" s="78" t="s">
        <v>29</v>
      </c>
      <c r="L240" s="78" t="s">
        <v>382</v>
      </c>
      <c r="M240" s="78"/>
      <c r="N240" s="108">
        <v>6291456</v>
      </c>
    </row>
    <row r="241" spans="1:14">
      <c r="A241" s="83" t="s">
        <v>159</v>
      </c>
      <c r="B241" s="78" t="s">
        <v>29</v>
      </c>
      <c r="C241" s="78" t="s">
        <v>34</v>
      </c>
      <c r="D241" s="78" t="s">
        <v>385</v>
      </c>
      <c r="E241" s="78" t="s">
        <v>544</v>
      </c>
      <c r="F241" s="92">
        <v>19093</v>
      </c>
      <c r="G241" s="92">
        <v>244</v>
      </c>
      <c r="H241" s="92">
        <v>18849</v>
      </c>
      <c r="I241" s="92">
        <v>98</v>
      </c>
      <c r="J241" s="78" t="s">
        <v>159</v>
      </c>
      <c r="K241" s="78" t="s">
        <v>29</v>
      </c>
      <c r="L241" s="78" t="s">
        <v>387</v>
      </c>
      <c r="M241" s="78"/>
      <c r="N241" s="108">
        <v>2097152</v>
      </c>
    </row>
    <row r="242" spans="1:14">
      <c r="A242" s="83" t="s">
        <v>159</v>
      </c>
      <c r="B242" s="78" t="s">
        <v>29</v>
      </c>
      <c r="C242" s="78" t="s">
        <v>34</v>
      </c>
      <c r="D242" s="78" t="s">
        <v>540</v>
      </c>
      <c r="E242" s="78" t="s">
        <v>420</v>
      </c>
      <c r="F242" s="92">
        <v>3096235</v>
      </c>
      <c r="G242" s="92">
        <v>2339212</v>
      </c>
      <c r="H242" s="92">
        <v>757023</v>
      </c>
      <c r="I242" s="92">
        <v>24</v>
      </c>
      <c r="J242" s="78" t="s">
        <v>159</v>
      </c>
      <c r="K242" s="78" t="s">
        <v>29</v>
      </c>
      <c r="L242" s="78" t="s">
        <v>389</v>
      </c>
      <c r="M242" s="78"/>
      <c r="N242" s="108">
        <v>3145728</v>
      </c>
    </row>
    <row r="243" spans="1:14">
      <c r="A243" s="83" t="s">
        <v>159</v>
      </c>
      <c r="B243" s="78" t="s">
        <v>29</v>
      </c>
      <c r="C243" s="78" t="s">
        <v>34</v>
      </c>
      <c r="D243" s="78" t="s">
        <v>385</v>
      </c>
      <c r="E243" s="78" t="s">
        <v>414</v>
      </c>
      <c r="F243" s="92">
        <v>65535</v>
      </c>
      <c r="G243" s="92">
        <v>5194</v>
      </c>
      <c r="H243" s="92">
        <v>60341</v>
      </c>
      <c r="I243" s="92">
        <v>92</v>
      </c>
      <c r="J243" s="78"/>
      <c r="K243" s="78"/>
      <c r="L243" s="78"/>
      <c r="M243" s="78"/>
      <c r="N243" s="108"/>
    </row>
    <row r="244" spans="1:14">
      <c r="A244" s="83" t="s">
        <v>159</v>
      </c>
      <c r="B244" s="78" t="s">
        <v>29</v>
      </c>
      <c r="C244" s="78" t="s">
        <v>34</v>
      </c>
      <c r="D244" s="78" t="s">
        <v>385</v>
      </c>
      <c r="E244" s="78" t="s">
        <v>422</v>
      </c>
      <c r="F244" s="92">
        <v>4675</v>
      </c>
      <c r="G244" s="92">
        <v>10</v>
      </c>
      <c r="H244" s="92">
        <v>4665</v>
      </c>
      <c r="I244" s="92">
        <v>99</v>
      </c>
      <c r="J244" s="2"/>
      <c r="K244" s="2"/>
      <c r="L244" s="2"/>
      <c r="M244" s="2"/>
      <c r="N244" s="113"/>
    </row>
    <row r="245" spans="1:14">
      <c r="A245" s="83" t="s">
        <v>159</v>
      </c>
      <c r="B245" s="78" t="s">
        <v>29</v>
      </c>
      <c r="C245" s="78" t="s">
        <v>34</v>
      </c>
      <c r="D245" s="78" t="s">
        <v>385</v>
      </c>
      <c r="E245" s="78" t="s">
        <v>430</v>
      </c>
      <c r="F245" s="92">
        <v>471</v>
      </c>
      <c r="G245" s="92">
        <v>462</v>
      </c>
      <c r="H245" s="92">
        <v>9</v>
      </c>
      <c r="I245" s="92">
        <v>2</v>
      </c>
      <c r="J245" s="2"/>
      <c r="K245" s="2"/>
      <c r="L245" s="2"/>
      <c r="M245" s="2"/>
      <c r="N245" s="113"/>
    </row>
    <row r="246" spans="1:14">
      <c r="A246" s="87"/>
      <c r="B246" s="88"/>
      <c r="C246" s="88"/>
      <c r="D246" s="88"/>
      <c r="E246" s="88"/>
      <c r="F246" s="98">
        <v>15537098</v>
      </c>
      <c r="G246" s="100"/>
      <c r="H246" s="100"/>
      <c r="I246" s="100"/>
      <c r="J246" s="76" t="s">
        <v>754</v>
      </c>
      <c r="K246" s="119">
        <v>307.052734375</v>
      </c>
      <c r="L246" s="88"/>
      <c r="M246" s="88"/>
      <c r="N246" s="120">
        <v>15851520</v>
      </c>
    </row>
    <row r="247" spans="1:14">
      <c r="A247" s="84" t="s">
        <v>162</v>
      </c>
      <c r="B247" s="77" t="s">
        <v>29</v>
      </c>
      <c r="C247" s="77" t="s">
        <v>34</v>
      </c>
      <c r="D247" s="77" t="s">
        <v>385</v>
      </c>
      <c r="E247" s="77" t="s">
        <v>414</v>
      </c>
      <c r="F247" s="91">
        <v>51447</v>
      </c>
      <c r="G247" s="91">
        <v>13459</v>
      </c>
      <c r="H247" s="91">
        <v>37988</v>
      </c>
      <c r="I247" s="91">
        <v>73</v>
      </c>
      <c r="J247" s="77" t="s">
        <v>162</v>
      </c>
      <c r="K247" s="77" t="s">
        <v>29</v>
      </c>
      <c r="L247" s="77" t="s">
        <v>386</v>
      </c>
      <c r="M247" s="77" t="s">
        <v>385</v>
      </c>
      <c r="N247" s="107">
        <v>327680</v>
      </c>
    </row>
    <row r="248" spans="1:14">
      <c r="A248" s="83" t="s">
        <v>162</v>
      </c>
      <c r="B248" s="78" t="s">
        <v>29</v>
      </c>
      <c r="C248" s="78" t="s">
        <v>34</v>
      </c>
      <c r="D248" s="78" t="s">
        <v>385</v>
      </c>
      <c r="E248" s="78" t="s">
        <v>421</v>
      </c>
      <c r="F248" s="92">
        <v>19557</v>
      </c>
      <c r="G248" s="92">
        <v>409</v>
      </c>
      <c r="H248" s="92">
        <v>19148</v>
      </c>
      <c r="I248" s="92">
        <v>97</v>
      </c>
      <c r="J248" s="78" t="s">
        <v>162</v>
      </c>
      <c r="K248" s="78" t="s">
        <v>29</v>
      </c>
      <c r="L248" s="78" t="s">
        <v>382</v>
      </c>
      <c r="M248" s="78"/>
      <c r="N248" s="108">
        <v>2097152</v>
      </c>
    </row>
    <row r="249" spans="1:14">
      <c r="A249" s="83" t="s">
        <v>162</v>
      </c>
      <c r="B249" s="78" t="s">
        <v>29</v>
      </c>
      <c r="C249" s="78" t="s">
        <v>34</v>
      </c>
      <c r="D249" s="78" t="s">
        <v>403</v>
      </c>
      <c r="E249" s="78" t="s">
        <v>475</v>
      </c>
      <c r="F249" s="92">
        <v>2064117</v>
      </c>
      <c r="G249" s="92">
        <v>117570</v>
      </c>
      <c r="H249" s="92">
        <v>1946547</v>
      </c>
      <c r="I249" s="92">
        <v>94</v>
      </c>
      <c r="J249" s="78" t="s">
        <v>162</v>
      </c>
      <c r="K249" s="78" t="s">
        <v>29</v>
      </c>
      <c r="L249" s="78" t="s">
        <v>384</v>
      </c>
      <c r="M249" s="78" t="s">
        <v>385</v>
      </c>
      <c r="N249" s="108">
        <v>30720</v>
      </c>
    </row>
    <row r="250" spans="1:14">
      <c r="A250" s="83" t="s">
        <v>162</v>
      </c>
      <c r="B250" s="78" t="s">
        <v>29</v>
      </c>
      <c r="C250" s="78" t="s">
        <v>34</v>
      </c>
      <c r="D250" s="78" t="s">
        <v>385</v>
      </c>
      <c r="E250" s="78" t="s">
        <v>422</v>
      </c>
      <c r="F250" s="92">
        <v>9714</v>
      </c>
      <c r="G250" s="92">
        <v>22</v>
      </c>
      <c r="H250" s="92">
        <v>9692</v>
      </c>
      <c r="I250" s="92">
        <v>99</v>
      </c>
      <c r="J250" s="78" t="s">
        <v>167</v>
      </c>
      <c r="K250" s="78" t="s">
        <v>29</v>
      </c>
      <c r="L250" s="78" t="s">
        <v>386</v>
      </c>
      <c r="M250" s="78" t="s">
        <v>385</v>
      </c>
      <c r="N250" s="108">
        <v>102400</v>
      </c>
    </row>
    <row r="251" spans="1:14">
      <c r="A251" s="83" t="s">
        <v>162</v>
      </c>
      <c r="B251" s="78" t="s">
        <v>29</v>
      </c>
      <c r="C251" s="78" t="s">
        <v>34</v>
      </c>
      <c r="D251" s="78" t="s">
        <v>385</v>
      </c>
      <c r="E251" s="78" t="s">
        <v>423</v>
      </c>
      <c r="F251" s="92">
        <v>14636</v>
      </c>
      <c r="G251" s="92">
        <v>96</v>
      </c>
      <c r="H251" s="92">
        <v>14540</v>
      </c>
      <c r="I251" s="92">
        <v>99</v>
      </c>
      <c r="J251" s="78"/>
      <c r="K251" s="78"/>
      <c r="L251" s="78"/>
      <c r="M251" s="78"/>
      <c r="N251" s="108"/>
    </row>
    <row r="252" spans="1:14">
      <c r="A252" s="83" t="s">
        <v>162</v>
      </c>
      <c r="B252" s="78" t="s">
        <v>29</v>
      </c>
      <c r="C252" s="78" t="s">
        <v>34</v>
      </c>
      <c r="D252" s="78" t="s">
        <v>385</v>
      </c>
      <c r="E252" s="78" t="s">
        <v>420</v>
      </c>
      <c r="F252" s="92">
        <v>9950</v>
      </c>
      <c r="G252" s="92">
        <v>4826</v>
      </c>
      <c r="H252" s="92">
        <v>5124</v>
      </c>
      <c r="I252" s="92">
        <v>51</v>
      </c>
      <c r="J252" s="78"/>
      <c r="K252" s="78"/>
      <c r="L252" s="78"/>
      <c r="M252" s="78"/>
      <c r="N252" s="108"/>
    </row>
    <row r="253" spans="1:14">
      <c r="A253" s="85"/>
      <c r="B253" s="86"/>
      <c r="C253" s="86"/>
      <c r="D253" s="86"/>
      <c r="E253" s="86"/>
      <c r="F253" s="117">
        <v>2169421</v>
      </c>
      <c r="G253" s="94"/>
      <c r="H253" s="94"/>
      <c r="I253" s="94"/>
      <c r="J253" s="102" t="s">
        <v>754</v>
      </c>
      <c r="K253" s="130">
        <v>379.4248046875</v>
      </c>
      <c r="L253" s="86"/>
      <c r="M253" s="86"/>
      <c r="N253" s="121">
        <v>2557952</v>
      </c>
    </row>
    <row r="254" spans="1:14">
      <c r="A254" s="84" t="s">
        <v>169</v>
      </c>
      <c r="B254" s="114"/>
      <c r="C254" s="114"/>
      <c r="D254" s="114"/>
      <c r="E254" s="114" t="s">
        <v>414</v>
      </c>
      <c r="F254" s="114">
        <v>36864</v>
      </c>
      <c r="G254" s="114">
        <v>36864</v>
      </c>
      <c r="H254" s="114">
        <v>36864</v>
      </c>
      <c r="I254" s="114">
        <v>35</v>
      </c>
      <c r="J254" s="77" t="s">
        <v>169</v>
      </c>
      <c r="K254" s="77" t="s">
        <v>29</v>
      </c>
      <c r="L254" s="77" t="s">
        <v>386</v>
      </c>
      <c r="M254" s="77" t="s">
        <v>385</v>
      </c>
      <c r="N254" s="107">
        <v>61440</v>
      </c>
    </row>
    <row r="255" spans="1:14">
      <c r="A255" s="123"/>
      <c r="B255" s="2"/>
      <c r="C255" s="2"/>
      <c r="D255" s="2"/>
      <c r="E255" s="2" t="s">
        <v>420</v>
      </c>
      <c r="F255" s="2">
        <v>9932.7999999999993</v>
      </c>
      <c r="G255" s="2">
        <v>892</v>
      </c>
      <c r="H255" s="2">
        <v>8499.2000000000007</v>
      </c>
      <c r="I255" s="2">
        <v>10</v>
      </c>
      <c r="J255" s="2"/>
      <c r="K255" s="2"/>
      <c r="L255" s="2"/>
      <c r="M255" s="2"/>
      <c r="N255" s="113"/>
    </row>
    <row r="256" spans="1:14">
      <c r="A256" s="123"/>
      <c r="B256" s="2"/>
      <c r="C256" s="2"/>
      <c r="D256" s="2"/>
      <c r="E256" s="2" t="s">
        <v>421</v>
      </c>
      <c r="F256" s="2">
        <v>9932.7999999999993</v>
      </c>
      <c r="G256" s="2">
        <v>323</v>
      </c>
      <c r="H256" s="2">
        <v>9113.6</v>
      </c>
      <c r="I256" s="2">
        <v>4</v>
      </c>
      <c r="J256" s="2"/>
      <c r="K256" s="2"/>
      <c r="L256" s="2"/>
      <c r="M256" s="2"/>
      <c r="N256" s="113"/>
    </row>
    <row r="257" spans="1:14">
      <c r="A257" s="85"/>
      <c r="B257" s="86"/>
      <c r="C257" s="86"/>
      <c r="D257" s="86"/>
      <c r="E257" s="86"/>
      <c r="F257" s="117">
        <v>56729.599999999999</v>
      </c>
      <c r="G257" s="94"/>
      <c r="H257" s="94"/>
      <c r="I257" s="94"/>
      <c r="J257" s="102" t="s">
        <v>754</v>
      </c>
      <c r="K257" s="103">
        <v>4.5999999999999899</v>
      </c>
      <c r="L257" s="86"/>
      <c r="M257" s="86"/>
      <c r="N257" s="121">
        <v>61440</v>
      </c>
    </row>
    <row r="258" spans="1:14">
      <c r="A258" s="84" t="s">
        <v>172</v>
      </c>
      <c r="B258" s="77" t="s">
        <v>173</v>
      </c>
      <c r="C258" s="77" t="s">
        <v>34</v>
      </c>
      <c r="D258" s="140" t="s">
        <v>385</v>
      </c>
      <c r="E258" s="140" t="s">
        <v>420</v>
      </c>
      <c r="F258" s="91">
        <v>0</v>
      </c>
      <c r="G258" s="145"/>
      <c r="H258" s="145"/>
      <c r="I258" s="145"/>
      <c r="J258" s="77" t="s">
        <v>172</v>
      </c>
      <c r="K258" s="77" t="s">
        <v>173</v>
      </c>
      <c r="L258" s="77" t="s">
        <v>384</v>
      </c>
      <c r="M258" s="77" t="s">
        <v>385</v>
      </c>
      <c r="N258" s="107">
        <v>5120</v>
      </c>
    </row>
    <row r="259" spans="1:14">
      <c r="A259" s="83" t="s">
        <v>172</v>
      </c>
      <c r="B259" s="78" t="s">
        <v>173</v>
      </c>
      <c r="C259" s="78" t="s">
        <v>34</v>
      </c>
      <c r="D259" s="23" t="s">
        <v>385</v>
      </c>
      <c r="E259" s="23" t="s">
        <v>414</v>
      </c>
      <c r="F259" s="92">
        <v>0</v>
      </c>
      <c r="G259" s="101"/>
      <c r="H259" s="101"/>
      <c r="I259" s="101"/>
      <c r="J259" s="78" t="s">
        <v>172</v>
      </c>
      <c r="K259" s="78" t="s">
        <v>173</v>
      </c>
      <c r="L259" s="78" t="s">
        <v>386</v>
      </c>
      <c r="M259" s="78" t="s">
        <v>385</v>
      </c>
      <c r="N259" s="108">
        <v>61440</v>
      </c>
    </row>
    <row r="260" spans="1:14">
      <c r="A260" s="83" t="s">
        <v>172</v>
      </c>
      <c r="B260" s="78" t="s">
        <v>173</v>
      </c>
      <c r="C260" s="78" t="s">
        <v>34</v>
      </c>
      <c r="D260" s="23" t="s">
        <v>403</v>
      </c>
      <c r="E260" s="23" t="s">
        <v>419</v>
      </c>
      <c r="F260" s="92">
        <v>0</v>
      </c>
      <c r="G260" s="101"/>
      <c r="H260" s="101"/>
      <c r="I260" s="101"/>
      <c r="J260" s="78" t="s">
        <v>172</v>
      </c>
      <c r="K260" s="78" t="s">
        <v>173</v>
      </c>
      <c r="L260" s="78" t="s">
        <v>382</v>
      </c>
      <c r="M260" s="78"/>
      <c r="N260" s="108">
        <v>409600</v>
      </c>
    </row>
    <row r="261" spans="1:14">
      <c r="A261" s="141"/>
      <c r="B261" s="97"/>
      <c r="C261" s="97"/>
      <c r="D261" s="97"/>
      <c r="E261" s="97"/>
      <c r="F261" s="96">
        <v>0</v>
      </c>
      <c r="G261" s="94"/>
      <c r="H261" s="94"/>
      <c r="I261" s="94"/>
      <c r="J261" s="102" t="s">
        <v>754</v>
      </c>
      <c r="K261" s="130">
        <v>465</v>
      </c>
      <c r="L261" s="97"/>
      <c r="M261" s="97"/>
      <c r="N261" s="147">
        <v>476160</v>
      </c>
    </row>
    <row r="262" spans="1:14">
      <c r="A262" s="81" t="s">
        <v>175</v>
      </c>
      <c r="B262" s="82" t="s">
        <v>29</v>
      </c>
      <c r="C262" s="82" t="s">
        <v>34</v>
      </c>
      <c r="D262" s="82" t="s">
        <v>385</v>
      </c>
      <c r="E262" s="82" t="s">
        <v>422</v>
      </c>
      <c r="F262" s="95">
        <v>4675</v>
      </c>
      <c r="G262" s="95">
        <v>10</v>
      </c>
      <c r="H262" s="95">
        <v>4665</v>
      </c>
      <c r="I262" s="95">
        <v>99</v>
      </c>
      <c r="J262" s="82" t="s">
        <v>175</v>
      </c>
      <c r="K262" s="82" t="s">
        <v>29</v>
      </c>
      <c r="L262" s="82" t="s">
        <v>386</v>
      </c>
      <c r="M262" s="82" t="s">
        <v>385</v>
      </c>
      <c r="N262" s="111">
        <v>20480</v>
      </c>
    </row>
    <row r="263" spans="1:14">
      <c r="A263" s="83" t="s">
        <v>175</v>
      </c>
      <c r="B263" s="78" t="s">
        <v>29</v>
      </c>
      <c r="C263" s="78" t="s">
        <v>34</v>
      </c>
      <c r="D263" s="78" t="s">
        <v>385</v>
      </c>
      <c r="E263" s="78" t="s">
        <v>421</v>
      </c>
      <c r="F263" s="92">
        <v>9482</v>
      </c>
      <c r="G263" s="92">
        <v>5499</v>
      </c>
      <c r="H263" s="92">
        <v>3983</v>
      </c>
      <c r="I263" s="92">
        <v>42</v>
      </c>
      <c r="J263" s="78" t="s">
        <v>175</v>
      </c>
      <c r="K263" s="78" t="s">
        <v>29</v>
      </c>
      <c r="L263" s="78" t="s">
        <v>384</v>
      </c>
      <c r="M263" s="78" t="s">
        <v>385</v>
      </c>
      <c r="N263" s="108">
        <v>102400</v>
      </c>
    </row>
    <row r="264" spans="1:14">
      <c r="A264" s="83" t="s">
        <v>175</v>
      </c>
      <c r="B264" s="78" t="s">
        <v>29</v>
      </c>
      <c r="C264" s="78" t="s">
        <v>34</v>
      </c>
      <c r="D264" s="78" t="s">
        <v>385</v>
      </c>
      <c r="E264" s="78" t="s">
        <v>430</v>
      </c>
      <c r="F264" s="92">
        <v>471</v>
      </c>
      <c r="G264" s="92">
        <v>467</v>
      </c>
      <c r="H264" s="92">
        <v>4</v>
      </c>
      <c r="I264" s="92">
        <v>0</v>
      </c>
      <c r="J264" s="2"/>
      <c r="K264" s="2"/>
      <c r="L264" s="2"/>
      <c r="M264" s="2"/>
      <c r="N264" s="113"/>
    </row>
    <row r="265" spans="1:14">
      <c r="A265" s="83" t="s">
        <v>175</v>
      </c>
      <c r="B265" s="78" t="s">
        <v>29</v>
      </c>
      <c r="C265" s="78" t="s">
        <v>34</v>
      </c>
      <c r="D265" s="78" t="s">
        <v>385</v>
      </c>
      <c r="E265" s="78" t="s">
        <v>414</v>
      </c>
      <c r="F265" s="92">
        <v>65535</v>
      </c>
      <c r="G265" s="92">
        <v>5448</v>
      </c>
      <c r="H265" s="92">
        <v>60087</v>
      </c>
      <c r="I265" s="92">
        <v>91</v>
      </c>
      <c r="J265" s="2"/>
      <c r="K265" s="2"/>
      <c r="L265" s="2"/>
      <c r="M265" s="2"/>
      <c r="N265" s="113"/>
    </row>
    <row r="266" spans="1:14">
      <c r="A266" s="83" t="s">
        <v>175</v>
      </c>
      <c r="B266" s="78" t="s">
        <v>29</v>
      </c>
      <c r="C266" s="78" t="s">
        <v>34</v>
      </c>
      <c r="D266" s="78" t="s">
        <v>385</v>
      </c>
      <c r="E266" s="78" t="s">
        <v>420</v>
      </c>
      <c r="F266" s="92">
        <v>19093</v>
      </c>
      <c r="G266" s="92">
        <v>244</v>
      </c>
      <c r="H266" s="92">
        <v>18849</v>
      </c>
      <c r="I266" s="92">
        <v>98</v>
      </c>
      <c r="J266" s="2"/>
      <c r="K266" s="2"/>
      <c r="L266" s="2"/>
      <c r="M266" s="2"/>
      <c r="N266" s="113"/>
    </row>
    <row r="267" spans="1:14">
      <c r="A267" s="85"/>
      <c r="B267" s="86"/>
      <c r="C267" s="86"/>
      <c r="D267" s="86"/>
      <c r="E267" s="86"/>
      <c r="F267" s="117">
        <v>99256</v>
      </c>
      <c r="G267" s="94"/>
      <c r="H267" s="94"/>
      <c r="I267" s="94"/>
      <c r="J267" s="102" t="s">
        <v>754</v>
      </c>
      <c r="K267" s="103">
        <v>23.0703125</v>
      </c>
      <c r="L267" s="86"/>
      <c r="M267" s="86"/>
      <c r="N267" s="121">
        <v>122880</v>
      </c>
    </row>
    <row r="268" spans="1:14">
      <c r="A268" s="84" t="s">
        <v>178</v>
      </c>
      <c r="B268" s="77" t="s">
        <v>29</v>
      </c>
      <c r="C268" s="77" t="s">
        <v>34</v>
      </c>
      <c r="D268" s="77" t="s">
        <v>385</v>
      </c>
      <c r="E268" s="77" t="s">
        <v>414</v>
      </c>
      <c r="F268" s="91">
        <v>65535</v>
      </c>
      <c r="G268" s="91">
        <v>9159</v>
      </c>
      <c r="H268" s="91">
        <v>56376</v>
      </c>
      <c r="I268" s="91">
        <v>86</v>
      </c>
      <c r="J268" s="77" t="s">
        <v>178</v>
      </c>
      <c r="K268" s="77" t="s">
        <v>29</v>
      </c>
      <c r="L268" s="77" t="s">
        <v>382</v>
      </c>
      <c r="M268" s="77"/>
      <c r="N268" s="107">
        <v>102400</v>
      </c>
    </row>
    <row r="269" spans="1:14">
      <c r="A269" s="83" t="s">
        <v>178</v>
      </c>
      <c r="B269" s="78" t="s">
        <v>29</v>
      </c>
      <c r="C269" s="78" t="s">
        <v>34</v>
      </c>
      <c r="D269" s="78" t="s">
        <v>385</v>
      </c>
      <c r="E269" s="78" t="s">
        <v>420</v>
      </c>
      <c r="F269" s="92">
        <v>19093</v>
      </c>
      <c r="G269" s="92">
        <v>361</v>
      </c>
      <c r="H269" s="92">
        <v>18732</v>
      </c>
      <c r="I269" s="92">
        <v>98</v>
      </c>
      <c r="J269" s="78" t="s">
        <v>178</v>
      </c>
      <c r="K269" s="78" t="s">
        <v>29</v>
      </c>
      <c r="L269" s="78" t="s">
        <v>387</v>
      </c>
      <c r="M269" s="78"/>
      <c r="N269" s="108">
        <v>16384</v>
      </c>
    </row>
    <row r="270" spans="1:14">
      <c r="A270" s="83" t="s">
        <v>178</v>
      </c>
      <c r="B270" s="78" t="s">
        <v>29</v>
      </c>
      <c r="C270" s="78" t="s">
        <v>34</v>
      </c>
      <c r="D270" s="78" t="s">
        <v>385</v>
      </c>
      <c r="E270" s="78" t="s">
        <v>421</v>
      </c>
      <c r="F270" s="92">
        <v>9482</v>
      </c>
      <c r="G270" s="92">
        <v>3426</v>
      </c>
      <c r="H270" s="92">
        <v>6056</v>
      </c>
      <c r="I270" s="92">
        <v>63</v>
      </c>
      <c r="J270" s="78" t="s">
        <v>178</v>
      </c>
      <c r="K270" s="78" t="s">
        <v>29</v>
      </c>
      <c r="L270" s="78" t="s">
        <v>384</v>
      </c>
      <c r="M270" s="78" t="s">
        <v>385</v>
      </c>
      <c r="N270" s="108">
        <v>102400</v>
      </c>
    </row>
    <row r="271" spans="1:14">
      <c r="A271" s="83" t="s">
        <v>178</v>
      </c>
      <c r="B271" s="78" t="s">
        <v>29</v>
      </c>
      <c r="C271" s="78" t="s">
        <v>34</v>
      </c>
      <c r="D271" s="78" t="s">
        <v>385</v>
      </c>
      <c r="E271" s="78" t="s">
        <v>430</v>
      </c>
      <c r="F271" s="92">
        <v>471</v>
      </c>
      <c r="G271" s="92">
        <v>470</v>
      </c>
      <c r="H271" s="92">
        <v>1</v>
      </c>
      <c r="I271" s="92">
        <v>0</v>
      </c>
      <c r="J271" s="78" t="s">
        <v>178</v>
      </c>
      <c r="K271" s="78" t="s">
        <v>29</v>
      </c>
      <c r="L271" s="78" t="s">
        <v>386</v>
      </c>
      <c r="M271" s="78" t="s">
        <v>385</v>
      </c>
      <c r="N271" s="108">
        <v>20480</v>
      </c>
    </row>
    <row r="272" spans="1:14">
      <c r="A272" s="83" t="s">
        <v>178</v>
      </c>
      <c r="B272" s="78" t="s">
        <v>29</v>
      </c>
      <c r="C272" s="78" t="s">
        <v>34</v>
      </c>
      <c r="D272" s="78" t="s">
        <v>403</v>
      </c>
      <c r="E272" s="78" t="s">
        <v>419</v>
      </c>
      <c r="F272" s="92">
        <v>100661</v>
      </c>
      <c r="G272" s="92">
        <v>23952</v>
      </c>
      <c r="H272" s="92">
        <v>76709</v>
      </c>
      <c r="I272" s="92">
        <v>76</v>
      </c>
      <c r="J272" s="2"/>
      <c r="K272" s="2"/>
      <c r="L272" s="2"/>
      <c r="M272" s="2"/>
      <c r="N272" s="113"/>
    </row>
    <row r="273" spans="1:14">
      <c r="A273" s="83" t="s">
        <v>178</v>
      </c>
      <c r="B273" s="78" t="s">
        <v>29</v>
      </c>
      <c r="C273" s="78" t="s">
        <v>34</v>
      </c>
      <c r="D273" s="78" t="s">
        <v>385</v>
      </c>
      <c r="E273" s="78" t="s">
        <v>422</v>
      </c>
      <c r="F273" s="92">
        <v>4675</v>
      </c>
      <c r="G273" s="92">
        <v>10</v>
      </c>
      <c r="H273" s="92">
        <v>4665</v>
      </c>
      <c r="I273" s="92">
        <v>99</v>
      </c>
      <c r="J273" s="2"/>
      <c r="K273" s="2"/>
      <c r="L273" s="2"/>
      <c r="M273" s="2"/>
      <c r="N273" s="113"/>
    </row>
    <row r="274" spans="1:14">
      <c r="A274" s="83" t="s">
        <v>178</v>
      </c>
      <c r="B274" s="78" t="s">
        <v>29</v>
      </c>
      <c r="C274" s="78" t="s">
        <v>34</v>
      </c>
      <c r="D274" s="78" t="s">
        <v>403</v>
      </c>
      <c r="E274" s="78" t="s">
        <v>426</v>
      </c>
      <c r="F274" s="92">
        <v>15994</v>
      </c>
      <c r="G274" s="92">
        <v>3519</v>
      </c>
      <c r="H274" s="92">
        <v>12475</v>
      </c>
      <c r="I274" s="92">
        <v>77</v>
      </c>
      <c r="J274" s="2"/>
      <c r="K274" s="2"/>
      <c r="L274" s="2"/>
      <c r="M274" s="2"/>
      <c r="N274" s="113"/>
    </row>
    <row r="275" spans="1:14">
      <c r="A275" s="85"/>
      <c r="B275" s="86"/>
      <c r="C275" s="86"/>
      <c r="D275" s="86"/>
      <c r="E275" s="86"/>
      <c r="F275" s="117">
        <v>215911</v>
      </c>
      <c r="G275" s="94"/>
      <c r="H275" s="94"/>
      <c r="I275" s="94"/>
      <c r="J275" s="102" t="s">
        <v>754</v>
      </c>
      <c r="K275" s="103">
        <v>25.1494140625</v>
      </c>
      <c r="L275" s="86"/>
      <c r="M275" s="86"/>
      <c r="N275" s="121">
        <v>241664</v>
      </c>
    </row>
    <row r="276" spans="1:14">
      <c r="A276" s="84" t="s">
        <v>180</v>
      </c>
      <c r="B276" s="77" t="s">
        <v>29</v>
      </c>
      <c r="C276" s="77" t="s">
        <v>34</v>
      </c>
      <c r="D276" s="77" t="s">
        <v>385</v>
      </c>
      <c r="E276" s="77" t="s">
        <v>421</v>
      </c>
      <c r="F276" s="91">
        <v>9482</v>
      </c>
      <c r="G276" s="91">
        <v>2135</v>
      </c>
      <c r="H276" s="91">
        <v>7347</v>
      </c>
      <c r="I276" s="91">
        <v>77</v>
      </c>
      <c r="J276" s="77" t="s">
        <v>180</v>
      </c>
      <c r="K276" s="77" t="s">
        <v>29</v>
      </c>
      <c r="L276" s="77" t="s">
        <v>386</v>
      </c>
      <c r="M276" s="77" t="s">
        <v>385</v>
      </c>
      <c r="N276" s="107">
        <v>20480</v>
      </c>
    </row>
    <row r="277" spans="1:14">
      <c r="A277" s="83" t="s">
        <v>180</v>
      </c>
      <c r="B277" s="78" t="s">
        <v>29</v>
      </c>
      <c r="C277" s="78" t="s">
        <v>34</v>
      </c>
      <c r="D277" s="78" t="s">
        <v>403</v>
      </c>
      <c r="E277" s="78" t="s">
        <v>419</v>
      </c>
      <c r="F277" s="92">
        <v>100661</v>
      </c>
      <c r="G277" s="92">
        <v>484</v>
      </c>
      <c r="H277" s="92">
        <v>100177</v>
      </c>
      <c r="I277" s="92">
        <v>99</v>
      </c>
      <c r="J277" s="78" t="s">
        <v>180</v>
      </c>
      <c r="K277" s="78" t="s">
        <v>29</v>
      </c>
      <c r="L277" s="78" t="s">
        <v>387</v>
      </c>
      <c r="M277" s="78"/>
      <c r="N277" s="108">
        <v>16384</v>
      </c>
    </row>
    <row r="278" spans="1:14">
      <c r="A278" s="83" t="s">
        <v>180</v>
      </c>
      <c r="B278" s="78" t="s">
        <v>29</v>
      </c>
      <c r="C278" s="78" t="s">
        <v>34</v>
      </c>
      <c r="D278" s="78" t="s">
        <v>403</v>
      </c>
      <c r="E278" s="78" t="s">
        <v>426</v>
      </c>
      <c r="F278" s="92">
        <v>15994</v>
      </c>
      <c r="G278" s="92">
        <v>3523</v>
      </c>
      <c r="H278" s="92">
        <v>12471</v>
      </c>
      <c r="I278" s="92">
        <v>77</v>
      </c>
      <c r="J278" s="78" t="s">
        <v>180</v>
      </c>
      <c r="K278" s="78" t="s">
        <v>29</v>
      </c>
      <c r="L278" s="78" t="s">
        <v>382</v>
      </c>
      <c r="M278" s="78"/>
      <c r="N278" s="108">
        <v>102400</v>
      </c>
    </row>
    <row r="279" spans="1:14">
      <c r="A279" s="83" t="s">
        <v>180</v>
      </c>
      <c r="B279" s="78" t="s">
        <v>29</v>
      </c>
      <c r="C279" s="78" t="s">
        <v>34</v>
      </c>
      <c r="D279" s="78" t="s">
        <v>385</v>
      </c>
      <c r="E279" s="78" t="s">
        <v>422</v>
      </c>
      <c r="F279" s="92">
        <v>4675</v>
      </c>
      <c r="G279" s="92">
        <v>10</v>
      </c>
      <c r="H279" s="92">
        <v>4665</v>
      </c>
      <c r="I279" s="92">
        <v>99</v>
      </c>
      <c r="J279" s="78" t="s">
        <v>180</v>
      </c>
      <c r="K279" s="78" t="s">
        <v>29</v>
      </c>
      <c r="L279" s="78" t="s">
        <v>384</v>
      </c>
      <c r="M279" s="78" t="s">
        <v>385</v>
      </c>
      <c r="N279" s="108">
        <v>102400</v>
      </c>
    </row>
    <row r="280" spans="1:14">
      <c r="A280" s="83" t="s">
        <v>180</v>
      </c>
      <c r="B280" s="78" t="s">
        <v>29</v>
      </c>
      <c r="C280" s="78" t="s">
        <v>34</v>
      </c>
      <c r="D280" s="78" t="s">
        <v>385</v>
      </c>
      <c r="E280" s="78" t="s">
        <v>420</v>
      </c>
      <c r="F280" s="92">
        <v>19093</v>
      </c>
      <c r="G280" s="92">
        <v>373</v>
      </c>
      <c r="H280" s="92">
        <v>18720</v>
      </c>
      <c r="I280" s="92">
        <v>98</v>
      </c>
      <c r="J280" s="2"/>
      <c r="K280" s="2"/>
      <c r="L280" s="2"/>
      <c r="M280" s="2"/>
      <c r="N280" s="113"/>
    </row>
    <row r="281" spans="1:14">
      <c r="A281" s="83" t="s">
        <v>180</v>
      </c>
      <c r="B281" s="78" t="s">
        <v>29</v>
      </c>
      <c r="C281" s="78" t="s">
        <v>34</v>
      </c>
      <c r="D281" s="78" t="s">
        <v>385</v>
      </c>
      <c r="E281" s="78" t="s">
        <v>430</v>
      </c>
      <c r="F281" s="92">
        <v>471</v>
      </c>
      <c r="G281" s="92">
        <v>470</v>
      </c>
      <c r="H281" s="92">
        <v>1</v>
      </c>
      <c r="I281" s="92">
        <v>0</v>
      </c>
      <c r="J281" s="2"/>
      <c r="K281" s="2"/>
      <c r="L281" s="2"/>
      <c r="M281" s="2"/>
      <c r="N281" s="113"/>
    </row>
    <row r="282" spans="1:14">
      <c r="A282" s="83" t="s">
        <v>180</v>
      </c>
      <c r="B282" s="78" t="s">
        <v>29</v>
      </c>
      <c r="C282" s="78" t="s">
        <v>34</v>
      </c>
      <c r="D282" s="78" t="s">
        <v>385</v>
      </c>
      <c r="E282" s="78" t="s">
        <v>414</v>
      </c>
      <c r="F282" s="92">
        <v>65535</v>
      </c>
      <c r="G282" s="92">
        <v>34381</v>
      </c>
      <c r="H282" s="92">
        <v>31154</v>
      </c>
      <c r="I282" s="92">
        <v>47</v>
      </c>
      <c r="J282" s="2"/>
      <c r="K282" s="2"/>
      <c r="L282" s="2"/>
      <c r="M282" s="2"/>
      <c r="N282" s="113"/>
    </row>
    <row r="283" spans="1:14">
      <c r="A283" s="85"/>
      <c r="B283" s="86"/>
      <c r="C283" s="86"/>
      <c r="D283" s="86"/>
      <c r="E283" s="86"/>
      <c r="F283" s="117">
        <v>215911</v>
      </c>
      <c r="G283" s="94"/>
      <c r="H283" s="94"/>
      <c r="I283" s="94"/>
      <c r="J283" s="102" t="s">
        <v>754</v>
      </c>
      <c r="K283" s="103">
        <v>25.1494140625</v>
      </c>
      <c r="L283" s="86"/>
      <c r="M283" s="86"/>
      <c r="N283" s="121">
        <v>241664</v>
      </c>
    </row>
    <row r="284" spans="1:14">
      <c r="A284" s="84" t="s">
        <v>182</v>
      </c>
      <c r="B284" s="114"/>
      <c r="C284" s="114"/>
      <c r="D284" s="114"/>
      <c r="E284" s="114" t="s">
        <v>414</v>
      </c>
      <c r="F284" s="114">
        <v>36864</v>
      </c>
      <c r="G284" s="114">
        <v>13312</v>
      </c>
      <c r="H284" s="114">
        <v>23552</v>
      </c>
      <c r="I284" s="114">
        <v>36</v>
      </c>
      <c r="J284" s="77" t="s">
        <v>182</v>
      </c>
      <c r="K284" s="77" t="s">
        <v>29</v>
      </c>
      <c r="L284" s="77" t="s">
        <v>384</v>
      </c>
      <c r="M284" s="77" t="s">
        <v>385</v>
      </c>
      <c r="N284" s="107">
        <v>512000</v>
      </c>
    </row>
    <row r="285" spans="1:14">
      <c r="A285" s="123"/>
      <c r="B285" s="2"/>
      <c r="C285" s="2"/>
      <c r="D285" s="2"/>
      <c r="E285" s="2" t="s">
        <v>421</v>
      </c>
      <c r="F285" s="2">
        <v>9932.7999999999993</v>
      </c>
      <c r="G285" s="2">
        <v>497</v>
      </c>
      <c r="H285" s="2">
        <v>8908.7999999999993</v>
      </c>
      <c r="I285" s="2">
        <v>6</v>
      </c>
      <c r="J285" s="78" t="s">
        <v>182</v>
      </c>
      <c r="K285" s="78" t="s">
        <v>29</v>
      </c>
      <c r="L285" s="78" t="s">
        <v>386</v>
      </c>
      <c r="M285" s="78" t="s">
        <v>385</v>
      </c>
      <c r="N285" s="108">
        <v>61440</v>
      </c>
    </row>
    <row r="286" spans="1:14">
      <c r="A286" s="123"/>
      <c r="B286" s="2"/>
      <c r="C286" s="2"/>
      <c r="D286" s="2"/>
      <c r="E286" s="2" t="s">
        <v>657</v>
      </c>
      <c r="F286" s="2">
        <v>504832</v>
      </c>
      <c r="G286" s="2">
        <v>67584</v>
      </c>
      <c r="H286" s="2">
        <v>411648</v>
      </c>
      <c r="I286" s="2">
        <v>15</v>
      </c>
      <c r="J286" s="2"/>
      <c r="K286" s="2"/>
      <c r="L286" s="2"/>
      <c r="M286" s="2"/>
      <c r="N286" s="113"/>
    </row>
    <row r="287" spans="1:14">
      <c r="A287" s="87"/>
      <c r="B287" s="88"/>
      <c r="C287" s="88"/>
      <c r="D287" s="88"/>
      <c r="E287" s="88"/>
      <c r="F287" s="98">
        <v>551628.80000000005</v>
      </c>
      <c r="G287" s="100"/>
      <c r="H287" s="100"/>
      <c r="I287" s="100"/>
      <c r="J287" s="76" t="s">
        <v>754</v>
      </c>
      <c r="K287" s="106">
        <v>21.3</v>
      </c>
      <c r="L287" s="88"/>
      <c r="M287" s="88"/>
      <c r="N287" s="120">
        <v>573440</v>
      </c>
    </row>
    <row r="288" spans="1:14">
      <c r="A288" s="84" t="s">
        <v>184</v>
      </c>
      <c r="B288" s="142" t="s">
        <v>173</v>
      </c>
      <c r="C288" s="77" t="s">
        <v>34</v>
      </c>
      <c r="D288" s="140" t="s">
        <v>385</v>
      </c>
      <c r="E288" s="140" t="s">
        <v>420</v>
      </c>
      <c r="F288" s="91">
        <v>0</v>
      </c>
      <c r="G288" s="145"/>
      <c r="H288" s="145"/>
      <c r="I288" s="145"/>
      <c r="J288" s="77" t="s">
        <v>184</v>
      </c>
      <c r="K288" s="77" t="s">
        <v>173</v>
      </c>
      <c r="L288" s="77" t="s">
        <v>386</v>
      </c>
      <c r="M288" s="77" t="s">
        <v>385</v>
      </c>
      <c r="N288" s="107">
        <v>20480</v>
      </c>
    </row>
    <row r="289" spans="1:14">
      <c r="A289" s="83" t="s">
        <v>184</v>
      </c>
      <c r="B289" s="138" t="s">
        <v>173</v>
      </c>
      <c r="C289" s="78" t="s">
        <v>34</v>
      </c>
      <c r="D289" s="23" t="s">
        <v>385</v>
      </c>
      <c r="E289" s="23" t="s">
        <v>414</v>
      </c>
      <c r="F289" s="92">
        <v>0</v>
      </c>
      <c r="G289" s="101"/>
      <c r="H289" s="101"/>
      <c r="I289" s="101"/>
      <c r="J289" s="78" t="s">
        <v>184</v>
      </c>
      <c r="K289" s="78" t="s">
        <v>173</v>
      </c>
      <c r="L289" s="78" t="s">
        <v>384</v>
      </c>
      <c r="M289" s="78" t="s">
        <v>385</v>
      </c>
      <c r="N289" s="108">
        <v>102400</v>
      </c>
    </row>
    <row r="290" spans="1:14">
      <c r="A290" s="83" t="s">
        <v>184</v>
      </c>
      <c r="B290" s="138" t="s">
        <v>173</v>
      </c>
      <c r="C290" s="78" t="s">
        <v>34</v>
      </c>
      <c r="D290" s="23" t="s">
        <v>403</v>
      </c>
      <c r="E290" s="23" t="s">
        <v>419</v>
      </c>
      <c r="F290" s="92">
        <v>0</v>
      </c>
      <c r="G290" s="101"/>
      <c r="H290" s="101"/>
      <c r="I290" s="101"/>
      <c r="J290" s="78" t="s">
        <v>184</v>
      </c>
      <c r="K290" s="78" t="s">
        <v>173</v>
      </c>
      <c r="L290" s="78" t="s">
        <v>382</v>
      </c>
      <c r="M290" s="78"/>
      <c r="N290" s="108">
        <v>102400</v>
      </c>
    </row>
    <row r="291" spans="1:14">
      <c r="A291" s="141"/>
      <c r="B291" s="97"/>
      <c r="C291" s="97"/>
      <c r="D291" s="97"/>
      <c r="E291" s="97"/>
      <c r="F291" s="96">
        <v>0</v>
      </c>
      <c r="G291" s="94"/>
      <c r="H291" s="94"/>
      <c r="I291" s="94"/>
      <c r="J291" s="102" t="s">
        <v>754</v>
      </c>
      <c r="K291" s="130">
        <v>220</v>
      </c>
      <c r="L291" s="97"/>
      <c r="M291" s="97"/>
      <c r="N291" s="147">
        <v>225280</v>
      </c>
    </row>
    <row r="292" spans="1:14">
      <c r="A292" s="84" t="s">
        <v>185</v>
      </c>
      <c r="B292" s="142" t="s">
        <v>173</v>
      </c>
      <c r="C292" s="77" t="s">
        <v>34</v>
      </c>
      <c r="D292" s="140" t="s">
        <v>385</v>
      </c>
      <c r="E292" s="140" t="s">
        <v>420</v>
      </c>
      <c r="F292" s="91">
        <v>0</v>
      </c>
      <c r="G292" s="114"/>
      <c r="H292" s="114"/>
      <c r="I292" s="114"/>
      <c r="J292" s="77" t="s">
        <v>185</v>
      </c>
      <c r="K292" s="77" t="s">
        <v>173</v>
      </c>
      <c r="L292" s="77" t="s">
        <v>386</v>
      </c>
      <c r="M292" s="77" t="s">
        <v>385</v>
      </c>
      <c r="N292" s="107">
        <v>20480</v>
      </c>
    </row>
    <row r="293" spans="1:14">
      <c r="A293" s="83" t="s">
        <v>185</v>
      </c>
      <c r="B293" s="138" t="s">
        <v>173</v>
      </c>
      <c r="C293" s="78" t="s">
        <v>34</v>
      </c>
      <c r="D293" s="23" t="s">
        <v>385</v>
      </c>
      <c r="E293" s="23" t="s">
        <v>414</v>
      </c>
      <c r="F293" s="92">
        <v>0</v>
      </c>
      <c r="G293" s="2"/>
      <c r="H293" s="2"/>
      <c r="I293" s="2"/>
      <c r="J293" s="78" t="s">
        <v>185</v>
      </c>
      <c r="K293" s="78" t="s">
        <v>173</v>
      </c>
      <c r="L293" s="78" t="s">
        <v>382</v>
      </c>
      <c r="M293" s="78"/>
      <c r="N293" s="108">
        <v>102400</v>
      </c>
    </row>
    <row r="294" spans="1:14">
      <c r="A294" s="83" t="s">
        <v>185</v>
      </c>
      <c r="B294" s="138" t="s">
        <v>173</v>
      </c>
      <c r="C294" s="78" t="s">
        <v>34</v>
      </c>
      <c r="D294" s="23" t="s">
        <v>403</v>
      </c>
      <c r="E294" s="23" t="s">
        <v>419</v>
      </c>
      <c r="F294" s="92">
        <v>0</v>
      </c>
      <c r="G294" s="2"/>
      <c r="H294" s="2"/>
      <c r="I294" s="2"/>
      <c r="J294" s="78" t="s">
        <v>185</v>
      </c>
      <c r="K294" s="78" t="s">
        <v>173</v>
      </c>
      <c r="L294" s="78" t="s">
        <v>384</v>
      </c>
      <c r="M294" s="78" t="s">
        <v>385</v>
      </c>
      <c r="N294" s="108">
        <v>102400</v>
      </c>
    </row>
    <row r="295" spans="1:14">
      <c r="A295" s="141"/>
      <c r="B295" s="97"/>
      <c r="C295" s="97"/>
      <c r="D295" s="97"/>
      <c r="E295" s="97"/>
      <c r="F295" s="96">
        <v>0</v>
      </c>
      <c r="G295" s="94"/>
      <c r="H295" s="94"/>
      <c r="I295" s="94"/>
      <c r="J295" s="102" t="s">
        <v>754</v>
      </c>
      <c r="K295" s="130">
        <v>220</v>
      </c>
      <c r="L295" s="97"/>
      <c r="M295" s="97"/>
      <c r="N295" s="147">
        <v>225280</v>
      </c>
    </row>
    <row r="296" spans="1:14">
      <c r="A296" s="84" t="s">
        <v>186</v>
      </c>
      <c r="B296" s="77" t="s">
        <v>29</v>
      </c>
      <c r="C296" s="77" t="s">
        <v>34</v>
      </c>
      <c r="D296" s="77" t="s">
        <v>403</v>
      </c>
      <c r="E296" s="77" t="s">
        <v>426</v>
      </c>
      <c r="F296" s="91">
        <v>15994</v>
      </c>
      <c r="G296" s="91">
        <v>1588</v>
      </c>
      <c r="H296" s="91">
        <v>14406</v>
      </c>
      <c r="I296" s="91">
        <v>90</v>
      </c>
      <c r="J296" s="77" t="s">
        <v>186</v>
      </c>
      <c r="K296" s="77" t="s">
        <v>29</v>
      </c>
      <c r="L296" s="77" t="s">
        <v>384</v>
      </c>
      <c r="M296" s="77" t="s">
        <v>385</v>
      </c>
      <c r="N296" s="107">
        <v>102400</v>
      </c>
    </row>
    <row r="297" spans="1:14">
      <c r="A297" s="83" t="s">
        <v>186</v>
      </c>
      <c r="B297" s="78" t="s">
        <v>29</v>
      </c>
      <c r="C297" s="78" t="s">
        <v>34</v>
      </c>
      <c r="D297" s="78" t="s">
        <v>403</v>
      </c>
      <c r="E297" s="78" t="s">
        <v>419</v>
      </c>
      <c r="F297" s="92">
        <v>100661</v>
      </c>
      <c r="G297" s="92">
        <v>130</v>
      </c>
      <c r="H297" s="92">
        <v>100531</v>
      </c>
      <c r="I297" s="92">
        <v>99</v>
      </c>
      <c r="J297" s="78" t="s">
        <v>186</v>
      </c>
      <c r="K297" s="78" t="s">
        <v>29</v>
      </c>
      <c r="L297" s="78" t="s">
        <v>387</v>
      </c>
      <c r="M297" s="78"/>
      <c r="N297" s="108">
        <v>16384</v>
      </c>
    </row>
    <row r="298" spans="1:14">
      <c r="A298" s="83" t="s">
        <v>186</v>
      </c>
      <c r="B298" s="78" t="s">
        <v>29</v>
      </c>
      <c r="C298" s="78" t="s">
        <v>34</v>
      </c>
      <c r="D298" s="78" t="s">
        <v>385</v>
      </c>
      <c r="E298" s="78" t="s">
        <v>421</v>
      </c>
      <c r="F298" s="92">
        <v>9482</v>
      </c>
      <c r="G298" s="92">
        <v>549</v>
      </c>
      <c r="H298" s="92">
        <v>8933</v>
      </c>
      <c r="I298" s="92">
        <v>94</v>
      </c>
      <c r="J298" s="78" t="s">
        <v>186</v>
      </c>
      <c r="K298" s="78" t="s">
        <v>29</v>
      </c>
      <c r="L298" s="78" t="s">
        <v>382</v>
      </c>
      <c r="M298" s="78"/>
      <c r="N298" s="108">
        <v>102400</v>
      </c>
    </row>
    <row r="299" spans="1:14">
      <c r="A299" s="83" t="s">
        <v>186</v>
      </c>
      <c r="B299" s="78" t="s">
        <v>29</v>
      </c>
      <c r="C299" s="78" t="s">
        <v>34</v>
      </c>
      <c r="D299" s="78" t="s">
        <v>385</v>
      </c>
      <c r="E299" s="78" t="s">
        <v>420</v>
      </c>
      <c r="F299" s="92">
        <v>19093</v>
      </c>
      <c r="G299" s="92">
        <v>250</v>
      </c>
      <c r="H299" s="92">
        <v>18843</v>
      </c>
      <c r="I299" s="92">
        <v>98</v>
      </c>
      <c r="J299" s="78" t="s">
        <v>186</v>
      </c>
      <c r="K299" s="78" t="s">
        <v>29</v>
      </c>
      <c r="L299" s="78" t="s">
        <v>386</v>
      </c>
      <c r="M299" s="78" t="s">
        <v>385</v>
      </c>
      <c r="N299" s="108">
        <v>20480</v>
      </c>
    </row>
    <row r="300" spans="1:14">
      <c r="A300" s="83" t="s">
        <v>186</v>
      </c>
      <c r="B300" s="78" t="s">
        <v>29</v>
      </c>
      <c r="C300" s="78" t="s">
        <v>34</v>
      </c>
      <c r="D300" s="78" t="s">
        <v>385</v>
      </c>
      <c r="E300" s="78" t="s">
        <v>430</v>
      </c>
      <c r="F300" s="92">
        <v>471</v>
      </c>
      <c r="G300" s="92">
        <v>468</v>
      </c>
      <c r="H300" s="92">
        <v>3</v>
      </c>
      <c r="I300" s="92">
        <v>0</v>
      </c>
      <c r="J300" s="2"/>
      <c r="K300" s="2"/>
      <c r="L300" s="2"/>
      <c r="M300" s="2"/>
      <c r="N300" s="113"/>
    </row>
    <row r="301" spans="1:14">
      <c r="A301" s="83" t="s">
        <v>186</v>
      </c>
      <c r="B301" s="78" t="s">
        <v>29</v>
      </c>
      <c r="C301" s="78" t="s">
        <v>34</v>
      </c>
      <c r="D301" s="78" t="s">
        <v>385</v>
      </c>
      <c r="E301" s="78" t="s">
        <v>422</v>
      </c>
      <c r="F301" s="92">
        <v>4675</v>
      </c>
      <c r="G301" s="92">
        <v>10</v>
      </c>
      <c r="H301" s="92">
        <v>4665</v>
      </c>
      <c r="I301" s="92">
        <v>99</v>
      </c>
      <c r="J301" s="2"/>
      <c r="K301" s="2"/>
      <c r="L301" s="2"/>
      <c r="M301" s="2"/>
      <c r="N301" s="113"/>
    </row>
    <row r="302" spans="1:14">
      <c r="A302" s="83" t="s">
        <v>186</v>
      </c>
      <c r="B302" s="78" t="s">
        <v>29</v>
      </c>
      <c r="C302" s="78" t="s">
        <v>34</v>
      </c>
      <c r="D302" s="78" t="s">
        <v>385</v>
      </c>
      <c r="E302" s="78" t="s">
        <v>414</v>
      </c>
      <c r="F302" s="92">
        <v>65535</v>
      </c>
      <c r="G302" s="92">
        <v>6093</v>
      </c>
      <c r="H302" s="92">
        <v>59442</v>
      </c>
      <c r="I302" s="92">
        <v>90</v>
      </c>
      <c r="J302" s="2"/>
      <c r="K302" s="2"/>
      <c r="L302" s="2"/>
      <c r="M302" s="2"/>
      <c r="N302" s="113"/>
    </row>
    <row r="303" spans="1:14">
      <c r="A303" s="141"/>
      <c r="B303" s="97"/>
      <c r="C303" s="97"/>
      <c r="D303" s="97"/>
      <c r="E303" s="97"/>
      <c r="F303" s="96">
        <v>215911</v>
      </c>
      <c r="G303" s="94"/>
      <c r="H303" s="94"/>
      <c r="I303" s="94"/>
      <c r="J303" s="102" t="s">
        <v>754</v>
      </c>
      <c r="K303" s="103">
        <v>25.1494140625</v>
      </c>
      <c r="L303" s="97"/>
      <c r="M303" s="97"/>
      <c r="N303" s="147">
        <v>241664</v>
      </c>
    </row>
    <row r="304" spans="1:14">
      <c r="A304" s="84" t="s">
        <v>188</v>
      </c>
      <c r="B304" s="77" t="s">
        <v>29</v>
      </c>
      <c r="C304" s="77" t="s">
        <v>34</v>
      </c>
      <c r="D304" s="77" t="s">
        <v>385</v>
      </c>
      <c r="E304" s="77" t="s">
        <v>430</v>
      </c>
      <c r="F304" s="91">
        <v>471</v>
      </c>
      <c r="G304" s="91">
        <v>469</v>
      </c>
      <c r="H304" s="91">
        <v>2</v>
      </c>
      <c r="I304" s="91">
        <v>0</v>
      </c>
      <c r="J304" s="77" t="s">
        <v>188</v>
      </c>
      <c r="K304" s="77" t="s">
        <v>29</v>
      </c>
      <c r="L304" s="77" t="s">
        <v>384</v>
      </c>
      <c r="M304" s="77" t="s">
        <v>385</v>
      </c>
      <c r="N304" s="107">
        <v>102400</v>
      </c>
    </row>
    <row r="305" spans="1:14">
      <c r="A305" s="83" t="s">
        <v>188</v>
      </c>
      <c r="B305" s="78" t="s">
        <v>29</v>
      </c>
      <c r="C305" s="78" t="s">
        <v>34</v>
      </c>
      <c r="D305" s="78" t="s">
        <v>403</v>
      </c>
      <c r="E305" s="78" t="s">
        <v>419</v>
      </c>
      <c r="F305" s="92">
        <v>503834</v>
      </c>
      <c r="G305" s="92">
        <v>181</v>
      </c>
      <c r="H305" s="92">
        <v>503653</v>
      </c>
      <c r="I305" s="92">
        <v>99</v>
      </c>
      <c r="J305" s="78" t="s">
        <v>188</v>
      </c>
      <c r="K305" s="78" t="s">
        <v>29</v>
      </c>
      <c r="L305" s="78" t="s">
        <v>386</v>
      </c>
      <c r="M305" s="78" t="s">
        <v>385</v>
      </c>
      <c r="N305" s="108">
        <v>20480</v>
      </c>
    </row>
    <row r="306" spans="1:14">
      <c r="A306" s="83" t="s">
        <v>188</v>
      </c>
      <c r="B306" s="78" t="s">
        <v>29</v>
      </c>
      <c r="C306" s="78" t="s">
        <v>34</v>
      </c>
      <c r="D306" s="78" t="s">
        <v>385</v>
      </c>
      <c r="E306" s="78" t="s">
        <v>420</v>
      </c>
      <c r="F306" s="92">
        <v>19093</v>
      </c>
      <c r="G306" s="92">
        <v>570</v>
      </c>
      <c r="H306" s="92">
        <v>18523</v>
      </c>
      <c r="I306" s="92">
        <v>97</v>
      </c>
      <c r="J306" s="78" t="s">
        <v>188</v>
      </c>
      <c r="K306" s="78" t="s">
        <v>29</v>
      </c>
      <c r="L306" s="78" t="s">
        <v>382</v>
      </c>
      <c r="M306" s="78"/>
      <c r="N306" s="108">
        <v>512000</v>
      </c>
    </row>
    <row r="307" spans="1:14">
      <c r="A307" s="83" t="s">
        <v>188</v>
      </c>
      <c r="B307" s="78" t="s">
        <v>29</v>
      </c>
      <c r="C307" s="78" t="s">
        <v>34</v>
      </c>
      <c r="D307" s="78" t="s">
        <v>385</v>
      </c>
      <c r="E307" s="78" t="s">
        <v>422</v>
      </c>
      <c r="F307" s="92">
        <v>4675</v>
      </c>
      <c r="G307" s="92">
        <v>10</v>
      </c>
      <c r="H307" s="92">
        <v>4665</v>
      </c>
      <c r="I307" s="92">
        <v>99</v>
      </c>
      <c r="J307" s="78" t="s">
        <v>188</v>
      </c>
      <c r="K307" s="78" t="s">
        <v>29</v>
      </c>
      <c r="L307" s="78" t="s">
        <v>387</v>
      </c>
      <c r="M307" s="78"/>
      <c r="N307" s="108">
        <v>16384</v>
      </c>
    </row>
    <row r="308" spans="1:14">
      <c r="A308" s="83" t="s">
        <v>188</v>
      </c>
      <c r="B308" s="78" t="s">
        <v>29</v>
      </c>
      <c r="C308" s="78" t="s">
        <v>34</v>
      </c>
      <c r="D308" s="78" t="s">
        <v>385</v>
      </c>
      <c r="E308" s="78" t="s">
        <v>414</v>
      </c>
      <c r="F308" s="92">
        <v>65535</v>
      </c>
      <c r="G308" s="92">
        <v>6790</v>
      </c>
      <c r="H308" s="92">
        <v>58745</v>
      </c>
      <c r="I308" s="92">
        <v>89</v>
      </c>
      <c r="J308" s="2"/>
      <c r="K308" s="2"/>
      <c r="L308" s="2"/>
      <c r="M308" s="2"/>
      <c r="N308" s="113"/>
    </row>
    <row r="309" spans="1:14">
      <c r="A309" s="83" t="s">
        <v>188</v>
      </c>
      <c r="B309" s="78" t="s">
        <v>29</v>
      </c>
      <c r="C309" s="78" t="s">
        <v>34</v>
      </c>
      <c r="D309" s="78" t="s">
        <v>403</v>
      </c>
      <c r="E309" s="78" t="s">
        <v>426</v>
      </c>
      <c r="F309" s="92">
        <v>15994</v>
      </c>
      <c r="G309" s="92">
        <v>2740</v>
      </c>
      <c r="H309" s="92">
        <v>13254</v>
      </c>
      <c r="I309" s="92">
        <v>82</v>
      </c>
      <c r="J309" s="2"/>
      <c r="K309" s="2"/>
      <c r="L309" s="2"/>
      <c r="M309" s="2"/>
      <c r="N309" s="113"/>
    </row>
    <row r="310" spans="1:14">
      <c r="A310" s="83" t="s">
        <v>188</v>
      </c>
      <c r="B310" s="78" t="s">
        <v>29</v>
      </c>
      <c r="C310" s="78" t="s">
        <v>34</v>
      </c>
      <c r="D310" s="78" t="s">
        <v>385</v>
      </c>
      <c r="E310" s="78" t="s">
        <v>421</v>
      </c>
      <c r="F310" s="92">
        <v>9482</v>
      </c>
      <c r="G310" s="92">
        <v>527</v>
      </c>
      <c r="H310" s="92">
        <v>8955</v>
      </c>
      <c r="I310" s="92">
        <v>94</v>
      </c>
      <c r="J310" s="2"/>
      <c r="K310" s="2"/>
      <c r="L310" s="2"/>
      <c r="M310" s="2"/>
      <c r="N310" s="113"/>
    </row>
    <row r="311" spans="1:14">
      <c r="A311" s="141"/>
      <c r="B311" s="97"/>
      <c r="C311" s="97"/>
      <c r="D311" s="97"/>
      <c r="E311" s="97"/>
      <c r="F311" s="96">
        <v>619084</v>
      </c>
      <c r="G311" s="94"/>
      <c r="H311" s="94"/>
      <c r="I311" s="94"/>
      <c r="J311" s="102" t="s">
        <v>754</v>
      </c>
      <c r="K311" s="103">
        <v>31.42578125</v>
      </c>
      <c r="L311" s="97"/>
      <c r="M311" s="97"/>
      <c r="N311" s="147">
        <v>651264</v>
      </c>
    </row>
    <row r="312" spans="1:14">
      <c r="A312" s="84" t="s">
        <v>190</v>
      </c>
      <c r="B312" s="77" t="s">
        <v>29</v>
      </c>
      <c r="C312" s="77" t="s">
        <v>34</v>
      </c>
      <c r="D312" s="77" t="s">
        <v>385</v>
      </c>
      <c r="E312" s="77" t="s">
        <v>414</v>
      </c>
      <c r="F312" s="91">
        <v>65535</v>
      </c>
      <c r="G312" s="91">
        <v>6280</v>
      </c>
      <c r="H312" s="91">
        <v>59255</v>
      </c>
      <c r="I312" s="91">
        <v>90</v>
      </c>
      <c r="J312" s="77" t="s">
        <v>190</v>
      </c>
      <c r="K312" s="77" t="s">
        <v>29</v>
      </c>
      <c r="L312" s="77" t="s">
        <v>387</v>
      </c>
      <c r="M312" s="77"/>
      <c r="N312" s="107">
        <v>16384</v>
      </c>
    </row>
    <row r="313" spans="1:14">
      <c r="A313" s="83" t="s">
        <v>190</v>
      </c>
      <c r="B313" s="78" t="s">
        <v>29</v>
      </c>
      <c r="C313" s="78" t="s">
        <v>34</v>
      </c>
      <c r="D313" s="78" t="s">
        <v>385</v>
      </c>
      <c r="E313" s="78" t="s">
        <v>420</v>
      </c>
      <c r="F313" s="92">
        <v>19093</v>
      </c>
      <c r="G313" s="92">
        <v>260</v>
      </c>
      <c r="H313" s="92">
        <v>18833</v>
      </c>
      <c r="I313" s="92">
        <v>98</v>
      </c>
      <c r="J313" s="78" t="s">
        <v>190</v>
      </c>
      <c r="K313" s="78" t="s">
        <v>29</v>
      </c>
      <c r="L313" s="78" t="s">
        <v>384</v>
      </c>
      <c r="M313" s="78" t="s">
        <v>385</v>
      </c>
      <c r="N313" s="108">
        <v>102400</v>
      </c>
    </row>
    <row r="314" spans="1:14">
      <c r="A314" s="83" t="s">
        <v>190</v>
      </c>
      <c r="B314" s="78" t="s">
        <v>29</v>
      </c>
      <c r="C314" s="78" t="s">
        <v>34</v>
      </c>
      <c r="D314" s="78" t="s">
        <v>385</v>
      </c>
      <c r="E314" s="78" t="s">
        <v>422</v>
      </c>
      <c r="F314" s="92">
        <v>4675</v>
      </c>
      <c r="G314" s="92">
        <v>10</v>
      </c>
      <c r="H314" s="92">
        <v>4665</v>
      </c>
      <c r="I314" s="92">
        <v>99</v>
      </c>
      <c r="J314" s="78" t="s">
        <v>190</v>
      </c>
      <c r="K314" s="78" t="s">
        <v>29</v>
      </c>
      <c r="L314" s="78" t="s">
        <v>382</v>
      </c>
      <c r="M314" s="78"/>
      <c r="N314" s="108">
        <v>102400</v>
      </c>
    </row>
    <row r="315" spans="1:14">
      <c r="A315" s="83" t="s">
        <v>190</v>
      </c>
      <c r="B315" s="78" t="s">
        <v>29</v>
      </c>
      <c r="C315" s="78" t="s">
        <v>34</v>
      </c>
      <c r="D315" s="78" t="s">
        <v>385</v>
      </c>
      <c r="E315" s="78" t="s">
        <v>421</v>
      </c>
      <c r="F315" s="92">
        <v>9482</v>
      </c>
      <c r="G315" s="92">
        <v>618</v>
      </c>
      <c r="H315" s="92">
        <v>8864</v>
      </c>
      <c r="I315" s="92">
        <v>93</v>
      </c>
      <c r="J315" s="78" t="s">
        <v>190</v>
      </c>
      <c r="K315" s="78" t="s">
        <v>29</v>
      </c>
      <c r="L315" s="78" t="s">
        <v>386</v>
      </c>
      <c r="M315" s="78" t="s">
        <v>385</v>
      </c>
      <c r="N315" s="108">
        <v>20480</v>
      </c>
    </row>
    <row r="316" spans="1:14">
      <c r="A316" s="83" t="s">
        <v>190</v>
      </c>
      <c r="B316" s="78" t="s">
        <v>29</v>
      </c>
      <c r="C316" s="78" t="s">
        <v>34</v>
      </c>
      <c r="D316" s="78" t="s">
        <v>403</v>
      </c>
      <c r="E316" s="78" t="s">
        <v>426</v>
      </c>
      <c r="F316" s="92">
        <v>15994</v>
      </c>
      <c r="G316" s="92">
        <v>351</v>
      </c>
      <c r="H316" s="92">
        <v>15643</v>
      </c>
      <c r="I316" s="92">
        <v>97</v>
      </c>
      <c r="J316" s="2"/>
      <c r="K316" s="2"/>
      <c r="L316" s="2"/>
      <c r="M316" s="2"/>
      <c r="N316" s="113"/>
    </row>
    <row r="317" spans="1:14">
      <c r="A317" s="83" t="s">
        <v>190</v>
      </c>
      <c r="B317" s="78" t="s">
        <v>29</v>
      </c>
      <c r="C317" s="78" t="s">
        <v>34</v>
      </c>
      <c r="D317" s="78" t="s">
        <v>403</v>
      </c>
      <c r="E317" s="78" t="s">
        <v>419</v>
      </c>
      <c r="F317" s="92">
        <v>100661</v>
      </c>
      <c r="G317" s="92">
        <v>102</v>
      </c>
      <c r="H317" s="92">
        <v>100559</v>
      </c>
      <c r="I317" s="92">
        <v>99</v>
      </c>
      <c r="J317" s="2"/>
      <c r="K317" s="2"/>
      <c r="L317" s="2"/>
      <c r="M317" s="2"/>
      <c r="N317" s="113"/>
    </row>
    <row r="318" spans="1:14">
      <c r="A318" s="83" t="s">
        <v>190</v>
      </c>
      <c r="B318" s="78" t="s">
        <v>29</v>
      </c>
      <c r="C318" s="78" t="s">
        <v>34</v>
      </c>
      <c r="D318" s="78" t="s">
        <v>385</v>
      </c>
      <c r="E318" s="78" t="s">
        <v>430</v>
      </c>
      <c r="F318" s="92">
        <v>471</v>
      </c>
      <c r="G318" s="92">
        <v>469</v>
      </c>
      <c r="H318" s="92">
        <v>2</v>
      </c>
      <c r="I318" s="92">
        <v>0</v>
      </c>
      <c r="J318" s="2"/>
      <c r="K318" s="2"/>
      <c r="L318" s="2"/>
      <c r="M318" s="2"/>
      <c r="N318" s="113"/>
    </row>
    <row r="319" spans="1:14">
      <c r="A319" s="143"/>
      <c r="B319" s="144"/>
      <c r="C319" s="144"/>
      <c r="D319" s="144"/>
      <c r="E319" s="144"/>
      <c r="F319" s="146">
        <v>215911</v>
      </c>
      <c r="G319" s="100"/>
      <c r="H319" s="100"/>
      <c r="I319" s="100"/>
      <c r="J319" s="76" t="s">
        <v>754</v>
      </c>
      <c r="K319" s="106">
        <v>25.1494140625</v>
      </c>
      <c r="L319" s="144"/>
      <c r="M319" s="144"/>
      <c r="N319" s="112">
        <v>241664</v>
      </c>
    </row>
    <row r="320" spans="1:14">
      <c r="A320" s="84" t="s">
        <v>192</v>
      </c>
      <c r="B320" s="77" t="s">
        <v>29</v>
      </c>
      <c r="C320" s="77" t="s">
        <v>34</v>
      </c>
      <c r="D320" s="77" t="s">
        <v>403</v>
      </c>
      <c r="E320" s="77" t="s">
        <v>419</v>
      </c>
      <c r="F320" s="91">
        <v>806217</v>
      </c>
      <c r="G320" s="91">
        <v>625</v>
      </c>
      <c r="H320" s="91">
        <v>805592</v>
      </c>
      <c r="I320" s="91">
        <v>99</v>
      </c>
      <c r="J320" s="77" t="s">
        <v>192</v>
      </c>
      <c r="K320" s="77" t="s">
        <v>29</v>
      </c>
      <c r="L320" s="77" t="s">
        <v>386</v>
      </c>
      <c r="M320" s="77" t="s">
        <v>385</v>
      </c>
      <c r="N320" s="107">
        <v>40960</v>
      </c>
    </row>
    <row r="321" spans="1:14">
      <c r="A321" s="83" t="s">
        <v>192</v>
      </c>
      <c r="B321" s="78" t="s">
        <v>29</v>
      </c>
      <c r="C321" s="78" t="s">
        <v>34</v>
      </c>
      <c r="D321" s="78" t="s">
        <v>385</v>
      </c>
      <c r="E321" s="78" t="s">
        <v>414</v>
      </c>
      <c r="F321" s="92">
        <v>39684</v>
      </c>
      <c r="G321" s="92">
        <v>19570</v>
      </c>
      <c r="H321" s="92">
        <v>20114</v>
      </c>
      <c r="I321" s="92">
        <v>50</v>
      </c>
      <c r="J321" s="78" t="s">
        <v>192</v>
      </c>
      <c r="K321" s="78" t="s">
        <v>29</v>
      </c>
      <c r="L321" s="78" t="s">
        <v>384</v>
      </c>
      <c r="M321" s="78" t="s">
        <v>385</v>
      </c>
      <c r="N321" s="108">
        <v>819200</v>
      </c>
    </row>
    <row r="322" spans="1:14">
      <c r="A322" s="141"/>
      <c r="B322" s="97"/>
      <c r="C322" s="97"/>
      <c r="D322" s="97"/>
      <c r="E322" s="97"/>
      <c r="F322" s="96">
        <v>845901</v>
      </c>
      <c r="G322" s="94"/>
      <c r="H322" s="94"/>
      <c r="I322" s="94"/>
      <c r="J322" s="102" t="s">
        <v>754</v>
      </c>
      <c r="K322" s="103">
        <v>13.9248046875</v>
      </c>
      <c r="L322" s="97"/>
      <c r="M322" s="97"/>
      <c r="N322" s="147">
        <v>860160</v>
      </c>
    </row>
    <row r="323" spans="1:14">
      <c r="A323" s="84" t="s">
        <v>194</v>
      </c>
      <c r="B323" s="77" t="s">
        <v>29</v>
      </c>
      <c r="C323" s="77" t="s">
        <v>34</v>
      </c>
      <c r="D323" s="77" t="s">
        <v>403</v>
      </c>
      <c r="E323" s="77" t="s">
        <v>419</v>
      </c>
      <c r="F323" s="91">
        <v>806345</v>
      </c>
      <c r="G323" s="91">
        <v>484339</v>
      </c>
      <c r="H323" s="91">
        <v>322006</v>
      </c>
      <c r="I323" s="91">
        <v>39</v>
      </c>
      <c r="J323" s="77" t="s">
        <v>194</v>
      </c>
      <c r="K323" s="77" t="s">
        <v>29</v>
      </c>
      <c r="L323" s="77" t="s">
        <v>386</v>
      </c>
      <c r="M323" s="77" t="s">
        <v>385</v>
      </c>
      <c r="N323" s="107">
        <v>40960</v>
      </c>
    </row>
    <row r="324" spans="1:14">
      <c r="A324" s="83" t="s">
        <v>194</v>
      </c>
      <c r="B324" s="78" t="s">
        <v>29</v>
      </c>
      <c r="C324" s="78" t="s">
        <v>34</v>
      </c>
      <c r="D324" s="78" t="s">
        <v>385</v>
      </c>
      <c r="E324" s="78" t="s">
        <v>414</v>
      </c>
      <c r="F324" s="92">
        <v>39812</v>
      </c>
      <c r="G324" s="92">
        <v>2406</v>
      </c>
      <c r="H324" s="92">
        <v>37406</v>
      </c>
      <c r="I324" s="92">
        <v>93</v>
      </c>
      <c r="J324" s="78" t="s">
        <v>194</v>
      </c>
      <c r="K324" s="78" t="s">
        <v>29</v>
      </c>
      <c r="L324" s="78" t="s">
        <v>384</v>
      </c>
      <c r="M324" s="78" t="s">
        <v>385</v>
      </c>
      <c r="N324" s="108">
        <v>819200</v>
      </c>
    </row>
    <row r="325" spans="1:14">
      <c r="A325" s="141"/>
      <c r="B325" s="97"/>
      <c r="C325" s="97"/>
      <c r="D325" s="97"/>
      <c r="E325" s="97"/>
      <c r="F325" s="96">
        <v>846157</v>
      </c>
      <c r="G325" s="94"/>
      <c r="H325" s="94"/>
      <c r="I325" s="94"/>
      <c r="J325" s="102" t="s">
        <v>754</v>
      </c>
      <c r="K325" s="103">
        <v>13.6748046875</v>
      </c>
      <c r="L325" s="97"/>
      <c r="M325" s="97"/>
      <c r="N325" s="147">
        <v>860160</v>
      </c>
    </row>
    <row r="326" spans="1:14">
      <c r="A326" s="84" t="s">
        <v>196</v>
      </c>
      <c r="B326" s="77" t="s">
        <v>29</v>
      </c>
      <c r="C326" s="77" t="s">
        <v>34</v>
      </c>
      <c r="D326" s="77" t="s">
        <v>385</v>
      </c>
      <c r="E326" s="77" t="s">
        <v>463</v>
      </c>
      <c r="F326" s="91">
        <v>204697</v>
      </c>
      <c r="G326" s="91">
        <v>178130</v>
      </c>
      <c r="H326" s="91">
        <v>26567</v>
      </c>
      <c r="I326" s="91">
        <v>12</v>
      </c>
      <c r="J326" s="77" t="s">
        <v>196</v>
      </c>
      <c r="K326" s="77" t="s">
        <v>29</v>
      </c>
      <c r="L326" s="77" t="s">
        <v>386</v>
      </c>
      <c r="M326" s="77" t="s">
        <v>385</v>
      </c>
      <c r="N326" s="107">
        <v>204800</v>
      </c>
    </row>
    <row r="327" spans="1:14">
      <c r="A327" s="83" t="s">
        <v>196</v>
      </c>
      <c r="B327" s="78" t="s">
        <v>29</v>
      </c>
      <c r="C327" s="78" t="s">
        <v>34</v>
      </c>
      <c r="D327" s="78" t="s">
        <v>403</v>
      </c>
      <c r="E327" s="78" t="s">
        <v>501</v>
      </c>
      <c r="F327" s="92">
        <v>511996</v>
      </c>
      <c r="G327" s="92">
        <v>317213</v>
      </c>
      <c r="H327" s="92">
        <v>194783</v>
      </c>
      <c r="I327" s="92">
        <v>38</v>
      </c>
      <c r="J327" s="78" t="s">
        <v>196</v>
      </c>
      <c r="K327" s="78" t="s">
        <v>29</v>
      </c>
      <c r="L327" s="78" t="s">
        <v>384</v>
      </c>
      <c r="M327" s="78" t="s">
        <v>385</v>
      </c>
      <c r="N327" s="108">
        <v>512000</v>
      </c>
    </row>
    <row r="328" spans="1:14">
      <c r="A328" s="141"/>
      <c r="B328" s="97"/>
      <c r="C328" s="97"/>
      <c r="D328" s="97"/>
      <c r="E328" s="97"/>
      <c r="F328" s="96">
        <v>716693</v>
      </c>
      <c r="G328" s="94"/>
      <c r="H328" s="94"/>
      <c r="I328" s="94"/>
      <c r="J328" s="102" t="s">
        <v>754</v>
      </c>
      <c r="K328" s="103">
        <v>0.1044921875</v>
      </c>
      <c r="L328" s="97"/>
      <c r="M328" s="97"/>
      <c r="N328" s="147">
        <v>716800</v>
      </c>
    </row>
    <row r="329" spans="1:14">
      <c r="A329" s="148" t="s">
        <v>201</v>
      </c>
      <c r="B329" s="77" t="s">
        <v>29</v>
      </c>
      <c r="C329" s="77" t="s">
        <v>34</v>
      </c>
      <c r="D329" s="77" t="s">
        <v>385</v>
      </c>
      <c r="E329" s="155" t="s">
        <v>414</v>
      </c>
      <c r="F329" s="155">
        <v>36000</v>
      </c>
      <c r="G329" s="155">
        <v>4812.8</v>
      </c>
      <c r="H329" s="155">
        <v>30000</v>
      </c>
      <c r="I329" s="159">
        <v>14</v>
      </c>
      <c r="J329" s="77" t="s">
        <v>201</v>
      </c>
      <c r="K329" s="77" t="s">
        <v>29</v>
      </c>
      <c r="L329" s="77" t="s">
        <v>384</v>
      </c>
      <c r="M329" s="77" t="s">
        <v>385</v>
      </c>
      <c r="N329" s="107">
        <v>307200</v>
      </c>
    </row>
    <row r="330" spans="1:14">
      <c r="A330" s="149" t="s">
        <v>201</v>
      </c>
      <c r="B330" s="78" t="s">
        <v>29</v>
      </c>
      <c r="C330" s="78" t="s">
        <v>34</v>
      </c>
      <c r="D330" s="78" t="s">
        <v>385</v>
      </c>
      <c r="E330" s="63" t="s">
        <v>421</v>
      </c>
      <c r="F330" s="92">
        <v>9842</v>
      </c>
      <c r="G330" s="63">
        <v>592</v>
      </c>
      <c r="H330" s="63">
        <v>8600</v>
      </c>
      <c r="I330" s="160">
        <v>7</v>
      </c>
      <c r="J330" s="78" t="s">
        <v>201</v>
      </c>
      <c r="K330" s="78" t="s">
        <v>29</v>
      </c>
      <c r="L330" s="78" t="s">
        <v>386</v>
      </c>
      <c r="M330" s="78" t="s">
        <v>385</v>
      </c>
      <c r="N330" s="108">
        <v>61440</v>
      </c>
    </row>
    <row r="331" spans="1:14">
      <c r="A331" s="143"/>
      <c r="B331" s="144"/>
      <c r="C331" s="144"/>
      <c r="D331" s="144"/>
      <c r="E331" s="144"/>
      <c r="F331" s="146">
        <v>45842</v>
      </c>
      <c r="G331" s="100"/>
      <c r="H331" s="100"/>
      <c r="I331" s="100"/>
      <c r="J331" s="76" t="s">
        <v>754</v>
      </c>
      <c r="K331" s="119">
        <v>315.232421875</v>
      </c>
      <c r="L331" s="144"/>
      <c r="M331" s="144"/>
      <c r="N331" s="112">
        <v>368640</v>
      </c>
    </row>
    <row r="332" spans="1:14">
      <c r="A332" s="148" t="s">
        <v>204</v>
      </c>
      <c r="B332" s="77" t="s">
        <v>29</v>
      </c>
      <c r="C332" s="77" t="s">
        <v>34</v>
      </c>
      <c r="D332" s="77" t="s">
        <v>385</v>
      </c>
      <c r="E332" s="155" t="s">
        <v>414</v>
      </c>
      <c r="F332" s="155">
        <v>36000</v>
      </c>
      <c r="G332" s="155">
        <v>4700</v>
      </c>
      <c r="H332" s="155">
        <v>30000</v>
      </c>
      <c r="I332" s="159">
        <v>14</v>
      </c>
      <c r="J332" s="77" t="s">
        <v>204</v>
      </c>
      <c r="K332" s="77" t="s">
        <v>29</v>
      </c>
      <c r="L332" s="77" t="s">
        <v>386</v>
      </c>
      <c r="M332" s="77" t="s">
        <v>385</v>
      </c>
      <c r="N332" s="107">
        <v>61440</v>
      </c>
    </row>
    <row r="333" spans="1:14">
      <c r="A333" s="149" t="s">
        <v>204</v>
      </c>
      <c r="B333" s="78" t="s">
        <v>29</v>
      </c>
      <c r="C333" s="78" t="s">
        <v>34</v>
      </c>
      <c r="D333" s="78" t="s">
        <v>385</v>
      </c>
      <c r="E333" s="63" t="s">
        <v>421</v>
      </c>
      <c r="F333" s="92">
        <v>9842</v>
      </c>
      <c r="G333" s="63">
        <v>592</v>
      </c>
      <c r="H333" s="63">
        <v>8600</v>
      </c>
      <c r="I333" s="160">
        <v>7</v>
      </c>
      <c r="J333" s="78" t="s">
        <v>204</v>
      </c>
      <c r="K333" s="78" t="s">
        <v>29</v>
      </c>
      <c r="L333" s="78" t="s">
        <v>384</v>
      </c>
      <c r="M333" s="78" t="s">
        <v>385</v>
      </c>
      <c r="N333" s="108">
        <v>307200</v>
      </c>
    </row>
    <row r="334" spans="1:14">
      <c r="A334" s="149" t="s">
        <v>204</v>
      </c>
      <c r="B334" s="78" t="s">
        <v>29</v>
      </c>
      <c r="C334" s="78" t="s">
        <v>34</v>
      </c>
      <c r="D334" s="78" t="s">
        <v>403</v>
      </c>
      <c r="E334" s="63" t="s">
        <v>656</v>
      </c>
      <c r="F334" s="63">
        <v>296000</v>
      </c>
      <c r="G334" s="63">
        <v>219000</v>
      </c>
      <c r="H334" s="63">
        <v>62000</v>
      </c>
      <c r="I334" s="160">
        <v>79</v>
      </c>
      <c r="J334" s="2"/>
      <c r="K334" s="2"/>
      <c r="L334" s="2"/>
      <c r="M334" s="2"/>
      <c r="N334" s="113"/>
    </row>
    <row r="335" spans="1:14">
      <c r="A335" s="141"/>
      <c r="B335" s="97"/>
      <c r="C335" s="97"/>
      <c r="D335" s="97"/>
      <c r="E335" s="97"/>
      <c r="F335" s="96">
        <v>341842</v>
      </c>
      <c r="G335" s="94"/>
      <c r="H335" s="94"/>
      <c r="I335" s="94"/>
      <c r="J335" s="102" t="s">
        <v>754</v>
      </c>
      <c r="K335" s="103">
        <v>26.169921875</v>
      </c>
      <c r="L335" s="97"/>
      <c r="M335" s="97"/>
      <c r="N335" s="147">
        <v>368640</v>
      </c>
    </row>
    <row r="336" spans="1:14">
      <c r="A336" s="84" t="s">
        <v>205</v>
      </c>
      <c r="B336" s="77" t="s">
        <v>29</v>
      </c>
      <c r="C336" s="77" t="s">
        <v>34</v>
      </c>
      <c r="D336" s="77" t="s">
        <v>385</v>
      </c>
      <c r="E336" s="77" t="s">
        <v>414</v>
      </c>
      <c r="F336" s="91">
        <v>36850</v>
      </c>
      <c r="G336" s="91">
        <v>28533</v>
      </c>
      <c r="H336" s="91">
        <v>8317</v>
      </c>
      <c r="I336" s="91">
        <v>22</v>
      </c>
      <c r="J336" s="77" t="s">
        <v>205</v>
      </c>
      <c r="K336" s="77" t="s">
        <v>29</v>
      </c>
      <c r="L336" s="77" t="s">
        <v>384</v>
      </c>
      <c r="M336" s="77" t="s">
        <v>385</v>
      </c>
      <c r="N336" s="107">
        <v>307200</v>
      </c>
    </row>
    <row r="337" spans="1:14">
      <c r="A337" s="83" t="s">
        <v>205</v>
      </c>
      <c r="B337" s="78" t="s">
        <v>29</v>
      </c>
      <c r="C337" s="78" t="s">
        <v>34</v>
      </c>
      <c r="D337" s="78" t="s">
        <v>385</v>
      </c>
      <c r="E337" s="78" t="s">
        <v>421</v>
      </c>
      <c r="F337" s="92">
        <v>9842</v>
      </c>
      <c r="G337" s="92">
        <v>399</v>
      </c>
      <c r="H337" s="92">
        <v>9443</v>
      </c>
      <c r="I337" s="92">
        <v>95</v>
      </c>
      <c r="J337" s="78" t="s">
        <v>205</v>
      </c>
      <c r="K337" s="78" t="s">
        <v>29</v>
      </c>
      <c r="L337" s="78" t="s">
        <v>386</v>
      </c>
      <c r="M337" s="78" t="s">
        <v>385</v>
      </c>
      <c r="N337" s="108">
        <v>61440</v>
      </c>
    </row>
    <row r="338" spans="1:14">
      <c r="A338" s="141"/>
      <c r="B338" s="97"/>
      <c r="C338" s="97"/>
      <c r="D338" s="97"/>
      <c r="E338" s="97"/>
      <c r="F338" s="96">
        <v>46692</v>
      </c>
      <c r="G338" s="94"/>
      <c r="H338" s="94"/>
      <c r="I338" s="94"/>
      <c r="J338" s="102" t="s">
        <v>754</v>
      </c>
      <c r="K338" s="130">
        <v>314.40234375</v>
      </c>
      <c r="L338" s="97"/>
      <c r="M338" s="97"/>
      <c r="N338" s="147">
        <v>368640</v>
      </c>
    </row>
    <row r="339" spans="1:14">
      <c r="A339" s="150" t="s">
        <v>208</v>
      </c>
      <c r="B339" s="128" t="s">
        <v>29</v>
      </c>
      <c r="C339" s="128" t="s">
        <v>34</v>
      </c>
      <c r="D339" s="128" t="s">
        <v>385</v>
      </c>
      <c r="E339" s="128" t="s">
        <v>421</v>
      </c>
      <c r="F339" s="156">
        <v>9842</v>
      </c>
      <c r="G339" s="156">
        <v>358</v>
      </c>
      <c r="H339" s="156">
        <v>9484</v>
      </c>
      <c r="I339" s="156">
        <v>96</v>
      </c>
      <c r="J339" s="128" t="s">
        <v>208</v>
      </c>
      <c r="K339" s="128" t="s">
        <v>29</v>
      </c>
      <c r="L339" s="128" t="s">
        <v>386</v>
      </c>
      <c r="M339" s="128" t="s">
        <v>385</v>
      </c>
      <c r="N339" s="131">
        <v>61440</v>
      </c>
    </row>
    <row r="340" spans="1:14">
      <c r="A340" s="151" t="s">
        <v>208</v>
      </c>
      <c r="B340" s="129" t="s">
        <v>29</v>
      </c>
      <c r="C340" s="129" t="s">
        <v>34</v>
      </c>
      <c r="D340" s="129" t="s">
        <v>385</v>
      </c>
      <c r="E340" s="129" t="s">
        <v>414</v>
      </c>
      <c r="F340" s="157">
        <v>36850</v>
      </c>
      <c r="G340" s="157">
        <v>27656</v>
      </c>
      <c r="H340" s="157">
        <v>9194</v>
      </c>
      <c r="I340" s="157">
        <v>24</v>
      </c>
      <c r="J340" s="129" t="s">
        <v>208</v>
      </c>
      <c r="K340" s="129" t="s">
        <v>29</v>
      </c>
      <c r="L340" s="129" t="s">
        <v>384</v>
      </c>
      <c r="M340" s="129" t="s">
        <v>385</v>
      </c>
      <c r="N340" s="132">
        <v>307200</v>
      </c>
    </row>
    <row r="341" spans="1:14">
      <c r="A341" s="141"/>
      <c r="B341" s="97"/>
      <c r="C341" s="97"/>
      <c r="D341" s="97"/>
      <c r="E341" s="97"/>
      <c r="F341" s="96">
        <v>46692</v>
      </c>
      <c r="G341" s="94"/>
      <c r="H341" s="94"/>
      <c r="I341" s="94"/>
      <c r="J341" s="102" t="s">
        <v>754</v>
      </c>
      <c r="K341" s="130">
        <v>314.40234375</v>
      </c>
      <c r="L341" s="97"/>
      <c r="M341" s="97"/>
      <c r="N341" s="147">
        <v>368640</v>
      </c>
    </row>
    <row r="342" spans="1:14">
      <c r="A342" s="84" t="s">
        <v>209</v>
      </c>
      <c r="B342" s="77" t="s">
        <v>29</v>
      </c>
      <c r="C342" s="77" t="s">
        <v>34</v>
      </c>
      <c r="D342" s="77" t="s">
        <v>385</v>
      </c>
      <c r="E342" s="77" t="s">
        <v>463</v>
      </c>
      <c r="F342" s="91">
        <v>163736</v>
      </c>
      <c r="G342" s="91">
        <v>163346</v>
      </c>
      <c r="H342" s="91">
        <v>390</v>
      </c>
      <c r="I342" s="91">
        <v>0</v>
      </c>
      <c r="J342" s="77" t="s">
        <v>209</v>
      </c>
      <c r="K342" s="77" t="s">
        <v>29</v>
      </c>
      <c r="L342" s="77" t="s">
        <v>382</v>
      </c>
      <c r="M342" s="77"/>
      <c r="N342" s="107">
        <v>4194304</v>
      </c>
    </row>
    <row r="343" spans="1:14">
      <c r="A343" s="83" t="s">
        <v>209</v>
      </c>
      <c r="B343" s="78" t="s">
        <v>29</v>
      </c>
      <c r="C343" s="78" t="s">
        <v>34</v>
      </c>
      <c r="D343" s="78" t="s">
        <v>403</v>
      </c>
      <c r="E343" s="78" t="s">
        <v>501</v>
      </c>
      <c r="F343" s="92">
        <v>204796</v>
      </c>
      <c r="G343" s="92">
        <v>74979</v>
      </c>
      <c r="H343" s="92">
        <v>129817</v>
      </c>
      <c r="I343" s="92">
        <v>63</v>
      </c>
      <c r="J343" s="78" t="s">
        <v>209</v>
      </c>
      <c r="K343" s="78" t="s">
        <v>29</v>
      </c>
      <c r="L343" s="78" t="s">
        <v>386</v>
      </c>
      <c r="M343" s="78" t="s">
        <v>385</v>
      </c>
      <c r="N343" s="108">
        <v>163840</v>
      </c>
    </row>
    <row r="344" spans="1:14">
      <c r="A344" s="83" t="s">
        <v>209</v>
      </c>
      <c r="B344" s="78" t="s">
        <v>29</v>
      </c>
      <c r="C344" s="78" t="s">
        <v>34</v>
      </c>
      <c r="D344" s="78" t="s">
        <v>403</v>
      </c>
      <c r="E344" s="78" t="s">
        <v>503</v>
      </c>
      <c r="F344" s="92">
        <v>4194173</v>
      </c>
      <c r="G344" s="92">
        <v>111508</v>
      </c>
      <c r="H344" s="92">
        <v>4082665</v>
      </c>
      <c r="I344" s="92">
        <v>97</v>
      </c>
      <c r="J344" s="78" t="s">
        <v>209</v>
      </c>
      <c r="K344" s="78" t="s">
        <v>29</v>
      </c>
      <c r="L344" s="78" t="s">
        <v>384</v>
      </c>
      <c r="M344" s="78" t="s">
        <v>385</v>
      </c>
      <c r="N344" s="108">
        <v>204800</v>
      </c>
    </row>
    <row r="345" spans="1:14">
      <c r="A345" s="143"/>
      <c r="B345" s="144"/>
      <c r="C345" s="144"/>
      <c r="D345" s="144"/>
      <c r="E345" s="144"/>
      <c r="F345" s="146">
        <v>4562705</v>
      </c>
      <c r="G345" s="100"/>
      <c r="H345" s="100"/>
      <c r="I345" s="100"/>
      <c r="J345" s="76" t="s">
        <v>754</v>
      </c>
      <c r="K345" s="106">
        <v>0.2333984375</v>
      </c>
      <c r="L345" s="144"/>
      <c r="M345" s="144"/>
      <c r="N345" s="112">
        <v>4562944</v>
      </c>
    </row>
    <row r="346" spans="1:14">
      <c r="A346" s="84" t="s">
        <v>213</v>
      </c>
      <c r="B346" s="77" t="s">
        <v>29</v>
      </c>
      <c r="C346" s="77" t="s">
        <v>34</v>
      </c>
      <c r="D346" s="77" t="s">
        <v>403</v>
      </c>
      <c r="E346" s="77" t="s">
        <v>503</v>
      </c>
      <c r="F346" s="91">
        <v>4194173</v>
      </c>
      <c r="G346" s="91">
        <v>109866</v>
      </c>
      <c r="H346" s="91">
        <v>4084307</v>
      </c>
      <c r="I346" s="91">
        <v>97</v>
      </c>
      <c r="J346" s="77" t="s">
        <v>213</v>
      </c>
      <c r="K346" s="77" t="s">
        <v>29</v>
      </c>
      <c r="L346" s="77" t="s">
        <v>382</v>
      </c>
      <c r="M346" s="77"/>
      <c r="N346" s="107">
        <v>4194304</v>
      </c>
    </row>
    <row r="347" spans="1:14">
      <c r="A347" s="83" t="s">
        <v>213</v>
      </c>
      <c r="B347" s="78" t="s">
        <v>29</v>
      </c>
      <c r="C347" s="78" t="s">
        <v>34</v>
      </c>
      <c r="D347" s="78" t="s">
        <v>403</v>
      </c>
      <c r="E347" s="78" t="s">
        <v>459</v>
      </c>
      <c r="F347" s="92">
        <v>204796</v>
      </c>
      <c r="G347" s="92">
        <v>105246</v>
      </c>
      <c r="H347" s="92">
        <v>99550</v>
      </c>
      <c r="I347" s="92">
        <v>48</v>
      </c>
      <c r="J347" s="78" t="s">
        <v>213</v>
      </c>
      <c r="K347" s="78" t="s">
        <v>29</v>
      </c>
      <c r="L347" s="78" t="s">
        <v>386</v>
      </c>
      <c r="M347" s="78" t="s">
        <v>385</v>
      </c>
      <c r="N347" s="108">
        <v>122880</v>
      </c>
    </row>
    <row r="348" spans="1:14">
      <c r="A348" s="83" t="s">
        <v>213</v>
      </c>
      <c r="B348" s="78" t="s">
        <v>29</v>
      </c>
      <c r="C348" s="78" t="s">
        <v>34</v>
      </c>
      <c r="D348" s="78" t="s">
        <v>385</v>
      </c>
      <c r="E348" s="78" t="s">
        <v>463</v>
      </c>
      <c r="F348" s="92">
        <v>122776</v>
      </c>
      <c r="G348" s="92">
        <v>121549</v>
      </c>
      <c r="H348" s="92">
        <v>1227</v>
      </c>
      <c r="I348" s="92">
        <v>0</v>
      </c>
      <c r="J348" s="78" t="s">
        <v>213</v>
      </c>
      <c r="K348" s="78" t="s">
        <v>29</v>
      </c>
      <c r="L348" s="78" t="s">
        <v>384</v>
      </c>
      <c r="M348" s="78" t="s">
        <v>385</v>
      </c>
      <c r="N348" s="108">
        <v>204800</v>
      </c>
    </row>
    <row r="349" spans="1:14">
      <c r="A349" s="141"/>
      <c r="B349" s="97"/>
      <c r="C349" s="97"/>
      <c r="D349" s="97"/>
      <c r="E349" s="97"/>
      <c r="F349" s="96">
        <v>4521745</v>
      </c>
      <c r="G349" s="94"/>
      <c r="H349" s="94"/>
      <c r="I349" s="94"/>
      <c r="J349" s="102" t="s">
        <v>754</v>
      </c>
      <c r="K349" s="103">
        <v>0.2333984375</v>
      </c>
      <c r="L349" s="97"/>
      <c r="M349" s="97"/>
      <c r="N349" s="147">
        <v>4521984</v>
      </c>
    </row>
    <row r="350" spans="1:14">
      <c r="A350" s="84" t="s">
        <v>215</v>
      </c>
      <c r="B350" s="77" t="s">
        <v>29</v>
      </c>
      <c r="C350" s="77" t="s">
        <v>34</v>
      </c>
      <c r="D350" s="77" t="s">
        <v>403</v>
      </c>
      <c r="E350" s="77" t="s">
        <v>501</v>
      </c>
      <c r="F350" s="91">
        <v>4194173</v>
      </c>
      <c r="G350" s="91">
        <v>127764</v>
      </c>
      <c r="H350" s="91">
        <v>4066409</v>
      </c>
      <c r="I350" s="91">
        <v>96</v>
      </c>
      <c r="J350" s="77" t="s">
        <v>215</v>
      </c>
      <c r="K350" s="77" t="s">
        <v>29</v>
      </c>
      <c r="L350" s="77" t="s">
        <v>384</v>
      </c>
      <c r="M350" s="77"/>
      <c r="N350" s="107">
        <v>4194304</v>
      </c>
    </row>
    <row r="351" spans="1:14">
      <c r="A351" s="83" t="s">
        <v>215</v>
      </c>
      <c r="B351" s="78" t="s">
        <v>29</v>
      </c>
      <c r="C351" s="78" t="s">
        <v>34</v>
      </c>
      <c r="D351" s="78" t="s">
        <v>385</v>
      </c>
      <c r="E351" s="78" t="s">
        <v>463</v>
      </c>
      <c r="F351" s="92">
        <v>255896</v>
      </c>
      <c r="G351" s="92">
        <v>248971</v>
      </c>
      <c r="H351" s="92">
        <v>6925</v>
      </c>
      <c r="I351" s="92">
        <v>2</v>
      </c>
      <c r="J351" s="78" t="s">
        <v>215</v>
      </c>
      <c r="K351" s="78" t="s">
        <v>29</v>
      </c>
      <c r="L351" s="78" t="s">
        <v>386</v>
      </c>
      <c r="M351" s="78" t="s">
        <v>385</v>
      </c>
      <c r="N351" s="108">
        <v>256000</v>
      </c>
    </row>
    <row r="352" spans="1:14">
      <c r="A352" s="141"/>
      <c r="B352" s="97"/>
      <c r="C352" s="97"/>
      <c r="D352" s="97"/>
      <c r="E352" s="97"/>
      <c r="F352" s="96">
        <v>4450069</v>
      </c>
      <c r="G352" s="94"/>
      <c r="H352" s="94"/>
      <c r="I352" s="94"/>
      <c r="J352" s="102" t="s">
        <v>754</v>
      </c>
      <c r="K352" s="103">
        <v>0.2294921875</v>
      </c>
      <c r="L352" s="97"/>
      <c r="M352" s="97"/>
      <c r="N352" s="147">
        <v>4450304</v>
      </c>
    </row>
    <row r="353" spans="1:14">
      <c r="A353" s="148" t="s">
        <v>218</v>
      </c>
      <c r="B353" s="77" t="s">
        <v>29</v>
      </c>
      <c r="C353" s="77" t="s">
        <v>34</v>
      </c>
      <c r="D353" s="77" t="s">
        <v>385</v>
      </c>
      <c r="E353" s="155" t="s">
        <v>414</v>
      </c>
      <c r="F353" s="155">
        <v>36000</v>
      </c>
      <c r="G353" s="155">
        <v>12000</v>
      </c>
      <c r="H353" s="155">
        <v>23000</v>
      </c>
      <c r="I353" s="159">
        <v>36</v>
      </c>
      <c r="J353" s="77" t="s">
        <v>218</v>
      </c>
      <c r="K353" s="77" t="s">
        <v>29</v>
      </c>
      <c r="L353" s="77" t="s">
        <v>384</v>
      </c>
      <c r="M353" s="77" t="s">
        <v>385</v>
      </c>
      <c r="N353" s="107">
        <v>512000</v>
      </c>
    </row>
    <row r="354" spans="1:14">
      <c r="A354" s="149" t="s">
        <v>218</v>
      </c>
      <c r="B354" s="78" t="s">
        <v>29</v>
      </c>
      <c r="C354" s="78" t="s">
        <v>34</v>
      </c>
      <c r="D354" s="78" t="s">
        <v>385</v>
      </c>
      <c r="E354" s="63" t="s">
        <v>421</v>
      </c>
      <c r="F354" s="92">
        <v>9842</v>
      </c>
      <c r="G354" s="63">
        <v>426</v>
      </c>
      <c r="H354" s="63">
        <v>8800</v>
      </c>
      <c r="I354" s="160">
        <v>5</v>
      </c>
      <c r="J354" s="78" t="s">
        <v>218</v>
      </c>
      <c r="K354" s="78" t="s">
        <v>29</v>
      </c>
      <c r="L354" s="78" t="s">
        <v>386</v>
      </c>
      <c r="M354" s="78" t="s">
        <v>385</v>
      </c>
      <c r="N354" s="108">
        <v>61440</v>
      </c>
    </row>
    <row r="355" spans="1:14">
      <c r="A355" s="149" t="s">
        <v>218</v>
      </c>
      <c r="B355" s="78" t="s">
        <v>29</v>
      </c>
      <c r="C355" s="78" t="s">
        <v>34</v>
      </c>
      <c r="D355" s="78" t="s">
        <v>403</v>
      </c>
      <c r="E355" s="63" t="s">
        <v>419</v>
      </c>
      <c r="F355" s="63">
        <v>36000</v>
      </c>
      <c r="G355" s="63">
        <v>1500</v>
      </c>
      <c r="H355" s="63">
        <v>466000</v>
      </c>
      <c r="I355" s="160">
        <v>1</v>
      </c>
      <c r="J355" s="2"/>
      <c r="K355" s="2"/>
      <c r="L355" s="2"/>
      <c r="M355" s="2"/>
      <c r="N355" s="113"/>
    </row>
    <row r="356" spans="1:14">
      <c r="A356" s="141"/>
      <c r="B356" s="97"/>
      <c r="C356" s="97"/>
      <c r="D356" s="97"/>
      <c r="E356" s="97"/>
      <c r="F356" s="96">
        <v>81842</v>
      </c>
      <c r="G356" s="94"/>
      <c r="H356" s="94"/>
      <c r="I356" s="94"/>
      <c r="J356" s="102" t="s">
        <v>754</v>
      </c>
      <c r="K356" s="130">
        <v>480.076171875</v>
      </c>
      <c r="L356" s="97"/>
      <c r="M356" s="97"/>
      <c r="N356" s="147">
        <v>573440</v>
      </c>
    </row>
    <row r="357" spans="1:14">
      <c r="A357" s="148" t="s">
        <v>220</v>
      </c>
      <c r="B357" s="77" t="s">
        <v>29</v>
      </c>
      <c r="C357" s="77" t="s">
        <v>34</v>
      </c>
      <c r="D357" s="77" t="s">
        <v>385</v>
      </c>
      <c r="E357" s="155" t="s">
        <v>414</v>
      </c>
      <c r="F357" s="155">
        <v>36000</v>
      </c>
      <c r="G357" s="155">
        <v>12288</v>
      </c>
      <c r="H357" s="155">
        <v>23000</v>
      </c>
      <c r="I357" s="159">
        <v>33</v>
      </c>
      <c r="J357" s="77" t="s">
        <v>220</v>
      </c>
      <c r="K357" s="77" t="s">
        <v>29</v>
      </c>
      <c r="L357" s="77" t="s">
        <v>386</v>
      </c>
      <c r="M357" s="77" t="s">
        <v>385</v>
      </c>
      <c r="N357" s="107">
        <v>61440</v>
      </c>
    </row>
    <row r="358" spans="1:14">
      <c r="A358" s="149" t="s">
        <v>220</v>
      </c>
      <c r="B358" s="78" t="s">
        <v>29</v>
      </c>
      <c r="C358" s="78" t="s">
        <v>34</v>
      </c>
      <c r="D358" s="78" t="s">
        <v>385</v>
      </c>
      <c r="E358" s="63" t="s">
        <v>421</v>
      </c>
      <c r="F358" s="92">
        <v>9842</v>
      </c>
      <c r="G358" s="63">
        <v>411</v>
      </c>
      <c r="H358" s="63">
        <v>8800</v>
      </c>
      <c r="I358" s="160">
        <v>5</v>
      </c>
      <c r="J358" s="78" t="s">
        <v>220</v>
      </c>
      <c r="K358" s="78" t="s">
        <v>29</v>
      </c>
      <c r="L358" s="78" t="s">
        <v>384</v>
      </c>
      <c r="M358" s="78" t="s">
        <v>385</v>
      </c>
      <c r="N358" s="108">
        <v>512000</v>
      </c>
    </row>
    <row r="359" spans="1:14">
      <c r="A359" s="149" t="s">
        <v>220</v>
      </c>
      <c r="B359" s="78" t="s">
        <v>29</v>
      </c>
      <c r="C359" s="78" t="s">
        <v>34</v>
      </c>
      <c r="D359" s="78" t="s">
        <v>403</v>
      </c>
      <c r="E359" s="63" t="s">
        <v>419</v>
      </c>
      <c r="F359" s="23">
        <v>493000</v>
      </c>
      <c r="G359" s="63">
        <v>70</v>
      </c>
      <c r="H359" s="63">
        <v>467000</v>
      </c>
      <c r="I359" s="160">
        <v>1</v>
      </c>
      <c r="J359" s="2"/>
      <c r="K359" s="2"/>
      <c r="L359" s="2"/>
      <c r="M359" s="2"/>
      <c r="N359" s="113"/>
    </row>
    <row r="360" spans="1:14">
      <c r="A360" s="141"/>
      <c r="B360" s="97"/>
      <c r="C360" s="97"/>
      <c r="D360" s="97"/>
      <c r="E360" s="97"/>
      <c r="F360" s="96">
        <v>538842</v>
      </c>
      <c r="G360" s="94"/>
      <c r="H360" s="94"/>
      <c r="I360" s="94"/>
      <c r="J360" s="102" t="s">
        <v>754</v>
      </c>
      <c r="K360" s="103">
        <v>33.787109375</v>
      </c>
      <c r="L360" s="97"/>
      <c r="M360" s="97"/>
      <c r="N360" s="147">
        <v>573440</v>
      </c>
    </row>
    <row r="361" spans="1:14">
      <c r="A361" s="148" t="s">
        <v>660</v>
      </c>
      <c r="B361" s="77" t="s">
        <v>29</v>
      </c>
      <c r="C361" s="77" t="s">
        <v>34</v>
      </c>
      <c r="D361" s="77" t="s">
        <v>385</v>
      </c>
      <c r="E361" s="155" t="s">
        <v>414</v>
      </c>
      <c r="F361" s="155">
        <v>36000</v>
      </c>
      <c r="G361" s="155">
        <v>5529.6</v>
      </c>
      <c r="H361" s="155">
        <v>29000</v>
      </c>
      <c r="I361" s="159">
        <v>16</v>
      </c>
      <c r="J361" s="77" t="s">
        <v>222</v>
      </c>
      <c r="K361" s="77" t="s">
        <v>29</v>
      </c>
      <c r="L361" s="77" t="s">
        <v>384</v>
      </c>
      <c r="M361" s="77" t="s">
        <v>385</v>
      </c>
      <c r="N361" s="107">
        <v>307200</v>
      </c>
    </row>
    <row r="362" spans="1:14">
      <c r="A362" s="149" t="s">
        <v>660</v>
      </c>
      <c r="B362" s="78" t="s">
        <v>29</v>
      </c>
      <c r="C362" s="78" t="s">
        <v>34</v>
      </c>
      <c r="D362" s="78" t="s">
        <v>385</v>
      </c>
      <c r="E362" s="63" t="s">
        <v>421</v>
      </c>
      <c r="F362" s="92">
        <v>9842</v>
      </c>
      <c r="G362" s="63">
        <v>555</v>
      </c>
      <c r="H362" s="63">
        <v>8600</v>
      </c>
      <c r="I362" s="160">
        <v>6</v>
      </c>
      <c r="J362" s="78" t="s">
        <v>222</v>
      </c>
      <c r="K362" s="78" t="s">
        <v>29</v>
      </c>
      <c r="L362" s="78" t="s">
        <v>386</v>
      </c>
      <c r="M362" s="78" t="s">
        <v>385</v>
      </c>
      <c r="N362" s="108">
        <v>61440</v>
      </c>
    </row>
    <row r="363" spans="1:14">
      <c r="A363" s="143"/>
      <c r="B363" s="144"/>
      <c r="C363" s="144"/>
      <c r="D363" s="144"/>
      <c r="E363" s="144"/>
      <c r="F363" s="146">
        <v>45842</v>
      </c>
      <c r="G363" s="100"/>
      <c r="H363" s="100"/>
      <c r="I363" s="100"/>
      <c r="J363" s="76" t="s">
        <v>754</v>
      </c>
      <c r="K363" s="119">
        <v>315.232421875</v>
      </c>
      <c r="L363" s="144"/>
      <c r="M363" s="144"/>
      <c r="N363" s="112">
        <v>368640</v>
      </c>
    </row>
    <row r="364" spans="1:14">
      <c r="A364" s="84" t="s">
        <v>224</v>
      </c>
      <c r="B364" s="142" t="s">
        <v>173</v>
      </c>
      <c r="C364" s="114"/>
      <c r="D364" s="114"/>
      <c r="E364" s="114"/>
      <c r="F364" s="114"/>
      <c r="G364" s="114"/>
      <c r="H364" s="114"/>
      <c r="I364" s="114"/>
      <c r="J364" s="77" t="s">
        <v>224</v>
      </c>
      <c r="K364" s="77" t="s">
        <v>173</v>
      </c>
      <c r="L364" s="77" t="s">
        <v>386</v>
      </c>
      <c r="M364" s="77" t="s">
        <v>385</v>
      </c>
      <c r="N364" s="107">
        <v>61440</v>
      </c>
    </row>
    <row r="365" spans="1:14">
      <c r="A365" s="123"/>
      <c r="B365" s="138" t="s">
        <v>173</v>
      </c>
      <c r="C365" s="2"/>
      <c r="D365" s="2"/>
      <c r="E365" s="2"/>
      <c r="F365" s="2"/>
      <c r="G365" s="2"/>
      <c r="H365" s="2"/>
      <c r="I365" s="2"/>
      <c r="J365" s="78" t="s">
        <v>224</v>
      </c>
      <c r="K365" s="78" t="s">
        <v>173</v>
      </c>
      <c r="L365" s="78" t="s">
        <v>384</v>
      </c>
      <c r="M365" s="78"/>
      <c r="N365" s="108">
        <v>10485760</v>
      </c>
    </row>
    <row r="366" spans="1:14">
      <c r="A366" s="141"/>
      <c r="B366" s="80"/>
      <c r="C366" s="97"/>
      <c r="D366" s="97"/>
      <c r="E366" s="97"/>
      <c r="F366" s="96">
        <v>0</v>
      </c>
      <c r="G366" s="94"/>
      <c r="H366" s="94"/>
      <c r="I366" s="94"/>
      <c r="J366" s="102" t="s">
        <v>754</v>
      </c>
      <c r="K366" s="130">
        <v>10300</v>
      </c>
      <c r="L366" s="97"/>
      <c r="M366" s="97"/>
      <c r="N366" s="147">
        <v>10547200</v>
      </c>
    </row>
    <row r="367" spans="1:14">
      <c r="A367" s="152" t="s">
        <v>658</v>
      </c>
      <c r="B367" s="153" t="s">
        <v>29</v>
      </c>
      <c r="C367" s="153" t="s">
        <v>34</v>
      </c>
      <c r="D367" s="153" t="s">
        <v>385</v>
      </c>
      <c r="E367" s="158" t="s">
        <v>414</v>
      </c>
      <c r="F367" s="158">
        <v>36000</v>
      </c>
      <c r="G367" s="158">
        <v>4096</v>
      </c>
      <c r="H367" s="158">
        <v>31000</v>
      </c>
      <c r="I367" s="161">
        <v>12</v>
      </c>
      <c r="J367" s="153" t="s">
        <v>227</v>
      </c>
      <c r="K367" s="153" t="s">
        <v>29</v>
      </c>
      <c r="L367" s="153" t="s">
        <v>384</v>
      </c>
      <c r="M367" s="153" t="s">
        <v>385</v>
      </c>
      <c r="N367" s="132">
        <v>307200</v>
      </c>
    </row>
    <row r="368" spans="1:14">
      <c r="A368" s="152" t="s">
        <v>658</v>
      </c>
      <c r="B368" s="129" t="s">
        <v>29</v>
      </c>
      <c r="C368" s="129" t="s">
        <v>34</v>
      </c>
      <c r="D368" s="129" t="s">
        <v>385</v>
      </c>
      <c r="E368" s="61" t="s">
        <v>421</v>
      </c>
      <c r="F368" s="157">
        <v>9842</v>
      </c>
      <c r="G368" s="61">
        <v>520</v>
      </c>
      <c r="H368" s="61">
        <v>8700</v>
      </c>
      <c r="I368" s="161">
        <v>6</v>
      </c>
      <c r="J368" s="129" t="s">
        <v>227</v>
      </c>
      <c r="K368" s="129" t="s">
        <v>29</v>
      </c>
      <c r="L368" s="129" t="s">
        <v>386</v>
      </c>
      <c r="M368" s="129" t="s">
        <v>385</v>
      </c>
      <c r="N368" s="132">
        <v>61440</v>
      </c>
    </row>
    <row r="369" spans="1:14">
      <c r="A369" s="141"/>
      <c r="B369" s="154"/>
      <c r="C369" s="97"/>
      <c r="D369" s="97"/>
      <c r="E369" s="97"/>
      <c r="F369" s="96">
        <v>45842</v>
      </c>
      <c r="G369" s="94"/>
      <c r="H369" s="94"/>
      <c r="I369" s="94"/>
      <c r="J369" s="102" t="s">
        <v>754</v>
      </c>
      <c r="K369" s="130">
        <v>315.232421875</v>
      </c>
      <c r="L369" s="97"/>
      <c r="M369" s="97"/>
      <c r="N369" s="147">
        <v>368640</v>
      </c>
    </row>
    <row r="373" spans="1:14">
      <c r="J373" s="1" t="s">
        <v>767</v>
      </c>
      <c r="K373" s="1">
        <v>20722.6220703125</v>
      </c>
    </row>
    <row r="374" spans="1:14">
      <c r="J374" s="2"/>
      <c r="K374" s="2"/>
    </row>
    <row r="375" spans="1:14">
      <c r="J375" s="1" t="s">
        <v>768</v>
      </c>
      <c r="K375" s="1">
        <v>19981.12109375</v>
      </c>
    </row>
    <row r="432" spans="1:9">
      <c r="A432" s="61"/>
      <c r="B432" s="129"/>
      <c r="C432" s="129"/>
      <c r="D432" s="129"/>
      <c r="E432" s="61"/>
      <c r="F432" s="61"/>
      <c r="G432" s="61"/>
      <c r="H432" s="61"/>
      <c r="I432" s="161"/>
    </row>
    <row r="433" spans="1:9">
      <c r="A433" s="61"/>
      <c r="B433" s="129"/>
      <c r="C433" s="129"/>
      <c r="D433" s="129"/>
      <c r="E433" s="61"/>
      <c r="F433" s="157"/>
      <c r="G433" s="61"/>
      <c r="H433" s="61"/>
      <c r="I433" s="161"/>
    </row>
    <row r="434" spans="1:9">
      <c r="A434" s="61"/>
      <c r="B434" s="129"/>
      <c r="C434" s="129"/>
      <c r="D434" s="129"/>
      <c r="E434" s="61"/>
      <c r="F434" s="157"/>
      <c r="G434" s="61"/>
      <c r="H434" s="61"/>
      <c r="I434" s="161"/>
    </row>
    <row r="435" spans="1:9">
      <c r="A435" s="61"/>
      <c r="B435" s="129"/>
      <c r="C435" s="129"/>
      <c r="D435" s="129"/>
      <c r="E435" s="61"/>
      <c r="F435" s="61"/>
      <c r="G435" s="61"/>
      <c r="H435" s="61"/>
      <c r="I435" s="161"/>
    </row>
    <row r="436" spans="1:9">
      <c r="A436" s="61"/>
      <c r="B436" s="129"/>
      <c r="C436" s="129"/>
      <c r="D436" s="129"/>
      <c r="E436" s="61"/>
      <c r="F436" s="157"/>
      <c r="G436" s="61"/>
      <c r="H436" s="61"/>
      <c r="I436" s="161"/>
    </row>
    <row r="437" spans="1:9">
      <c r="A437" s="61"/>
      <c r="B437" s="129"/>
      <c r="C437" s="129"/>
      <c r="D437" s="129"/>
      <c r="E437" s="162"/>
      <c r="F437" s="162"/>
      <c r="G437" s="61"/>
      <c r="H437" s="61"/>
      <c r="I437" s="163"/>
    </row>
    <row r="440" spans="1:9">
      <c r="A440" s="61"/>
      <c r="B440" s="129"/>
      <c r="C440" s="129"/>
      <c r="D440" s="129"/>
      <c r="E440" s="61"/>
      <c r="F440" s="61"/>
      <c r="G440" s="61"/>
      <c r="H440" s="61"/>
      <c r="I440" s="161"/>
    </row>
    <row r="450" spans="1:9">
      <c r="A450" s="129"/>
      <c r="B450" s="129"/>
      <c r="C450" s="129"/>
      <c r="D450" s="129"/>
      <c r="E450" s="129"/>
      <c r="F450" s="157"/>
      <c r="G450" s="61"/>
      <c r="H450" s="61"/>
      <c r="I450" s="157"/>
    </row>
    <row r="451" spans="1:9">
      <c r="A451" s="129"/>
      <c r="B451" s="129"/>
      <c r="C451" s="129"/>
      <c r="D451" s="129"/>
      <c r="E451" s="21"/>
      <c r="F451" s="21"/>
      <c r="G451" s="61"/>
      <c r="H451" s="61"/>
      <c r="I451" s="164"/>
    </row>
    <row r="452" spans="1:9">
      <c r="A452" s="129"/>
      <c r="B452" s="129"/>
      <c r="C452" s="129"/>
      <c r="D452" s="21"/>
      <c r="E452" s="21"/>
      <c r="F452" s="21"/>
      <c r="G452" s="21"/>
      <c r="H452" s="21"/>
      <c r="I452" s="21"/>
    </row>
    <row r="453" spans="1:9">
      <c r="G453" s="21"/>
      <c r="H453" s="21"/>
      <c r="I453" s="21"/>
    </row>
    <row r="454" spans="1:9">
      <c r="G454" s="21"/>
      <c r="H454" s="21"/>
      <c r="I454" s="21"/>
    </row>
    <row r="455" spans="1:9">
      <c r="G455" s="21"/>
      <c r="H455" s="21"/>
      <c r="I455" s="21"/>
    </row>
    <row r="456" spans="1:9">
      <c r="G456" s="21"/>
      <c r="H456" s="21"/>
      <c r="I456" s="21"/>
    </row>
    <row r="457" spans="1:9">
      <c r="G457" s="21"/>
      <c r="H457" s="21"/>
      <c r="I457" s="21"/>
    </row>
    <row r="458" spans="1:9">
      <c r="G458" s="21"/>
      <c r="H458" s="21"/>
      <c r="I458" s="21"/>
    </row>
    <row r="459" spans="1:9">
      <c r="G459" s="21"/>
      <c r="H459" s="21"/>
      <c r="I459" s="21"/>
    </row>
    <row r="460" spans="1:9">
      <c r="G460" s="21"/>
      <c r="H460" s="21"/>
      <c r="I460" s="21"/>
    </row>
    <row r="461" spans="1:9">
      <c r="G461" s="21"/>
      <c r="H461" s="21"/>
      <c r="I461" s="21"/>
    </row>
    <row r="462" spans="1:9">
      <c r="A462" s="129"/>
      <c r="B462" s="129"/>
      <c r="C462" s="129"/>
      <c r="D462" s="21"/>
      <c r="E462" s="21"/>
      <c r="F462" s="157"/>
      <c r="G462" s="21"/>
      <c r="H462" s="21"/>
      <c r="I462" s="21"/>
    </row>
    <row r="463" spans="1:9">
      <c r="A463" s="129"/>
      <c r="B463" s="129"/>
      <c r="C463" s="129"/>
      <c r="D463" s="21"/>
      <c r="E463" s="21"/>
      <c r="F463" s="157"/>
      <c r="G463" s="21"/>
      <c r="H463" s="21"/>
      <c r="I463" s="21"/>
    </row>
  </sheetData>
  <mergeCells count="2">
    <mergeCell ref="A2:A7"/>
    <mergeCell ref="A9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43" sqref="C43"/>
    </sheetView>
  </sheetViews>
  <sheetFormatPr defaultColWidth="9" defaultRowHeight="15"/>
  <cols>
    <col min="1" max="1" width="32.140625" customWidth="1"/>
    <col min="2" max="2" width="21.42578125" customWidth="1"/>
    <col min="3" max="3" width="22.28515625" customWidth="1"/>
    <col min="4" max="4" width="16.28515625" customWidth="1"/>
    <col min="5" max="5" width="12.7109375" customWidth="1"/>
  </cols>
  <sheetData>
    <row r="1" spans="1:5">
      <c r="A1" s="71" t="s">
        <v>769</v>
      </c>
      <c r="B1" s="71" t="s">
        <v>770</v>
      </c>
      <c r="C1" s="71" t="s">
        <v>771</v>
      </c>
      <c r="D1" s="71" t="s">
        <v>772</v>
      </c>
      <c r="E1" s="71" t="s">
        <v>773</v>
      </c>
    </row>
    <row r="2" spans="1:5">
      <c r="A2" s="72" t="s">
        <v>774</v>
      </c>
      <c r="B2" s="72">
        <v>10240</v>
      </c>
      <c r="C2" s="72">
        <v>8381.9817504882794</v>
      </c>
      <c r="D2" s="72">
        <v>81.86</v>
      </c>
      <c r="E2" s="72" t="s">
        <v>775</v>
      </c>
    </row>
    <row r="3" spans="1:5">
      <c r="A3" s="72" t="s">
        <v>776</v>
      </c>
      <c r="B3" s="72">
        <v>10240</v>
      </c>
      <c r="C3" s="72">
        <v>8612.67920303344</v>
      </c>
      <c r="D3" s="72">
        <v>84.11</v>
      </c>
      <c r="E3" s="72" t="s">
        <v>775</v>
      </c>
    </row>
    <row r="4" spans="1:5">
      <c r="A4" s="72" t="s">
        <v>777</v>
      </c>
      <c r="B4" s="72">
        <v>15360</v>
      </c>
      <c r="C4" s="72">
        <v>11803.893997192299</v>
      </c>
      <c r="D4" s="72">
        <v>76.849999999999994</v>
      </c>
      <c r="E4" s="72" t="s">
        <v>775</v>
      </c>
    </row>
    <row r="5" spans="1:5">
      <c r="A5" s="72" t="s">
        <v>778</v>
      </c>
      <c r="B5" s="72">
        <v>10240</v>
      </c>
      <c r="C5" s="72">
        <v>6220.3477210998499</v>
      </c>
      <c r="D5" s="72">
        <v>60.75</v>
      </c>
      <c r="E5" s="72" t="s">
        <v>775</v>
      </c>
    </row>
    <row r="6" spans="1:5">
      <c r="A6" s="72" t="s">
        <v>779</v>
      </c>
      <c r="B6" s="72">
        <v>10240</v>
      </c>
      <c r="C6" s="72">
        <v>5961.7323608398401</v>
      </c>
      <c r="D6" s="72">
        <v>58.22</v>
      </c>
      <c r="E6" s="72" t="s">
        <v>775</v>
      </c>
    </row>
    <row r="7" spans="1:5">
      <c r="A7" s="72" t="s">
        <v>780</v>
      </c>
      <c r="B7" s="72">
        <v>5120</v>
      </c>
      <c r="C7" s="72">
        <v>2979.1086997985799</v>
      </c>
      <c r="D7" s="72">
        <v>58.19</v>
      </c>
      <c r="E7" s="72" t="s">
        <v>775</v>
      </c>
    </row>
    <row r="8" spans="1:5">
      <c r="A8" s="72" t="s">
        <v>781</v>
      </c>
      <c r="B8" s="72">
        <v>25600</v>
      </c>
      <c r="C8" s="72">
        <v>5812.7310829162598</v>
      </c>
      <c r="D8" s="72">
        <v>22.71</v>
      </c>
      <c r="E8" s="72" t="s">
        <v>775</v>
      </c>
    </row>
    <row r="9" spans="1:5">
      <c r="A9" s="72" t="s">
        <v>782</v>
      </c>
      <c r="B9" s="72">
        <v>10752</v>
      </c>
      <c r="C9" s="72">
        <v>8779.8470726013093</v>
      </c>
      <c r="D9" s="72">
        <v>81.66</v>
      </c>
      <c r="E9" s="72" t="s">
        <v>775</v>
      </c>
    </row>
    <row r="10" spans="1:5">
      <c r="A10" s="72" t="s">
        <v>783</v>
      </c>
      <c r="B10" s="72">
        <v>35328</v>
      </c>
      <c r="C10" s="72">
        <v>3594.38426589965</v>
      </c>
      <c r="D10" s="72">
        <v>10.17</v>
      </c>
      <c r="E10" s="72" t="s">
        <v>775</v>
      </c>
    </row>
    <row r="11" spans="1:5">
      <c r="A11" s="72" t="s">
        <v>699</v>
      </c>
      <c r="B11" s="72">
        <v>200</v>
      </c>
      <c r="C11" s="72">
        <v>32.7271728515625</v>
      </c>
      <c r="D11" s="72">
        <v>16.36</v>
      </c>
      <c r="E11" s="72" t="s">
        <v>775</v>
      </c>
    </row>
    <row r="12" spans="1:5">
      <c r="A12" s="72" t="s">
        <v>784</v>
      </c>
      <c r="B12" s="72">
        <v>3072</v>
      </c>
      <c r="C12" s="72">
        <v>1533.1999053955001</v>
      </c>
      <c r="D12" s="72">
        <v>49.91</v>
      </c>
      <c r="E12" s="72" t="s">
        <v>775</v>
      </c>
    </row>
    <row r="13" spans="1:5">
      <c r="A13" s="72" t="s">
        <v>785</v>
      </c>
      <c r="B13" s="72">
        <v>1945.6000022888099</v>
      </c>
      <c r="C13" s="72">
        <v>1082.10461425781</v>
      </c>
      <c r="D13" s="72">
        <v>55.62</v>
      </c>
      <c r="E13" s="72" t="s">
        <v>775</v>
      </c>
    </row>
    <row r="14" spans="1:5">
      <c r="A14" s="72" t="s">
        <v>786</v>
      </c>
      <c r="B14" s="72">
        <v>1024</v>
      </c>
      <c r="C14" s="72">
        <v>0.83876037597656194</v>
      </c>
      <c r="D14" s="72">
        <v>0.08</v>
      </c>
      <c r="E14" s="72" t="s">
        <v>775</v>
      </c>
    </row>
    <row r="15" spans="1:5">
      <c r="A15" s="72" t="s">
        <v>700</v>
      </c>
      <c r="B15" s="72">
        <v>5120</v>
      </c>
      <c r="C15" s="72">
        <v>547.31346130371003</v>
      </c>
      <c r="D15" s="72">
        <v>10.69</v>
      </c>
      <c r="E15" s="72" t="s">
        <v>775</v>
      </c>
    </row>
    <row r="16" spans="1:5">
      <c r="A16" s="72" t="s">
        <v>701</v>
      </c>
      <c r="B16" s="72">
        <v>20480</v>
      </c>
      <c r="C16" s="72">
        <v>1.18928146362304</v>
      </c>
      <c r="D16" s="72">
        <v>0.01</v>
      </c>
      <c r="E16" s="72" t="s">
        <v>775</v>
      </c>
    </row>
    <row r="17" spans="1:5">
      <c r="A17" s="72" t="s">
        <v>787</v>
      </c>
      <c r="B17" s="72">
        <v>1024</v>
      </c>
      <c r="C17" s="72">
        <v>27.604377746581999</v>
      </c>
      <c r="D17" s="72">
        <v>2.7</v>
      </c>
      <c r="E17" s="72" t="s">
        <v>775</v>
      </c>
    </row>
    <row r="18" spans="1:5">
      <c r="A18" s="72" t="s">
        <v>788</v>
      </c>
      <c r="B18" s="72">
        <v>2048</v>
      </c>
      <c r="C18" s="72">
        <v>1274.2706832885699</v>
      </c>
      <c r="D18" s="72">
        <v>62.22</v>
      </c>
      <c r="E18" s="72" t="s">
        <v>775</v>
      </c>
    </row>
    <row r="19" spans="1:5">
      <c r="A19" s="72" t="s">
        <v>702</v>
      </c>
      <c r="B19" s="72">
        <v>5120</v>
      </c>
      <c r="C19" s="72">
        <v>1.2361640930175699</v>
      </c>
      <c r="D19" s="72">
        <v>0.02</v>
      </c>
      <c r="E19" s="72" t="s">
        <v>775</v>
      </c>
    </row>
    <row r="20" spans="1:5">
      <c r="A20" s="72" t="s">
        <v>703</v>
      </c>
      <c r="B20" s="72">
        <v>5120</v>
      </c>
      <c r="C20" s="72">
        <v>1.1937408447265601</v>
      </c>
      <c r="D20" s="72">
        <v>0.02</v>
      </c>
      <c r="E20" s="72" t="s">
        <v>775</v>
      </c>
    </row>
    <row r="21" spans="1:5">
      <c r="A21" s="72" t="s">
        <v>704</v>
      </c>
      <c r="B21" s="72">
        <v>1024</v>
      </c>
      <c r="C21" s="72">
        <v>0.85195159912109297</v>
      </c>
      <c r="D21" s="72">
        <v>0.08</v>
      </c>
      <c r="E21" s="72" t="s">
        <v>775</v>
      </c>
    </row>
    <row r="22" spans="1:5">
      <c r="A22" s="72" t="s">
        <v>705</v>
      </c>
      <c r="B22" s="72">
        <v>5120</v>
      </c>
      <c r="C22" s="72">
        <v>164.90252685546801</v>
      </c>
      <c r="D22" s="72">
        <v>3.22</v>
      </c>
      <c r="E22" s="72" t="s">
        <v>775</v>
      </c>
    </row>
    <row r="23" spans="1:5">
      <c r="A23" s="72" t="s">
        <v>706</v>
      </c>
      <c r="B23" s="72">
        <v>5120</v>
      </c>
      <c r="C23" s="72">
        <v>1.1924934387207</v>
      </c>
      <c r="D23" s="72">
        <v>0.02</v>
      </c>
      <c r="E23" s="72" t="s">
        <v>775</v>
      </c>
    </row>
    <row r="24" spans="1:5">
      <c r="A24" s="72" t="s">
        <v>789</v>
      </c>
      <c r="B24" s="72">
        <v>2048</v>
      </c>
      <c r="C24" s="72">
        <v>0.150955200195312</v>
      </c>
      <c r="D24" s="72">
        <v>0.01</v>
      </c>
      <c r="E24" s="72" t="s">
        <v>775</v>
      </c>
    </row>
    <row r="25" spans="1:5">
      <c r="A25" s="72" t="s">
        <v>790</v>
      </c>
      <c r="B25" s="72">
        <v>1024</v>
      </c>
      <c r="C25" s="72">
        <v>5.035400390625E-4</v>
      </c>
      <c r="D25" s="72">
        <v>0</v>
      </c>
      <c r="E25" s="72" t="s">
        <v>775</v>
      </c>
    </row>
    <row r="26" spans="1:5">
      <c r="A26" s="72" t="s">
        <v>707</v>
      </c>
      <c r="B26" s="72">
        <v>2048</v>
      </c>
      <c r="C26" s="72">
        <v>831.38512039184502</v>
      </c>
      <c r="D26" s="72">
        <v>40.590000000000003</v>
      </c>
      <c r="E26" s="72" t="s">
        <v>775</v>
      </c>
    </row>
    <row r="27" spans="1:5">
      <c r="A27" s="72" t="s">
        <v>791</v>
      </c>
      <c r="B27" s="72">
        <v>12288</v>
      </c>
      <c r="C27" s="72">
        <v>4768.5925064086896</v>
      </c>
      <c r="D27" s="72">
        <v>38.81</v>
      </c>
      <c r="E27" s="72" t="s">
        <v>775</v>
      </c>
    </row>
    <row r="28" spans="1:5">
      <c r="A28" s="72" t="s">
        <v>708</v>
      </c>
      <c r="B28" s="72">
        <v>4864</v>
      </c>
      <c r="C28" s="72">
        <v>550.48297500610295</v>
      </c>
      <c r="D28" s="72">
        <v>11.32</v>
      </c>
      <c r="E28" s="72" t="s">
        <v>775</v>
      </c>
    </row>
    <row r="29" spans="1:5">
      <c r="A29" s="72" t="s">
        <v>709</v>
      </c>
      <c r="B29" s="72">
        <v>1024</v>
      </c>
      <c r="C29" s="72">
        <v>878.08287429809502</v>
      </c>
      <c r="D29" s="72">
        <v>85.75</v>
      </c>
      <c r="E29" s="72" t="s">
        <v>775</v>
      </c>
    </row>
    <row r="30" spans="1:5">
      <c r="A30" s="72" t="s">
        <v>711</v>
      </c>
      <c r="B30" s="72">
        <v>2048</v>
      </c>
      <c r="C30" s="72">
        <v>1495.6325263977001</v>
      </c>
      <c r="D30" s="72">
        <v>73.03</v>
      </c>
      <c r="E30" s="72" t="s">
        <v>775</v>
      </c>
    </row>
    <row r="31" spans="1:5">
      <c r="A31" s="72" t="s">
        <v>712</v>
      </c>
      <c r="B31" s="72">
        <v>100</v>
      </c>
      <c r="C31" s="72">
        <v>3</v>
      </c>
      <c r="D31" s="72">
        <v>1</v>
      </c>
      <c r="E31" s="72" t="s">
        <v>775</v>
      </c>
    </row>
    <row r="32" spans="1:5">
      <c r="A32" s="63" t="s">
        <v>790</v>
      </c>
      <c r="B32" s="63">
        <v>1000</v>
      </c>
      <c r="C32" s="73">
        <v>0</v>
      </c>
      <c r="D32" s="73">
        <v>0</v>
      </c>
      <c r="E32" s="72" t="s">
        <v>775</v>
      </c>
    </row>
    <row r="33" spans="1:5">
      <c r="A33" s="74" t="s">
        <v>792</v>
      </c>
      <c r="B33" s="75">
        <f>SUM(B2:B32)</f>
        <v>215981.60000228882</v>
      </c>
      <c r="C33" s="73"/>
      <c r="D33" s="73"/>
      <c r="E33" s="7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topLeftCell="A79" workbookViewId="0">
      <selection activeCell="D284" sqref="D284"/>
    </sheetView>
  </sheetViews>
  <sheetFormatPr defaultColWidth="9" defaultRowHeight="15"/>
  <cols>
    <col min="1" max="1" width="47.7109375" bestFit="1" customWidth="1"/>
    <col min="2" max="2" width="11.85546875" customWidth="1"/>
    <col min="3" max="3" width="13.7109375" customWidth="1"/>
    <col min="4" max="5" width="10.28515625" bestFit="1" customWidth="1"/>
    <col min="6" max="6" width="14.5703125" customWidth="1"/>
    <col min="8" max="8" width="37.28515625" bestFit="1" customWidth="1"/>
    <col min="9" max="9" width="31.140625" customWidth="1"/>
    <col min="10" max="10" width="16.5703125" customWidth="1"/>
    <col min="11" max="11" width="9.42578125" customWidth="1"/>
    <col min="12" max="12" width="12.85546875" customWidth="1"/>
    <col min="13" max="13" width="26.140625" customWidth="1"/>
    <col min="14" max="14" width="11.28515625" customWidth="1"/>
  </cols>
  <sheetData>
    <row r="1" spans="1:14">
      <c r="A1" s="53" t="s">
        <v>793</v>
      </c>
      <c r="B1" s="53" t="s">
        <v>794</v>
      </c>
      <c r="C1" s="53" t="s">
        <v>795</v>
      </c>
      <c r="D1" s="53" t="s">
        <v>385</v>
      </c>
      <c r="E1" s="53" t="s">
        <v>360</v>
      </c>
      <c r="F1" s="55" t="s">
        <v>281</v>
      </c>
      <c r="G1" s="53" t="s">
        <v>796</v>
      </c>
      <c r="H1" s="53" t="s">
        <v>797</v>
      </c>
      <c r="I1" s="53" t="s">
        <v>798</v>
      </c>
      <c r="J1" s="53" t="s">
        <v>799</v>
      </c>
      <c r="K1" s="53" t="s">
        <v>800</v>
      </c>
      <c r="L1" s="55" t="s">
        <v>801</v>
      </c>
      <c r="M1" s="53" t="s">
        <v>802</v>
      </c>
      <c r="N1" s="53" t="s">
        <v>803</v>
      </c>
    </row>
    <row r="2" spans="1:14">
      <c r="A2" s="201" t="s">
        <v>804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</row>
    <row r="3" spans="1:14">
      <c r="A3" s="202" t="s">
        <v>661</v>
      </c>
      <c r="B3" s="202" t="s">
        <v>805</v>
      </c>
      <c r="C3" s="202" t="s">
        <v>806</v>
      </c>
      <c r="D3" s="202" t="s">
        <v>807</v>
      </c>
      <c r="E3" s="202">
        <v>16</v>
      </c>
      <c r="F3" s="202">
        <v>32</v>
      </c>
      <c r="G3" s="202" t="s">
        <v>808</v>
      </c>
      <c r="H3" s="54" t="s">
        <v>698</v>
      </c>
      <c r="I3" s="56" t="s">
        <v>809</v>
      </c>
      <c r="J3" s="56" t="s">
        <v>810</v>
      </c>
      <c r="K3" s="56">
        <v>2000</v>
      </c>
      <c r="L3" s="56" t="s">
        <v>811</v>
      </c>
      <c r="M3" s="56" t="s">
        <v>112</v>
      </c>
      <c r="N3" s="56" t="s">
        <v>812</v>
      </c>
    </row>
    <row r="4" spans="1:14">
      <c r="A4" s="202"/>
      <c r="B4" s="202"/>
      <c r="C4" s="202"/>
      <c r="D4" s="202"/>
      <c r="E4" s="202"/>
      <c r="F4" s="202"/>
      <c r="G4" s="202"/>
      <c r="H4" s="54" t="s">
        <v>813</v>
      </c>
      <c r="I4" s="56" t="s">
        <v>663</v>
      </c>
      <c r="J4" s="56" t="s">
        <v>814</v>
      </c>
      <c r="K4" s="56">
        <v>5000</v>
      </c>
      <c r="L4" s="56" t="s">
        <v>811</v>
      </c>
      <c r="M4" s="56" t="s">
        <v>112</v>
      </c>
      <c r="N4" s="56" t="s">
        <v>815</v>
      </c>
    </row>
    <row r="5" spans="1:14">
      <c r="A5" s="202"/>
      <c r="B5" s="202"/>
      <c r="C5" s="202"/>
      <c r="D5" s="202"/>
      <c r="E5" s="202"/>
      <c r="F5" s="202"/>
      <c r="G5" s="202"/>
      <c r="H5" s="54" t="s">
        <v>813</v>
      </c>
      <c r="I5" s="56" t="s">
        <v>664</v>
      </c>
      <c r="J5" s="56" t="s">
        <v>814</v>
      </c>
      <c r="K5" s="56">
        <v>5000</v>
      </c>
      <c r="L5" s="56" t="s">
        <v>811</v>
      </c>
      <c r="M5" s="56" t="s">
        <v>112</v>
      </c>
      <c r="N5" s="56" t="s">
        <v>815</v>
      </c>
    </row>
    <row r="6" spans="1:14">
      <c r="A6" s="202"/>
      <c r="B6" s="202"/>
      <c r="C6" s="202"/>
      <c r="D6" s="202"/>
      <c r="E6" s="202"/>
      <c r="F6" s="202"/>
      <c r="G6" s="202"/>
      <c r="H6" s="54" t="s">
        <v>813</v>
      </c>
      <c r="I6" s="56" t="s">
        <v>671</v>
      </c>
      <c r="J6" s="56" t="s">
        <v>814</v>
      </c>
      <c r="K6" s="56">
        <v>5000</v>
      </c>
      <c r="L6" s="56" t="s">
        <v>811</v>
      </c>
      <c r="M6" s="56" t="s">
        <v>112</v>
      </c>
      <c r="N6" s="56" t="s">
        <v>815</v>
      </c>
    </row>
    <row r="7" spans="1:14">
      <c r="A7" s="202"/>
      <c r="B7" s="202"/>
      <c r="C7" s="202"/>
      <c r="D7" s="202"/>
      <c r="E7" s="202"/>
      <c r="F7" s="202"/>
      <c r="G7" s="202"/>
      <c r="H7" s="54" t="s">
        <v>813</v>
      </c>
      <c r="I7" s="56" t="s">
        <v>666</v>
      </c>
      <c r="J7" s="56" t="s">
        <v>814</v>
      </c>
      <c r="K7" s="56">
        <v>5000</v>
      </c>
      <c r="L7" s="56" t="s">
        <v>811</v>
      </c>
      <c r="M7" s="56" t="s">
        <v>112</v>
      </c>
      <c r="N7" s="56" t="s">
        <v>815</v>
      </c>
    </row>
    <row r="8" spans="1:14">
      <c r="A8" s="202"/>
      <c r="B8" s="202"/>
      <c r="C8" s="202"/>
      <c r="D8" s="202"/>
      <c r="E8" s="202"/>
      <c r="F8" s="202"/>
      <c r="G8" s="202"/>
      <c r="H8" s="54" t="s">
        <v>813</v>
      </c>
      <c r="I8" s="56" t="s">
        <v>673</v>
      </c>
      <c r="J8" s="56" t="s">
        <v>816</v>
      </c>
      <c r="K8" s="56">
        <v>10000</v>
      </c>
      <c r="L8" s="56" t="s">
        <v>811</v>
      </c>
      <c r="M8" s="56" t="s">
        <v>112</v>
      </c>
      <c r="N8" s="56" t="s">
        <v>815</v>
      </c>
    </row>
    <row r="9" spans="1:14">
      <c r="A9" s="202"/>
      <c r="B9" s="202"/>
      <c r="C9" s="202"/>
      <c r="D9" s="202"/>
      <c r="E9" s="202"/>
      <c r="F9" s="202"/>
      <c r="G9" s="202"/>
      <c r="H9" s="54" t="s">
        <v>813</v>
      </c>
      <c r="I9" s="56" t="s">
        <v>667</v>
      </c>
      <c r="J9" s="56" t="s">
        <v>817</v>
      </c>
      <c r="K9" s="56">
        <v>20000</v>
      </c>
      <c r="L9" s="56" t="s">
        <v>811</v>
      </c>
      <c r="M9" s="56" t="s">
        <v>112</v>
      </c>
      <c r="N9" s="56" t="s">
        <v>818</v>
      </c>
    </row>
    <row r="10" spans="1:14">
      <c r="A10" s="202"/>
      <c r="B10" s="202"/>
      <c r="C10" s="202"/>
      <c r="D10" s="202"/>
      <c r="E10" s="202"/>
      <c r="F10" s="202"/>
      <c r="G10" s="202"/>
      <c r="H10" s="54" t="s">
        <v>813</v>
      </c>
      <c r="I10" s="56" t="s">
        <v>672</v>
      </c>
      <c r="J10" s="56" t="s">
        <v>819</v>
      </c>
      <c r="K10" s="56">
        <v>18000</v>
      </c>
      <c r="L10" s="56" t="s">
        <v>811</v>
      </c>
      <c r="M10" s="56" t="s">
        <v>820</v>
      </c>
      <c r="N10" s="56" t="s">
        <v>403</v>
      </c>
    </row>
    <row r="11" spans="1:14">
      <c r="A11" s="202"/>
      <c r="B11" s="202"/>
      <c r="C11" s="202"/>
      <c r="D11" s="202"/>
      <c r="E11" s="202"/>
      <c r="F11" s="202"/>
      <c r="G11" s="202"/>
      <c r="H11" s="54" t="s">
        <v>813</v>
      </c>
      <c r="I11" s="56" t="s">
        <v>668</v>
      </c>
      <c r="J11" s="56" t="s">
        <v>817</v>
      </c>
      <c r="K11" s="56">
        <v>20000</v>
      </c>
      <c r="L11" s="56" t="s">
        <v>811</v>
      </c>
      <c r="M11" s="56" t="s">
        <v>820</v>
      </c>
      <c r="N11" s="56" t="s">
        <v>403</v>
      </c>
    </row>
    <row r="12" spans="1:14">
      <c r="A12" s="202"/>
      <c r="B12" s="202"/>
      <c r="C12" s="202"/>
      <c r="D12" s="202"/>
      <c r="E12" s="202"/>
      <c r="F12" s="202"/>
      <c r="G12" s="202"/>
      <c r="H12" s="54" t="s">
        <v>813</v>
      </c>
      <c r="I12" s="56" t="s">
        <v>669</v>
      </c>
      <c r="J12" s="56" t="s">
        <v>821</v>
      </c>
      <c r="K12" s="56">
        <v>12000</v>
      </c>
      <c r="L12" s="56" t="s">
        <v>811</v>
      </c>
      <c r="M12" s="56" t="s">
        <v>822</v>
      </c>
      <c r="N12" s="56" t="s">
        <v>403</v>
      </c>
    </row>
    <row r="13" spans="1:14">
      <c r="A13" s="202"/>
      <c r="B13" s="202"/>
      <c r="C13" s="202"/>
      <c r="D13" s="202"/>
      <c r="E13" s="202"/>
      <c r="F13" s="202"/>
      <c r="G13" s="202"/>
      <c r="H13" s="54" t="s">
        <v>698</v>
      </c>
      <c r="I13" s="56" t="s">
        <v>688</v>
      </c>
      <c r="J13" s="56" t="s">
        <v>823</v>
      </c>
      <c r="K13" s="56">
        <v>15000</v>
      </c>
      <c r="L13" s="56" t="s">
        <v>811</v>
      </c>
      <c r="M13" s="56" t="s">
        <v>822</v>
      </c>
      <c r="N13" s="56" t="s">
        <v>403</v>
      </c>
    </row>
    <row r="14" spans="1:14">
      <c r="A14" s="202"/>
      <c r="B14" s="202"/>
      <c r="C14" s="202"/>
      <c r="D14" s="202"/>
      <c r="E14" s="202"/>
      <c r="F14" s="202"/>
      <c r="G14" s="202"/>
      <c r="H14" s="54" t="s">
        <v>813</v>
      </c>
      <c r="I14" s="56" t="s">
        <v>690</v>
      </c>
      <c r="J14" s="56" t="s">
        <v>816</v>
      </c>
      <c r="K14" s="56">
        <v>10000</v>
      </c>
      <c r="L14" s="56" t="s">
        <v>811</v>
      </c>
      <c r="M14" s="56" t="s">
        <v>822</v>
      </c>
      <c r="N14" s="56" t="s">
        <v>403</v>
      </c>
    </row>
    <row r="15" spans="1:14">
      <c r="A15" s="202"/>
      <c r="B15" s="202"/>
      <c r="C15" s="202"/>
      <c r="D15" s="202"/>
      <c r="E15" s="202"/>
      <c r="F15" s="202"/>
      <c r="G15" s="202"/>
      <c r="H15" s="54" t="s">
        <v>813</v>
      </c>
      <c r="I15" s="56" t="s">
        <v>691</v>
      </c>
      <c r="J15" s="56" t="s">
        <v>816</v>
      </c>
      <c r="K15" s="56">
        <v>10000</v>
      </c>
      <c r="L15" s="56" t="s">
        <v>811</v>
      </c>
      <c r="M15" s="56" t="s">
        <v>822</v>
      </c>
      <c r="N15" s="56" t="s">
        <v>403</v>
      </c>
    </row>
    <row r="16" spans="1:14">
      <c r="A16" s="202"/>
      <c r="B16" s="202"/>
      <c r="C16" s="202"/>
      <c r="D16" s="202"/>
      <c r="E16" s="202"/>
      <c r="F16" s="202"/>
      <c r="G16" s="202"/>
      <c r="H16" s="54" t="s">
        <v>813</v>
      </c>
      <c r="I16" s="56" t="s">
        <v>692</v>
      </c>
      <c r="J16" s="56" t="s">
        <v>816</v>
      </c>
      <c r="K16" s="56">
        <v>10000</v>
      </c>
      <c r="L16" s="56" t="s">
        <v>811</v>
      </c>
      <c r="M16" s="56" t="s">
        <v>822</v>
      </c>
      <c r="N16" s="56" t="s">
        <v>403</v>
      </c>
    </row>
    <row r="17" spans="1:14">
      <c r="A17" s="202"/>
      <c r="B17" s="202"/>
      <c r="C17" s="202"/>
      <c r="D17" s="202"/>
      <c r="E17" s="202"/>
      <c r="F17" s="202"/>
      <c r="G17" s="202"/>
      <c r="H17" s="54" t="s">
        <v>813</v>
      </c>
      <c r="I17" s="56" t="s">
        <v>693</v>
      </c>
      <c r="J17" s="56" t="s">
        <v>816</v>
      </c>
      <c r="K17" s="56">
        <v>10000</v>
      </c>
      <c r="L17" s="56" t="s">
        <v>811</v>
      </c>
      <c r="M17" s="56" t="s">
        <v>822</v>
      </c>
      <c r="N17" s="56" t="s">
        <v>403</v>
      </c>
    </row>
    <row r="18" spans="1:14">
      <c r="A18" s="202"/>
      <c r="B18" s="202"/>
      <c r="C18" s="202"/>
      <c r="D18" s="202"/>
      <c r="E18" s="202"/>
      <c r="F18" s="202"/>
      <c r="G18" s="202"/>
      <c r="H18" s="54" t="s">
        <v>813</v>
      </c>
      <c r="I18" s="56" t="s">
        <v>665</v>
      </c>
      <c r="J18" s="56" t="s">
        <v>817</v>
      </c>
      <c r="K18" s="56">
        <v>20000</v>
      </c>
      <c r="L18" s="56" t="s">
        <v>811</v>
      </c>
      <c r="M18" s="56" t="s">
        <v>822</v>
      </c>
      <c r="N18" s="56" t="s">
        <v>403</v>
      </c>
    </row>
    <row r="19" spans="1:14">
      <c r="A19" s="202"/>
      <c r="B19" s="202"/>
      <c r="C19" s="202"/>
      <c r="D19" s="202"/>
      <c r="E19" s="202"/>
      <c r="F19" s="202"/>
      <c r="G19" s="202"/>
      <c r="H19" s="54" t="s">
        <v>698</v>
      </c>
      <c r="I19" s="56" t="s">
        <v>824</v>
      </c>
      <c r="J19" s="56" t="s">
        <v>814</v>
      </c>
      <c r="K19" s="56">
        <v>5000</v>
      </c>
      <c r="L19" s="56" t="s">
        <v>811</v>
      </c>
      <c r="M19" s="56" t="s">
        <v>72</v>
      </c>
      <c r="N19" s="56" t="s">
        <v>403</v>
      </c>
    </row>
    <row r="20" spans="1:14">
      <c r="A20" s="202"/>
      <c r="B20" s="202"/>
      <c r="C20" s="202"/>
      <c r="D20" s="202"/>
      <c r="E20" s="202"/>
      <c r="F20" s="202"/>
      <c r="G20" s="202"/>
      <c r="H20" s="54" t="s">
        <v>698</v>
      </c>
      <c r="I20" s="56" t="s">
        <v>684</v>
      </c>
      <c r="J20" s="56" t="s">
        <v>825</v>
      </c>
      <c r="K20" s="56">
        <v>25000</v>
      </c>
      <c r="L20" s="56" t="s">
        <v>811</v>
      </c>
      <c r="M20" s="56" t="s">
        <v>72</v>
      </c>
      <c r="N20" s="56" t="s">
        <v>403</v>
      </c>
    </row>
    <row r="21" spans="1:14">
      <c r="A21" s="202"/>
      <c r="B21" s="202"/>
      <c r="C21" s="202"/>
      <c r="D21" s="202"/>
      <c r="E21" s="202"/>
      <c r="F21" s="202"/>
      <c r="G21" s="202"/>
      <c r="H21" s="54" t="s">
        <v>698</v>
      </c>
      <c r="I21" s="56" t="s">
        <v>683</v>
      </c>
      <c r="J21" s="56" t="s">
        <v>826</v>
      </c>
      <c r="K21" s="56">
        <v>11000</v>
      </c>
      <c r="L21" s="56" t="s">
        <v>811</v>
      </c>
      <c r="M21" s="56" t="s">
        <v>72</v>
      </c>
      <c r="N21" s="56" t="s">
        <v>403</v>
      </c>
    </row>
    <row r="22" spans="1:14">
      <c r="A22" s="202"/>
      <c r="B22" s="202"/>
      <c r="C22" s="202"/>
      <c r="D22" s="202"/>
      <c r="E22" s="202"/>
      <c r="F22" s="202"/>
      <c r="G22" s="202"/>
      <c r="H22" s="54" t="s">
        <v>698</v>
      </c>
      <c r="I22" s="56" t="s">
        <v>685</v>
      </c>
      <c r="J22" s="56" t="s">
        <v>827</v>
      </c>
      <c r="K22" s="56">
        <v>35000</v>
      </c>
      <c r="L22" s="56" t="s">
        <v>811</v>
      </c>
      <c r="M22" s="56" t="s">
        <v>72</v>
      </c>
      <c r="N22" s="56" t="s">
        <v>403</v>
      </c>
    </row>
    <row r="23" spans="1:14">
      <c r="A23" s="202"/>
      <c r="B23" s="202"/>
      <c r="C23" s="202"/>
      <c r="D23" s="202"/>
      <c r="E23" s="202"/>
      <c r="F23" s="202"/>
      <c r="G23" s="202"/>
      <c r="H23" s="54" t="s">
        <v>698</v>
      </c>
      <c r="I23" s="56" t="s">
        <v>675</v>
      </c>
      <c r="J23" s="56" t="s">
        <v>810</v>
      </c>
      <c r="K23" s="56">
        <v>2000</v>
      </c>
      <c r="L23" s="56" t="s">
        <v>811</v>
      </c>
      <c r="M23" s="56" t="s">
        <v>828</v>
      </c>
      <c r="N23" s="56" t="s">
        <v>403</v>
      </c>
    </row>
    <row r="24" spans="1:14">
      <c r="A24" s="202"/>
      <c r="B24" s="202"/>
      <c r="C24" s="202"/>
      <c r="D24" s="202"/>
      <c r="E24" s="202"/>
      <c r="F24" s="202"/>
      <c r="G24" s="202"/>
      <c r="H24" s="54" t="s">
        <v>698</v>
      </c>
      <c r="I24" s="56" t="s">
        <v>686</v>
      </c>
      <c r="J24" s="56" t="s">
        <v>810</v>
      </c>
      <c r="K24" s="56">
        <v>2000</v>
      </c>
      <c r="L24" s="56" t="s">
        <v>811</v>
      </c>
      <c r="M24" s="56" t="s">
        <v>829</v>
      </c>
      <c r="N24" s="56" t="s">
        <v>403</v>
      </c>
    </row>
    <row r="25" spans="1:14">
      <c r="A25" s="202"/>
      <c r="B25" s="202"/>
      <c r="C25" s="202"/>
      <c r="D25" s="202"/>
      <c r="E25" s="202"/>
      <c r="F25" s="202"/>
      <c r="G25" s="202"/>
      <c r="H25" s="54" t="s">
        <v>698</v>
      </c>
      <c r="I25" s="56" t="s">
        <v>681</v>
      </c>
      <c r="J25" s="56" t="s">
        <v>830</v>
      </c>
      <c r="K25" s="56">
        <v>1000</v>
      </c>
      <c r="L25" s="56" t="s">
        <v>811</v>
      </c>
      <c r="M25" s="56" t="s">
        <v>831</v>
      </c>
      <c r="N25" s="56" t="s">
        <v>403</v>
      </c>
    </row>
    <row r="26" spans="1:14">
      <c r="A26" s="202"/>
      <c r="B26" s="202"/>
      <c r="C26" s="202"/>
      <c r="D26" s="202"/>
      <c r="E26" s="202"/>
      <c r="F26" s="202"/>
      <c r="G26" s="202"/>
      <c r="H26" s="54" t="s">
        <v>698</v>
      </c>
      <c r="I26" s="56" t="s">
        <v>676</v>
      </c>
      <c r="J26" s="56" t="s">
        <v>821</v>
      </c>
      <c r="K26" s="56">
        <v>12000</v>
      </c>
      <c r="L26" s="56" t="s">
        <v>811</v>
      </c>
      <c r="M26" s="56" t="s">
        <v>820</v>
      </c>
      <c r="N26" s="56" t="s">
        <v>403</v>
      </c>
    </row>
    <row r="27" spans="1:14">
      <c r="A27" s="202"/>
      <c r="B27" s="202"/>
      <c r="C27" s="202"/>
      <c r="D27" s="202"/>
      <c r="E27" s="202"/>
      <c r="F27" s="202"/>
      <c r="G27" s="202"/>
      <c r="H27" s="54" t="s">
        <v>698</v>
      </c>
      <c r="I27" s="56" t="s">
        <v>682</v>
      </c>
      <c r="J27" s="56" t="s">
        <v>830</v>
      </c>
      <c r="K27" s="56">
        <v>1000</v>
      </c>
      <c r="L27" s="56" t="s">
        <v>811</v>
      </c>
      <c r="M27" s="56" t="s">
        <v>832</v>
      </c>
      <c r="N27" s="56" t="s">
        <v>403</v>
      </c>
    </row>
    <row r="28" spans="1:14">
      <c r="A28" s="202"/>
      <c r="B28" s="202"/>
      <c r="C28" s="202"/>
      <c r="D28" s="202"/>
      <c r="E28" s="202"/>
      <c r="F28" s="202"/>
      <c r="G28" s="202"/>
      <c r="H28" s="54" t="s">
        <v>698</v>
      </c>
      <c r="I28" s="56" t="s">
        <v>674</v>
      </c>
      <c r="J28" s="56" t="s">
        <v>833</v>
      </c>
      <c r="K28" s="56">
        <v>3000</v>
      </c>
      <c r="L28" s="56" t="s">
        <v>811</v>
      </c>
      <c r="M28" s="56" t="s">
        <v>834</v>
      </c>
      <c r="N28" s="56" t="s">
        <v>403</v>
      </c>
    </row>
    <row r="29" spans="1:14">
      <c r="A29" s="202"/>
      <c r="B29" s="202"/>
      <c r="C29" s="202"/>
      <c r="D29" s="202"/>
      <c r="E29" s="202"/>
      <c r="F29" s="202"/>
      <c r="G29" s="202"/>
      <c r="H29" s="54" t="s">
        <v>698</v>
      </c>
      <c r="I29" s="56" t="s">
        <v>679</v>
      </c>
      <c r="J29" s="56" t="s">
        <v>810</v>
      </c>
      <c r="K29" s="56">
        <v>2000</v>
      </c>
      <c r="L29" s="56" t="s">
        <v>835</v>
      </c>
      <c r="M29" s="56" t="s">
        <v>112</v>
      </c>
      <c r="N29" s="56" t="s">
        <v>733</v>
      </c>
    </row>
    <row r="30" spans="1:14">
      <c r="A30" s="202"/>
      <c r="B30" s="202"/>
      <c r="C30" s="202"/>
      <c r="D30" s="202"/>
      <c r="E30" s="202"/>
      <c r="F30" s="202"/>
      <c r="G30" s="202"/>
      <c r="H30" s="54" t="s">
        <v>698</v>
      </c>
      <c r="I30" s="56" t="s">
        <v>836</v>
      </c>
      <c r="J30" s="57" t="s">
        <v>837</v>
      </c>
      <c r="K30" s="56">
        <v>7000</v>
      </c>
      <c r="L30" s="56" t="s">
        <v>835</v>
      </c>
      <c r="M30" s="56" t="s">
        <v>112</v>
      </c>
      <c r="N30" s="56" t="s">
        <v>733</v>
      </c>
    </row>
    <row r="31" spans="1:14">
      <c r="A31" s="203" t="s">
        <v>838</v>
      </c>
      <c r="B31" s="203" t="s">
        <v>839</v>
      </c>
      <c r="C31" s="203" t="s">
        <v>806</v>
      </c>
      <c r="D31" s="202" t="s">
        <v>840</v>
      </c>
      <c r="E31" s="202">
        <v>24</v>
      </c>
      <c r="F31" s="202">
        <v>128</v>
      </c>
      <c r="G31" s="202" t="s">
        <v>841</v>
      </c>
      <c r="H31" s="54" t="s">
        <v>698</v>
      </c>
      <c r="I31" s="56" t="s">
        <v>842</v>
      </c>
      <c r="J31" s="56" t="s">
        <v>843</v>
      </c>
      <c r="K31" s="56">
        <v>20000</v>
      </c>
      <c r="L31" s="56" t="s">
        <v>811</v>
      </c>
      <c r="M31" s="56" t="s">
        <v>112</v>
      </c>
      <c r="N31" s="56" t="s">
        <v>844</v>
      </c>
    </row>
    <row r="32" spans="1:14">
      <c r="A32" s="204"/>
      <c r="B32" s="204"/>
      <c r="C32" s="204"/>
      <c r="D32" s="202"/>
      <c r="E32" s="202"/>
      <c r="F32" s="202"/>
      <c r="G32" s="202"/>
      <c r="H32" s="54" t="s">
        <v>698</v>
      </c>
      <c r="I32" s="56" t="s">
        <v>845</v>
      </c>
      <c r="J32" s="56" t="s">
        <v>830</v>
      </c>
      <c r="K32" s="56">
        <v>1000</v>
      </c>
      <c r="L32" s="56" t="s">
        <v>811</v>
      </c>
      <c r="M32" s="56" t="s">
        <v>112</v>
      </c>
      <c r="N32" s="56" t="s">
        <v>844</v>
      </c>
    </row>
    <row r="33" spans="1:14">
      <c r="A33" s="205"/>
      <c r="B33" s="205"/>
      <c r="C33" s="205"/>
      <c r="D33" s="202"/>
      <c r="E33" s="202"/>
      <c r="F33" s="202"/>
      <c r="G33" s="202"/>
      <c r="H33" s="54" t="s">
        <v>698</v>
      </c>
      <c r="I33" s="56" t="s">
        <v>846</v>
      </c>
      <c r="J33" s="56" t="s">
        <v>847</v>
      </c>
      <c r="K33" s="56">
        <v>200</v>
      </c>
      <c r="L33" s="56" t="s">
        <v>811</v>
      </c>
      <c r="M33" s="56" t="s">
        <v>112</v>
      </c>
      <c r="N33" s="56" t="s">
        <v>818</v>
      </c>
    </row>
    <row r="34" spans="1:14">
      <c r="A34" s="54" t="s">
        <v>848</v>
      </c>
      <c r="B34" s="54" t="s">
        <v>849</v>
      </c>
      <c r="C34" s="54" t="s">
        <v>806</v>
      </c>
      <c r="D34" s="54" t="s">
        <v>840</v>
      </c>
      <c r="E34" s="54">
        <v>24</v>
      </c>
      <c r="F34" s="54">
        <v>128</v>
      </c>
      <c r="G34" s="54" t="s">
        <v>850</v>
      </c>
      <c r="H34" s="54"/>
      <c r="I34" s="56"/>
      <c r="J34" s="56"/>
      <c r="K34" s="56"/>
      <c r="L34" s="56"/>
      <c r="M34" s="56"/>
      <c r="N34" s="56"/>
    </row>
    <row r="35" spans="1:14">
      <c r="A35" s="54" t="s">
        <v>851</v>
      </c>
      <c r="B35" s="54" t="s">
        <v>852</v>
      </c>
      <c r="C35" s="54" t="s">
        <v>806</v>
      </c>
      <c r="D35" s="54" t="s">
        <v>840</v>
      </c>
      <c r="E35" s="54">
        <v>24</v>
      </c>
      <c r="F35" s="54">
        <v>128</v>
      </c>
      <c r="G35" s="54" t="s">
        <v>853</v>
      </c>
      <c r="H35" s="54"/>
      <c r="I35" s="56"/>
      <c r="J35" s="56"/>
      <c r="K35" s="56"/>
      <c r="L35" s="56"/>
      <c r="M35" s="56"/>
      <c r="N35" s="56"/>
    </row>
    <row r="36" spans="1:14">
      <c r="A36" s="54" t="s">
        <v>854</v>
      </c>
      <c r="B36" s="54" t="s">
        <v>855</v>
      </c>
      <c r="C36" s="54" t="s">
        <v>806</v>
      </c>
      <c r="D36" s="54" t="s">
        <v>840</v>
      </c>
      <c r="E36" s="54">
        <v>24</v>
      </c>
      <c r="F36" s="54">
        <v>128</v>
      </c>
      <c r="G36" s="54" t="s">
        <v>853</v>
      </c>
      <c r="H36" s="54"/>
      <c r="I36" s="56"/>
      <c r="J36" s="56"/>
      <c r="K36" s="56"/>
      <c r="L36" s="56"/>
      <c r="M36" s="56"/>
      <c r="N36" s="56"/>
    </row>
    <row r="37" spans="1:14">
      <c r="A37" s="54" t="s">
        <v>856</v>
      </c>
      <c r="B37" s="54" t="s">
        <v>857</v>
      </c>
      <c r="C37" s="54" t="s">
        <v>806</v>
      </c>
      <c r="D37" s="54" t="s">
        <v>840</v>
      </c>
      <c r="E37" s="54">
        <v>24</v>
      </c>
      <c r="F37" s="54">
        <v>128</v>
      </c>
      <c r="G37" s="54" t="s">
        <v>853</v>
      </c>
      <c r="H37" s="54"/>
      <c r="I37" s="56"/>
      <c r="J37" s="56"/>
      <c r="K37" s="56"/>
      <c r="L37" s="56"/>
      <c r="M37" s="56"/>
      <c r="N37" s="56"/>
    </row>
    <row r="38" spans="1:14">
      <c r="A38" s="54" t="s">
        <v>858</v>
      </c>
      <c r="B38" s="54" t="s">
        <v>859</v>
      </c>
      <c r="C38" s="54" t="s">
        <v>806</v>
      </c>
      <c r="D38" s="54" t="s">
        <v>840</v>
      </c>
      <c r="E38" s="54">
        <v>24</v>
      </c>
      <c r="F38" s="54">
        <v>128</v>
      </c>
      <c r="G38" s="54" t="s">
        <v>853</v>
      </c>
      <c r="H38" s="54"/>
      <c r="I38" s="56"/>
      <c r="J38" s="56"/>
      <c r="K38" s="56"/>
      <c r="L38" s="56"/>
      <c r="M38" s="56"/>
      <c r="N38" s="56"/>
    </row>
    <row r="39" spans="1:14">
      <c r="A39" s="2" t="s">
        <v>860</v>
      </c>
      <c r="B39" s="2" t="s">
        <v>861</v>
      </c>
      <c r="C39" s="54" t="s">
        <v>806</v>
      </c>
      <c r="D39" s="2" t="s">
        <v>862</v>
      </c>
      <c r="E39" s="54">
        <v>24</v>
      </c>
      <c r="F39" s="54">
        <v>128</v>
      </c>
      <c r="G39" s="2" t="s">
        <v>863</v>
      </c>
      <c r="H39" s="2"/>
      <c r="I39" s="2"/>
      <c r="J39" s="2"/>
      <c r="K39" s="2"/>
      <c r="L39" s="2"/>
      <c r="M39" s="2"/>
      <c r="N39" s="2"/>
    </row>
    <row r="40" spans="1:14">
      <c r="A40" s="2" t="s">
        <v>864</v>
      </c>
      <c r="B40" s="2" t="s">
        <v>865</v>
      </c>
      <c r="C40" s="54" t="s">
        <v>806</v>
      </c>
      <c r="D40" s="2" t="s">
        <v>862</v>
      </c>
      <c r="E40" s="54">
        <v>24</v>
      </c>
      <c r="F40" s="54">
        <v>128</v>
      </c>
      <c r="G40" s="2" t="s">
        <v>863</v>
      </c>
      <c r="H40" s="2"/>
      <c r="I40" s="2"/>
      <c r="J40" s="2"/>
      <c r="K40" s="2"/>
      <c r="L40" s="2"/>
      <c r="M40" s="2"/>
      <c r="N40" s="2"/>
    </row>
    <row r="41" spans="1:14">
      <c r="A41" s="2" t="s">
        <v>866</v>
      </c>
      <c r="B41" s="2" t="s">
        <v>867</v>
      </c>
      <c r="C41" s="54" t="s">
        <v>806</v>
      </c>
      <c r="D41" s="2" t="s">
        <v>862</v>
      </c>
      <c r="E41" s="54">
        <v>24</v>
      </c>
      <c r="F41" s="54">
        <v>128</v>
      </c>
      <c r="G41" s="2" t="s">
        <v>863</v>
      </c>
      <c r="H41" s="2"/>
      <c r="I41" s="2"/>
      <c r="J41" s="2"/>
      <c r="K41" s="2"/>
      <c r="L41" s="2"/>
      <c r="M41" s="2"/>
      <c r="N41" s="2"/>
    </row>
    <row r="42" spans="1:14">
      <c r="A42" s="2" t="s">
        <v>868</v>
      </c>
      <c r="B42" s="2" t="s">
        <v>869</v>
      </c>
      <c r="C42" s="54" t="s">
        <v>806</v>
      </c>
      <c r="D42" s="2" t="s">
        <v>862</v>
      </c>
      <c r="E42" s="54">
        <v>24</v>
      </c>
      <c r="F42" s="54">
        <v>128</v>
      </c>
      <c r="G42" s="2" t="s">
        <v>863</v>
      </c>
      <c r="H42" s="2"/>
      <c r="I42" s="2"/>
      <c r="J42" s="2"/>
      <c r="K42" s="2"/>
      <c r="L42" s="2"/>
      <c r="M42" s="2"/>
      <c r="N42" s="2"/>
    </row>
    <row r="43" spans="1:14">
      <c r="A43" s="2" t="s">
        <v>870</v>
      </c>
      <c r="B43" s="2" t="s">
        <v>871</v>
      </c>
      <c r="C43" s="54" t="s">
        <v>806</v>
      </c>
      <c r="D43" s="2" t="s">
        <v>862</v>
      </c>
      <c r="E43" s="54">
        <v>24</v>
      </c>
      <c r="F43" s="54">
        <v>128</v>
      </c>
      <c r="G43" s="2" t="s">
        <v>863</v>
      </c>
      <c r="H43" s="2"/>
      <c r="I43" s="2"/>
      <c r="J43" s="2"/>
      <c r="K43" s="2"/>
      <c r="L43" s="2"/>
      <c r="M43" s="2"/>
      <c r="N43" s="2"/>
    </row>
    <row r="44" spans="1:14">
      <c r="A44" s="2" t="s">
        <v>872</v>
      </c>
      <c r="B44" s="2" t="s">
        <v>873</v>
      </c>
      <c r="C44" s="54" t="s">
        <v>806</v>
      </c>
      <c r="D44" s="2" t="s">
        <v>862</v>
      </c>
      <c r="E44" s="54">
        <v>24</v>
      </c>
      <c r="F44" s="54">
        <v>128</v>
      </c>
      <c r="G44" s="2" t="s">
        <v>863</v>
      </c>
      <c r="H44" s="2"/>
      <c r="I44" s="2"/>
      <c r="J44" s="2"/>
      <c r="K44" s="2"/>
      <c r="L44" s="2"/>
      <c r="M44" s="2"/>
      <c r="N44" s="2"/>
    </row>
    <row r="45" spans="1:14">
      <c r="A45" s="2" t="s">
        <v>874</v>
      </c>
      <c r="B45" s="2" t="s">
        <v>875</v>
      </c>
      <c r="C45" s="54" t="s">
        <v>806</v>
      </c>
      <c r="D45" s="2" t="s">
        <v>862</v>
      </c>
      <c r="E45" s="54">
        <v>24</v>
      </c>
      <c r="F45" s="54">
        <v>128</v>
      </c>
      <c r="G45" s="2" t="s">
        <v>863</v>
      </c>
      <c r="H45" s="2"/>
      <c r="I45" s="2"/>
      <c r="J45" s="2"/>
      <c r="K45" s="2"/>
      <c r="L45" s="2"/>
      <c r="M45" s="2"/>
      <c r="N45" s="2"/>
    </row>
    <row r="46" spans="1:14">
      <c r="A46" s="2" t="s">
        <v>876</v>
      </c>
      <c r="B46" s="2" t="s">
        <v>877</v>
      </c>
      <c r="C46" s="54" t="s">
        <v>806</v>
      </c>
      <c r="D46" s="2" t="s">
        <v>862</v>
      </c>
      <c r="E46" s="54">
        <v>24</v>
      </c>
      <c r="F46" s="54">
        <v>128</v>
      </c>
      <c r="G46" s="2" t="s">
        <v>863</v>
      </c>
      <c r="H46" s="2"/>
      <c r="I46" s="2"/>
      <c r="J46" s="2"/>
      <c r="K46" s="2"/>
      <c r="L46" s="2"/>
      <c r="M46" s="2"/>
      <c r="N46" s="2"/>
    </row>
    <row r="47" spans="1:14">
      <c r="A47" s="2" t="s">
        <v>878</v>
      </c>
      <c r="B47" s="2" t="s">
        <v>879</v>
      </c>
      <c r="C47" s="54" t="s">
        <v>806</v>
      </c>
      <c r="D47" s="2" t="s">
        <v>862</v>
      </c>
      <c r="E47" s="54">
        <v>24</v>
      </c>
      <c r="F47" s="54">
        <v>128</v>
      </c>
      <c r="G47" s="2" t="s">
        <v>863</v>
      </c>
      <c r="H47" s="2"/>
      <c r="I47" s="2"/>
      <c r="J47" s="2"/>
      <c r="K47" s="2"/>
      <c r="L47" s="2"/>
      <c r="M47" s="2"/>
      <c r="N47" s="2"/>
    </row>
    <row r="48" spans="1:14">
      <c r="A48" s="2" t="s">
        <v>880</v>
      </c>
      <c r="B48" s="2" t="s">
        <v>881</v>
      </c>
      <c r="C48" s="54" t="s">
        <v>806</v>
      </c>
      <c r="D48" s="2" t="s">
        <v>862</v>
      </c>
      <c r="E48" s="54">
        <v>24</v>
      </c>
      <c r="F48" s="54">
        <v>128</v>
      </c>
      <c r="G48" s="2" t="s">
        <v>863</v>
      </c>
      <c r="H48" s="2"/>
      <c r="I48" s="2"/>
      <c r="J48" s="2"/>
      <c r="K48" s="2"/>
      <c r="L48" s="2"/>
      <c r="M48" s="2"/>
      <c r="N48" s="2"/>
    </row>
    <row r="49" spans="1:14">
      <c r="A49" s="2" t="s">
        <v>882</v>
      </c>
      <c r="B49" s="2" t="s">
        <v>883</v>
      </c>
      <c r="C49" s="54" t="s">
        <v>806</v>
      </c>
      <c r="D49" s="2" t="s">
        <v>862</v>
      </c>
      <c r="E49" s="54">
        <v>24</v>
      </c>
      <c r="F49" s="54">
        <v>128</v>
      </c>
      <c r="G49" s="2" t="s">
        <v>863</v>
      </c>
      <c r="H49" s="2"/>
      <c r="I49" s="2"/>
      <c r="J49" s="2"/>
      <c r="K49" s="2"/>
      <c r="L49" s="2"/>
      <c r="M49" s="2"/>
      <c r="N49" s="2"/>
    </row>
    <row r="50" spans="1:14">
      <c r="A50" s="2" t="s">
        <v>884</v>
      </c>
      <c r="B50" s="2" t="s">
        <v>885</v>
      </c>
      <c r="C50" s="54" t="s">
        <v>806</v>
      </c>
      <c r="D50" s="2" t="s">
        <v>862</v>
      </c>
      <c r="E50" s="54">
        <v>24</v>
      </c>
      <c r="F50" s="54">
        <v>128</v>
      </c>
      <c r="G50" s="2" t="s">
        <v>863</v>
      </c>
      <c r="H50" s="2"/>
      <c r="I50" s="2"/>
      <c r="J50" s="2"/>
      <c r="K50" s="2"/>
      <c r="L50" s="2"/>
      <c r="M50" s="2"/>
      <c r="N50" s="2"/>
    </row>
    <row r="51" spans="1:14">
      <c r="A51" s="2" t="s">
        <v>886</v>
      </c>
      <c r="B51" s="2" t="s">
        <v>887</v>
      </c>
      <c r="C51" s="54" t="s">
        <v>806</v>
      </c>
      <c r="D51" s="2" t="s">
        <v>862</v>
      </c>
      <c r="E51" s="54">
        <v>24</v>
      </c>
      <c r="F51" s="54">
        <v>128</v>
      </c>
      <c r="G51" s="2" t="s">
        <v>863</v>
      </c>
      <c r="H51" s="2"/>
      <c r="I51" s="2"/>
      <c r="J51" s="2"/>
      <c r="K51" s="2"/>
      <c r="L51" s="2"/>
      <c r="M51" s="2"/>
      <c r="N51" s="2"/>
    </row>
    <row r="52" spans="1:14">
      <c r="A52" s="2" t="s">
        <v>888</v>
      </c>
      <c r="B52" s="2" t="s">
        <v>889</v>
      </c>
      <c r="C52" s="54" t="s">
        <v>806</v>
      </c>
      <c r="D52" s="2" t="s">
        <v>862</v>
      </c>
      <c r="E52" s="54">
        <v>24</v>
      </c>
      <c r="F52" s="54">
        <v>128</v>
      </c>
      <c r="G52" s="2" t="s">
        <v>863</v>
      </c>
      <c r="H52" s="2"/>
      <c r="I52" s="2"/>
      <c r="J52" s="2"/>
      <c r="K52" s="2"/>
      <c r="L52" s="2"/>
      <c r="M52" s="2"/>
      <c r="N52" s="2"/>
    </row>
    <row r="53" spans="1:14">
      <c r="A53" s="2" t="s">
        <v>890</v>
      </c>
      <c r="B53" s="2" t="s">
        <v>891</v>
      </c>
      <c r="C53" s="54" t="s">
        <v>806</v>
      </c>
      <c r="D53" s="2" t="s">
        <v>862</v>
      </c>
      <c r="E53" s="54">
        <v>24</v>
      </c>
      <c r="F53" s="54">
        <v>128</v>
      </c>
      <c r="G53" s="2" t="s">
        <v>863</v>
      </c>
      <c r="H53" s="2"/>
      <c r="I53" s="2"/>
      <c r="J53" s="2"/>
      <c r="K53" s="2"/>
      <c r="L53" s="2"/>
      <c r="M53" s="2"/>
      <c r="N53" s="2"/>
    </row>
    <row r="54" spans="1:14">
      <c r="A54" s="2" t="s">
        <v>892</v>
      </c>
      <c r="B54" s="2" t="s">
        <v>893</v>
      </c>
      <c r="C54" s="54" t="s">
        <v>806</v>
      </c>
      <c r="D54" s="2" t="s">
        <v>862</v>
      </c>
      <c r="E54" s="54">
        <v>24</v>
      </c>
      <c r="F54" s="54">
        <v>128</v>
      </c>
      <c r="G54" s="2" t="s">
        <v>863</v>
      </c>
      <c r="H54" s="2"/>
      <c r="I54" s="2"/>
      <c r="J54" s="2"/>
      <c r="K54" s="2"/>
      <c r="L54" s="2"/>
      <c r="M54" s="2"/>
      <c r="N54" s="2"/>
    </row>
    <row r="55" spans="1:14">
      <c r="A55" s="2" t="s">
        <v>894</v>
      </c>
      <c r="B55" s="2" t="s">
        <v>895</v>
      </c>
      <c r="C55" s="54" t="s">
        <v>806</v>
      </c>
      <c r="D55" s="2" t="s">
        <v>862</v>
      </c>
      <c r="E55" s="54">
        <v>24</v>
      </c>
      <c r="F55" s="54">
        <v>128</v>
      </c>
      <c r="G55" s="2" t="s">
        <v>863</v>
      </c>
      <c r="H55" s="2"/>
      <c r="I55" s="2"/>
      <c r="J55" s="2"/>
      <c r="K55" s="2"/>
      <c r="L55" s="2"/>
      <c r="M55" s="2"/>
      <c r="N55" s="2"/>
    </row>
    <row r="56" spans="1:14">
      <c r="A56" s="2" t="s">
        <v>896</v>
      </c>
      <c r="B56" s="2" t="s">
        <v>897</v>
      </c>
      <c r="C56" s="54" t="s">
        <v>806</v>
      </c>
      <c r="D56" s="2" t="s">
        <v>862</v>
      </c>
      <c r="E56" s="54">
        <v>24</v>
      </c>
      <c r="F56" s="54">
        <v>128</v>
      </c>
      <c r="G56" s="2" t="s">
        <v>863</v>
      </c>
      <c r="H56" s="2"/>
      <c r="I56" s="2"/>
      <c r="J56" s="2"/>
      <c r="K56" s="2"/>
      <c r="L56" s="2"/>
      <c r="M56" s="2"/>
      <c r="N56" s="2"/>
    </row>
    <row r="57" spans="1:14">
      <c r="A57" s="2" t="s">
        <v>898</v>
      </c>
      <c r="B57" s="2" t="s">
        <v>899</v>
      </c>
      <c r="C57" s="54" t="s">
        <v>806</v>
      </c>
      <c r="D57" s="2" t="s">
        <v>862</v>
      </c>
      <c r="E57" s="54">
        <v>24</v>
      </c>
      <c r="F57" s="54">
        <v>128</v>
      </c>
      <c r="G57" s="2" t="s">
        <v>863</v>
      </c>
      <c r="H57" s="2"/>
      <c r="I57" s="2"/>
      <c r="J57" s="2"/>
      <c r="K57" s="2"/>
      <c r="L57" s="2"/>
      <c r="M57" s="2"/>
      <c r="N57" s="2"/>
    </row>
    <row r="58" spans="1:14">
      <c r="A58" s="2" t="s">
        <v>900</v>
      </c>
      <c r="B58" s="2" t="s">
        <v>901</v>
      </c>
      <c r="C58" s="54" t="s">
        <v>806</v>
      </c>
      <c r="D58" s="2" t="s">
        <v>862</v>
      </c>
      <c r="E58" s="54">
        <v>24</v>
      </c>
      <c r="F58" s="54">
        <v>128</v>
      </c>
      <c r="G58" s="2" t="s">
        <v>863</v>
      </c>
      <c r="H58" s="2"/>
      <c r="I58" s="2"/>
      <c r="J58" s="2"/>
      <c r="K58" s="2"/>
      <c r="L58" s="2"/>
      <c r="M58" s="2"/>
      <c r="N58" s="2"/>
    </row>
    <row r="59" spans="1:14">
      <c r="A59" s="2" t="s">
        <v>902</v>
      </c>
      <c r="B59" s="2" t="s">
        <v>903</v>
      </c>
      <c r="C59" s="54" t="s">
        <v>806</v>
      </c>
      <c r="D59" s="2" t="s">
        <v>862</v>
      </c>
      <c r="E59" s="54">
        <v>24</v>
      </c>
      <c r="F59" s="54">
        <v>128</v>
      </c>
      <c r="G59" s="2" t="s">
        <v>863</v>
      </c>
      <c r="H59" s="2"/>
      <c r="I59" s="2"/>
      <c r="J59" s="2"/>
      <c r="K59" s="2"/>
      <c r="L59" s="2"/>
      <c r="M59" s="2"/>
      <c r="N59" s="2"/>
    </row>
    <row r="60" spans="1:14">
      <c r="A60" s="2" t="s">
        <v>904</v>
      </c>
      <c r="B60" s="2" t="s">
        <v>905</v>
      </c>
      <c r="C60" s="54" t="s">
        <v>806</v>
      </c>
      <c r="D60" s="2" t="s">
        <v>862</v>
      </c>
      <c r="E60" s="54">
        <v>24</v>
      </c>
      <c r="F60" s="54">
        <v>128</v>
      </c>
      <c r="G60" s="2" t="s">
        <v>863</v>
      </c>
      <c r="H60" s="2"/>
      <c r="I60" s="2"/>
      <c r="J60" s="2"/>
      <c r="K60" s="2"/>
      <c r="L60" s="2"/>
      <c r="M60" s="2"/>
      <c r="N60" s="2"/>
    </row>
    <row r="61" spans="1:14">
      <c r="A61" s="2" t="s">
        <v>906</v>
      </c>
      <c r="B61" s="2" t="s">
        <v>907</v>
      </c>
      <c r="C61" s="54" t="s">
        <v>806</v>
      </c>
      <c r="D61" s="2" t="s">
        <v>862</v>
      </c>
      <c r="E61" s="54">
        <v>24</v>
      </c>
      <c r="F61" s="54">
        <v>128</v>
      </c>
      <c r="G61" s="2" t="s">
        <v>863</v>
      </c>
      <c r="H61" s="2"/>
      <c r="I61" s="2"/>
      <c r="J61" s="2"/>
      <c r="K61" s="2"/>
      <c r="L61" s="2"/>
      <c r="M61" s="2"/>
      <c r="N61" s="2"/>
    </row>
    <row r="62" spans="1:14">
      <c r="A62" s="2" t="s">
        <v>908</v>
      </c>
      <c r="B62" s="2" t="s">
        <v>909</v>
      </c>
      <c r="C62" s="54" t="s">
        <v>806</v>
      </c>
      <c r="D62" s="2" t="s">
        <v>862</v>
      </c>
      <c r="E62" s="54">
        <v>24</v>
      </c>
      <c r="F62" s="54">
        <v>128</v>
      </c>
      <c r="G62" s="2" t="s">
        <v>863</v>
      </c>
      <c r="H62" s="2"/>
      <c r="I62" s="2"/>
      <c r="J62" s="2"/>
      <c r="K62" s="2"/>
      <c r="L62" s="2"/>
      <c r="M62" s="2"/>
      <c r="N62" s="2"/>
    </row>
    <row r="63" spans="1:14">
      <c r="A63" s="2" t="s">
        <v>910</v>
      </c>
      <c r="B63" s="2" t="s">
        <v>911</v>
      </c>
      <c r="C63" s="54" t="s">
        <v>806</v>
      </c>
      <c r="D63" s="2" t="s">
        <v>862</v>
      </c>
      <c r="E63" s="54">
        <v>24</v>
      </c>
      <c r="F63" s="54">
        <v>128</v>
      </c>
      <c r="G63" s="2" t="s">
        <v>863</v>
      </c>
      <c r="H63" s="2"/>
      <c r="I63" s="2"/>
      <c r="J63" s="2"/>
      <c r="K63" s="2"/>
      <c r="L63" s="2"/>
      <c r="M63" s="2"/>
      <c r="N63" s="2"/>
    </row>
    <row r="64" spans="1:14">
      <c r="A64" s="2" t="s">
        <v>912</v>
      </c>
      <c r="B64" s="2" t="s">
        <v>913</v>
      </c>
      <c r="C64" s="54" t="s">
        <v>806</v>
      </c>
      <c r="D64" s="2" t="s">
        <v>862</v>
      </c>
      <c r="E64" s="54">
        <v>24</v>
      </c>
      <c r="F64" s="54">
        <v>128</v>
      </c>
      <c r="G64" s="2" t="s">
        <v>863</v>
      </c>
      <c r="H64" s="2"/>
      <c r="I64" s="2"/>
      <c r="J64" s="2"/>
      <c r="K64" s="2"/>
      <c r="L64" s="2"/>
      <c r="M64" s="2"/>
      <c r="N64" s="2"/>
    </row>
    <row r="65" spans="1:14">
      <c r="A65" s="2" t="s">
        <v>914</v>
      </c>
      <c r="B65" s="2" t="s">
        <v>915</v>
      </c>
      <c r="C65" s="54" t="s">
        <v>806</v>
      </c>
      <c r="D65" s="2" t="s">
        <v>862</v>
      </c>
      <c r="E65" s="54">
        <v>24</v>
      </c>
      <c r="F65" s="54">
        <v>128</v>
      </c>
      <c r="G65" s="2" t="s">
        <v>863</v>
      </c>
      <c r="H65" s="2"/>
      <c r="I65" s="2"/>
      <c r="J65" s="2"/>
      <c r="K65" s="2"/>
      <c r="L65" s="2"/>
      <c r="M65" s="2"/>
      <c r="N65" s="2"/>
    </row>
    <row r="66" spans="1:14">
      <c r="A66" s="2" t="s">
        <v>916</v>
      </c>
      <c r="B66" s="2" t="s">
        <v>917</v>
      </c>
      <c r="C66" s="54" t="s">
        <v>806</v>
      </c>
      <c r="D66" s="2" t="s">
        <v>862</v>
      </c>
      <c r="E66" s="54">
        <v>24</v>
      </c>
      <c r="F66" s="54">
        <v>128</v>
      </c>
      <c r="G66" s="2" t="s">
        <v>863</v>
      </c>
      <c r="H66" s="2"/>
      <c r="I66" s="2"/>
      <c r="J66" s="2"/>
      <c r="K66" s="2"/>
      <c r="L66" s="2"/>
      <c r="M66" s="2"/>
      <c r="N66" s="2"/>
    </row>
    <row r="67" spans="1:14">
      <c r="A67" s="2" t="s">
        <v>918</v>
      </c>
      <c r="B67" s="2" t="s">
        <v>919</v>
      </c>
      <c r="C67" s="54" t="s">
        <v>806</v>
      </c>
      <c r="D67" s="2" t="s">
        <v>862</v>
      </c>
      <c r="E67" s="54">
        <v>24</v>
      </c>
      <c r="F67" s="54">
        <v>128</v>
      </c>
      <c r="G67" s="2" t="s">
        <v>863</v>
      </c>
      <c r="H67" s="2"/>
      <c r="I67" s="2"/>
      <c r="J67" s="2"/>
      <c r="K67" s="2"/>
      <c r="L67" s="2"/>
      <c r="M67" s="2"/>
      <c r="N67" s="2"/>
    </row>
    <row r="68" spans="1:14">
      <c r="A68" s="2" t="s">
        <v>920</v>
      </c>
      <c r="B68" s="2" t="s">
        <v>921</v>
      </c>
      <c r="C68" s="54" t="s">
        <v>806</v>
      </c>
      <c r="D68" s="2" t="s">
        <v>862</v>
      </c>
      <c r="E68" s="54">
        <v>24</v>
      </c>
      <c r="F68" s="54">
        <v>128</v>
      </c>
      <c r="G68" s="2" t="s">
        <v>863</v>
      </c>
      <c r="H68" s="2"/>
      <c r="I68" s="2"/>
      <c r="J68" s="2"/>
      <c r="K68" s="2"/>
      <c r="L68" s="2"/>
      <c r="M68" s="2"/>
      <c r="N68" s="2"/>
    </row>
    <row r="69" spans="1:14">
      <c r="A69" s="2" t="s">
        <v>922</v>
      </c>
      <c r="B69" s="2" t="s">
        <v>923</v>
      </c>
      <c r="C69" s="54" t="s">
        <v>806</v>
      </c>
      <c r="D69" s="2" t="s">
        <v>862</v>
      </c>
      <c r="E69" s="54">
        <v>24</v>
      </c>
      <c r="F69" s="54">
        <v>128</v>
      </c>
      <c r="G69" s="2" t="s">
        <v>863</v>
      </c>
      <c r="H69" s="2"/>
      <c r="I69" s="2"/>
      <c r="J69" s="2"/>
      <c r="K69" s="2"/>
      <c r="L69" s="2"/>
      <c r="M69" s="2"/>
      <c r="N69" s="2"/>
    </row>
    <row r="70" spans="1:14">
      <c r="A70" s="2" t="s">
        <v>924</v>
      </c>
      <c r="B70" s="2" t="s">
        <v>925</v>
      </c>
      <c r="C70" s="54" t="s">
        <v>806</v>
      </c>
      <c r="D70" s="2" t="s">
        <v>862</v>
      </c>
      <c r="E70" s="54">
        <v>24</v>
      </c>
      <c r="F70" s="54">
        <v>128</v>
      </c>
      <c r="G70" s="2" t="s">
        <v>863</v>
      </c>
      <c r="H70" s="2"/>
      <c r="I70" s="2"/>
      <c r="J70" s="2"/>
      <c r="K70" s="2"/>
      <c r="L70" s="2"/>
      <c r="M70" s="2"/>
      <c r="N70" s="2"/>
    </row>
    <row r="71" spans="1:14">
      <c r="A71" s="2" t="s">
        <v>926</v>
      </c>
      <c r="B71" s="2" t="s">
        <v>927</v>
      </c>
      <c r="C71" s="54" t="s">
        <v>806</v>
      </c>
      <c r="D71" s="2" t="s">
        <v>862</v>
      </c>
      <c r="E71" s="54">
        <v>24</v>
      </c>
      <c r="F71" s="54">
        <v>128</v>
      </c>
      <c r="G71" s="2" t="s">
        <v>863</v>
      </c>
      <c r="H71" s="2"/>
      <c r="I71" s="2"/>
      <c r="J71" s="2"/>
      <c r="K71" s="2"/>
      <c r="L71" s="2"/>
      <c r="M71" s="2"/>
      <c r="N71" s="2"/>
    </row>
    <row r="72" spans="1:14">
      <c r="A72" s="2" t="s">
        <v>928</v>
      </c>
      <c r="B72" s="2" t="s">
        <v>929</v>
      </c>
      <c r="C72" s="54" t="s">
        <v>806</v>
      </c>
      <c r="D72" s="2" t="s">
        <v>862</v>
      </c>
      <c r="E72" s="54">
        <v>24</v>
      </c>
      <c r="F72" s="54">
        <v>128</v>
      </c>
      <c r="G72" s="2" t="s">
        <v>863</v>
      </c>
      <c r="H72" s="2"/>
      <c r="I72" s="2"/>
      <c r="J72" s="2"/>
      <c r="K72" s="2"/>
      <c r="L72" s="2"/>
      <c r="M72" s="2"/>
      <c r="N72" s="2"/>
    </row>
    <row r="73" spans="1:14">
      <c r="A73" s="2" t="s">
        <v>930</v>
      </c>
      <c r="B73" s="2" t="s">
        <v>931</v>
      </c>
      <c r="C73" s="54" t="s">
        <v>806</v>
      </c>
      <c r="D73" s="2" t="s">
        <v>862</v>
      </c>
      <c r="E73" s="54">
        <v>24</v>
      </c>
      <c r="F73" s="54">
        <v>128</v>
      </c>
      <c r="G73" s="2" t="s">
        <v>863</v>
      </c>
      <c r="H73" s="2"/>
      <c r="I73" s="2"/>
      <c r="J73" s="2"/>
      <c r="K73" s="2"/>
      <c r="L73" s="2"/>
      <c r="M73" s="2"/>
      <c r="N73" s="2"/>
    </row>
    <row r="74" spans="1:14">
      <c r="A74" s="2" t="s">
        <v>932</v>
      </c>
      <c r="B74" s="2" t="s">
        <v>933</v>
      </c>
      <c r="C74" s="54" t="s">
        <v>806</v>
      </c>
      <c r="D74" s="2" t="s">
        <v>862</v>
      </c>
      <c r="E74" s="54">
        <v>24</v>
      </c>
      <c r="F74" s="54">
        <v>128</v>
      </c>
      <c r="G74" s="2" t="s">
        <v>863</v>
      </c>
      <c r="H74" s="2"/>
      <c r="I74" s="2"/>
      <c r="J74" s="2"/>
      <c r="K74" s="2"/>
      <c r="L74" s="2"/>
      <c r="M74" s="2"/>
      <c r="N74" s="2"/>
    </row>
    <row r="75" spans="1:14">
      <c r="A75" s="2" t="s">
        <v>934</v>
      </c>
      <c r="B75" s="2" t="s">
        <v>935</v>
      </c>
      <c r="C75" s="54" t="s">
        <v>806</v>
      </c>
      <c r="D75" s="2" t="s">
        <v>862</v>
      </c>
      <c r="E75" s="54">
        <v>24</v>
      </c>
      <c r="F75" s="54">
        <v>128</v>
      </c>
      <c r="G75" s="2" t="s">
        <v>863</v>
      </c>
      <c r="H75" s="2"/>
      <c r="I75" s="2"/>
      <c r="J75" s="2"/>
      <c r="K75" s="2"/>
      <c r="L75" s="2"/>
      <c r="M75" s="2"/>
      <c r="N75" s="2"/>
    </row>
    <row r="76" spans="1:14">
      <c r="A76" s="2" t="s">
        <v>936</v>
      </c>
      <c r="B76" s="2" t="s">
        <v>937</v>
      </c>
      <c r="C76" s="54" t="s">
        <v>806</v>
      </c>
      <c r="D76" s="2" t="s">
        <v>862</v>
      </c>
      <c r="E76" s="54">
        <v>24</v>
      </c>
      <c r="F76" s="54">
        <v>128</v>
      </c>
      <c r="G76" s="2" t="s">
        <v>863</v>
      </c>
      <c r="H76" s="2"/>
      <c r="I76" s="2"/>
      <c r="J76" s="2"/>
      <c r="K76" s="2"/>
      <c r="L76" s="2"/>
      <c r="M76" s="2"/>
      <c r="N76" s="2"/>
    </row>
    <row r="77" spans="1:14">
      <c r="A77" s="2" t="s">
        <v>938</v>
      </c>
      <c r="B77" s="2" t="s">
        <v>939</v>
      </c>
      <c r="C77" s="54" t="s">
        <v>806</v>
      </c>
      <c r="D77" s="2" t="s">
        <v>862</v>
      </c>
      <c r="E77" s="54">
        <v>24</v>
      </c>
      <c r="F77" s="54">
        <v>128</v>
      </c>
      <c r="G77" s="2" t="s">
        <v>863</v>
      </c>
      <c r="H77" s="2"/>
      <c r="I77" s="2"/>
      <c r="J77" s="2"/>
      <c r="K77" s="2"/>
      <c r="L77" s="2"/>
      <c r="M77" s="2"/>
      <c r="N77" s="2"/>
    </row>
    <row r="78" spans="1:14">
      <c r="A78" s="2" t="s">
        <v>940</v>
      </c>
      <c r="B78" s="2" t="s">
        <v>941</v>
      </c>
      <c r="C78" s="54" t="s">
        <v>806</v>
      </c>
      <c r="D78" s="2" t="s">
        <v>862</v>
      </c>
      <c r="E78" s="54">
        <v>24</v>
      </c>
      <c r="F78" s="54">
        <v>128</v>
      </c>
      <c r="G78" s="2" t="s">
        <v>863</v>
      </c>
      <c r="H78" s="2"/>
      <c r="I78" s="2"/>
      <c r="J78" s="2"/>
      <c r="K78" s="2"/>
      <c r="L78" s="2"/>
      <c r="M78" s="2"/>
      <c r="N78" s="2"/>
    </row>
    <row r="79" spans="1:14">
      <c r="A79" s="2" t="s">
        <v>942</v>
      </c>
      <c r="B79" s="2" t="s">
        <v>943</v>
      </c>
      <c r="C79" s="54" t="s">
        <v>806</v>
      </c>
      <c r="D79" s="2" t="s">
        <v>862</v>
      </c>
      <c r="E79" s="54">
        <v>24</v>
      </c>
      <c r="F79" s="54">
        <v>128</v>
      </c>
      <c r="G79" s="2" t="s">
        <v>863</v>
      </c>
      <c r="H79" s="2"/>
      <c r="I79" s="2"/>
      <c r="J79" s="2"/>
      <c r="K79" s="2"/>
      <c r="L79" s="2"/>
      <c r="M79" s="2"/>
      <c r="N79" s="2"/>
    </row>
    <row r="80" spans="1:14">
      <c r="A80" s="2" t="s">
        <v>944</v>
      </c>
      <c r="B80" s="2" t="s">
        <v>945</v>
      </c>
      <c r="C80" s="54" t="s">
        <v>806</v>
      </c>
      <c r="D80" s="2" t="s">
        <v>862</v>
      </c>
      <c r="E80" s="54">
        <v>24</v>
      </c>
      <c r="F80" s="54">
        <v>128</v>
      </c>
      <c r="G80" s="2" t="s">
        <v>863</v>
      </c>
      <c r="H80" s="2"/>
      <c r="I80" s="2"/>
      <c r="J80" s="2"/>
      <c r="K80" s="2"/>
      <c r="L80" s="2"/>
      <c r="M80" s="2"/>
      <c r="N80" s="2"/>
    </row>
    <row r="81" spans="1:14">
      <c r="A81" s="2" t="s">
        <v>946</v>
      </c>
      <c r="B81" s="2" t="s">
        <v>947</v>
      </c>
      <c r="C81" s="54" t="s">
        <v>806</v>
      </c>
      <c r="D81" s="2" t="s">
        <v>862</v>
      </c>
      <c r="E81" s="54">
        <v>24</v>
      </c>
      <c r="F81" s="54">
        <v>128</v>
      </c>
      <c r="G81" s="2" t="s">
        <v>863</v>
      </c>
      <c r="H81" s="2"/>
      <c r="I81" s="2"/>
      <c r="J81" s="2"/>
      <c r="K81" s="2"/>
      <c r="L81" s="2"/>
      <c r="M81" s="2"/>
      <c r="N81" s="2"/>
    </row>
    <row r="82" spans="1:14">
      <c r="A82" s="2" t="s">
        <v>948</v>
      </c>
      <c r="B82" s="2" t="s">
        <v>949</v>
      </c>
      <c r="C82" s="54" t="s">
        <v>806</v>
      </c>
      <c r="D82" s="2" t="s">
        <v>862</v>
      </c>
      <c r="E82" s="54">
        <v>24</v>
      </c>
      <c r="F82" s="54">
        <v>128</v>
      </c>
      <c r="G82" s="2" t="s">
        <v>863</v>
      </c>
      <c r="H82" s="2"/>
      <c r="I82" s="2"/>
      <c r="J82" s="2"/>
      <c r="K82" s="2"/>
      <c r="L82" s="2"/>
      <c r="M82" s="2"/>
      <c r="N82" s="2"/>
    </row>
    <row r="83" spans="1:14">
      <c r="A83" s="2" t="s">
        <v>950</v>
      </c>
      <c r="B83" s="2" t="s">
        <v>951</v>
      </c>
      <c r="C83" s="54" t="s">
        <v>806</v>
      </c>
      <c r="D83" s="2" t="s">
        <v>862</v>
      </c>
      <c r="E83" s="54">
        <v>24</v>
      </c>
      <c r="F83" s="54">
        <v>128</v>
      </c>
      <c r="G83" s="2" t="s">
        <v>863</v>
      </c>
      <c r="H83" s="2"/>
      <c r="I83" s="2"/>
      <c r="J83" s="2"/>
      <c r="K83" s="2"/>
      <c r="L83" s="2"/>
      <c r="M83" s="2"/>
      <c r="N83" s="2"/>
    </row>
    <row r="84" spans="1:14">
      <c r="A84" s="2" t="s">
        <v>952</v>
      </c>
      <c r="B84" s="2" t="s">
        <v>953</v>
      </c>
      <c r="C84" s="54" t="s">
        <v>806</v>
      </c>
      <c r="D84" s="2" t="s">
        <v>862</v>
      </c>
      <c r="E84" s="54">
        <v>24</v>
      </c>
      <c r="F84" s="54">
        <v>128</v>
      </c>
      <c r="G84" s="2" t="s">
        <v>863</v>
      </c>
      <c r="H84" s="2"/>
      <c r="I84" s="2"/>
      <c r="J84" s="2"/>
      <c r="K84" s="2"/>
      <c r="L84" s="2"/>
      <c r="M84" s="2"/>
      <c r="N84" s="2"/>
    </row>
    <row r="85" spans="1:14">
      <c r="A85" s="2" t="s">
        <v>954</v>
      </c>
      <c r="B85" s="2" t="s">
        <v>955</v>
      </c>
      <c r="C85" s="54" t="s">
        <v>806</v>
      </c>
      <c r="D85" s="2" t="s">
        <v>862</v>
      </c>
      <c r="E85" s="54">
        <v>24</v>
      </c>
      <c r="F85" s="54">
        <v>128</v>
      </c>
      <c r="G85" s="2" t="s">
        <v>863</v>
      </c>
      <c r="H85" s="2"/>
      <c r="I85" s="2"/>
      <c r="J85" s="2"/>
      <c r="K85" s="2"/>
      <c r="L85" s="2"/>
      <c r="M85" s="2"/>
      <c r="N85" s="2"/>
    </row>
    <row r="86" spans="1:14">
      <c r="A86" s="2" t="s">
        <v>956</v>
      </c>
      <c r="B86" s="2" t="s">
        <v>957</v>
      </c>
      <c r="C86" s="54" t="s">
        <v>806</v>
      </c>
      <c r="D86" s="2" t="s">
        <v>862</v>
      </c>
      <c r="E86" s="54">
        <v>24</v>
      </c>
      <c r="F86" s="54">
        <v>128</v>
      </c>
      <c r="G86" s="2" t="s">
        <v>863</v>
      </c>
      <c r="H86" s="2"/>
      <c r="I86" s="2"/>
      <c r="J86" s="2"/>
      <c r="K86" s="2"/>
      <c r="L86" s="2"/>
      <c r="M86" s="2"/>
      <c r="N86" s="2"/>
    </row>
    <row r="87" spans="1:14">
      <c r="A87" s="2" t="s">
        <v>958</v>
      </c>
      <c r="B87" s="2" t="s">
        <v>959</v>
      </c>
      <c r="C87" s="54" t="s">
        <v>806</v>
      </c>
      <c r="D87" s="2" t="s">
        <v>862</v>
      </c>
      <c r="E87" s="54">
        <v>24</v>
      </c>
      <c r="F87" s="54">
        <v>128</v>
      </c>
      <c r="G87" s="2" t="s">
        <v>863</v>
      </c>
      <c r="H87" s="2"/>
      <c r="I87" s="2"/>
      <c r="J87" s="2"/>
      <c r="K87" s="2"/>
      <c r="L87" s="2"/>
      <c r="M87" s="2"/>
      <c r="N87" s="2"/>
    </row>
    <row r="88" spans="1:14">
      <c r="A88" s="2" t="s">
        <v>960</v>
      </c>
      <c r="B88" s="2" t="s">
        <v>961</v>
      </c>
      <c r="C88" s="54" t="s">
        <v>806</v>
      </c>
      <c r="D88" s="2" t="s">
        <v>862</v>
      </c>
      <c r="E88" s="54">
        <v>24</v>
      </c>
      <c r="F88" s="54">
        <v>128</v>
      </c>
      <c r="G88" s="2" t="s">
        <v>863</v>
      </c>
      <c r="H88" s="2"/>
      <c r="I88" s="2"/>
      <c r="J88" s="2"/>
      <c r="K88" s="2"/>
      <c r="L88" s="2"/>
      <c r="M88" s="2"/>
      <c r="N88" s="2"/>
    </row>
    <row r="89" spans="1:14">
      <c r="A89" s="2" t="s">
        <v>962</v>
      </c>
      <c r="B89" s="2" t="s">
        <v>963</v>
      </c>
      <c r="C89" s="54" t="s">
        <v>806</v>
      </c>
      <c r="D89" s="2" t="s">
        <v>862</v>
      </c>
      <c r="E89" s="54">
        <v>24</v>
      </c>
      <c r="F89" s="54">
        <v>128</v>
      </c>
      <c r="G89" s="2" t="s">
        <v>863</v>
      </c>
      <c r="H89" s="2"/>
      <c r="I89" s="2"/>
      <c r="J89" s="2"/>
      <c r="K89" s="2"/>
      <c r="L89" s="2"/>
      <c r="M89" s="2"/>
      <c r="N89" s="2"/>
    </row>
    <row r="90" spans="1:14">
      <c r="A90" s="2" t="s">
        <v>964</v>
      </c>
      <c r="B90" s="2" t="s">
        <v>965</v>
      </c>
      <c r="C90" s="54" t="s">
        <v>806</v>
      </c>
      <c r="D90" s="2" t="s">
        <v>862</v>
      </c>
      <c r="E90" s="54">
        <v>24</v>
      </c>
      <c r="F90" s="54">
        <v>128</v>
      </c>
      <c r="G90" s="2" t="s">
        <v>863</v>
      </c>
      <c r="H90" s="2"/>
      <c r="I90" s="2"/>
      <c r="J90" s="2"/>
      <c r="K90" s="2"/>
      <c r="L90" s="2"/>
      <c r="M90" s="2"/>
      <c r="N90" s="2"/>
    </row>
    <row r="91" spans="1:14">
      <c r="A91" s="2" t="s">
        <v>966</v>
      </c>
      <c r="B91" s="2" t="s">
        <v>967</v>
      </c>
      <c r="C91" s="54" t="s">
        <v>806</v>
      </c>
      <c r="D91" s="2" t="s">
        <v>862</v>
      </c>
      <c r="E91" s="54">
        <v>24</v>
      </c>
      <c r="F91" s="54">
        <v>128</v>
      </c>
      <c r="G91" s="2" t="s">
        <v>863</v>
      </c>
      <c r="H91" s="2"/>
      <c r="I91" s="2"/>
      <c r="J91" s="2"/>
      <c r="K91" s="2"/>
      <c r="L91" s="2"/>
      <c r="M91" s="2"/>
      <c r="N91" s="2"/>
    </row>
    <row r="92" spans="1:14">
      <c r="A92" s="2" t="s">
        <v>968</v>
      </c>
      <c r="B92" s="2" t="s">
        <v>969</v>
      </c>
      <c r="C92" s="54" t="s">
        <v>806</v>
      </c>
      <c r="D92" s="2" t="s">
        <v>862</v>
      </c>
      <c r="E92" s="54">
        <v>24</v>
      </c>
      <c r="F92" s="54">
        <v>128</v>
      </c>
      <c r="G92" s="2" t="s">
        <v>863</v>
      </c>
      <c r="H92" s="2"/>
      <c r="I92" s="2"/>
      <c r="J92" s="2"/>
      <c r="K92" s="2"/>
      <c r="L92" s="2"/>
      <c r="M92" s="2"/>
      <c r="N92" s="2"/>
    </row>
    <row r="93" spans="1:14">
      <c r="A93" s="2" t="s">
        <v>970</v>
      </c>
      <c r="B93" s="2" t="s">
        <v>971</v>
      </c>
      <c r="C93" s="54" t="s">
        <v>806</v>
      </c>
      <c r="D93" s="2" t="s">
        <v>862</v>
      </c>
      <c r="E93" s="54">
        <v>24</v>
      </c>
      <c r="F93" s="54">
        <v>128</v>
      </c>
      <c r="G93" s="2" t="s">
        <v>863</v>
      </c>
      <c r="H93" s="2"/>
      <c r="I93" s="2"/>
      <c r="J93" s="2"/>
      <c r="K93" s="2"/>
      <c r="L93" s="2"/>
      <c r="M93" s="2"/>
      <c r="N93" s="2"/>
    </row>
    <row r="94" spans="1:14">
      <c r="A94" s="2" t="s">
        <v>972</v>
      </c>
      <c r="B94" s="2" t="s">
        <v>973</v>
      </c>
      <c r="C94" s="54" t="s">
        <v>806</v>
      </c>
      <c r="D94" s="2" t="s">
        <v>862</v>
      </c>
      <c r="E94" s="54">
        <v>24</v>
      </c>
      <c r="F94" s="54">
        <v>128</v>
      </c>
      <c r="G94" s="2" t="s">
        <v>863</v>
      </c>
      <c r="H94" s="2"/>
      <c r="I94" s="2"/>
      <c r="J94" s="2"/>
      <c r="K94" s="2"/>
      <c r="L94" s="2"/>
      <c r="M94" s="2"/>
      <c r="N94" s="2"/>
    </row>
    <row r="95" spans="1:14">
      <c r="A95" s="2" t="s">
        <v>974</v>
      </c>
      <c r="B95" s="2" t="s">
        <v>975</v>
      </c>
      <c r="C95" s="54" t="s">
        <v>806</v>
      </c>
      <c r="D95" s="2" t="s">
        <v>862</v>
      </c>
      <c r="E95" s="54">
        <v>24</v>
      </c>
      <c r="F95" s="54">
        <v>128</v>
      </c>
      <c r="G95" s="2" t="s">
        <v>863</v>
      </c>
      <c r="H95" s="2"/>
      <c r="I95" s="2"/>
      <c r="J95" s="2"/>
      <c r="K95" s="2"/>
      <c r="L95" s="2"/>
      <c r="M95" s="2"/>
      <c r="N95" s="2"/>
    </row>
    <row r="96" spans="1:14">
      <c r="A96" s="2" t="s">
        <v>976</v>
      </c>
      <c r="B96" s="2" t="s">
        <v>977</v>
      </c>
      <c r="C96" s="54" t="s">
        <v>806</v>
      </c>
      <c r="D96" s="2" t="s">
        <v>862</v>
      </c>
      <c r="E96" s="54">
        <v>24</v>
      </c>
      <c r="F96" s="54">
        <v>128</v>
      </c>
      <c r="G96" s="2" t="s">
        <v>863</v>
      </c>
      <c r="H96" s="2"/>
      <c r="I96" s="2"/>
      <c r="J96" s="2"/>
      <c r="K96" s="2"/>
      <c r="L96" s="2"/>
      <c r="M96" s="2"/>
      <c r="N96" s="2"/>
    </row>
    <row r="97" spans="1:14">
      <c r="A97" s="2" t="s">
        <v>978</v>
      </c>
      <c r="B97" s="2" t="s">
        <v>979</v>
      </c>
      <c r="C97" s="54" t="s">
        <v>806</v>
      </c>
      <c r="D97" s="2" t="s">
        <v>862</v>
      </c>
      <c r="E97" s="54">
        <v>24</v>
      </c>
      <c r="F97" s="54">
        <v>128</v>
      </c>
      <c r="G97" s="2" t="s">
        <v>863</v>
      </c>
      <c r="H97" s="2"/>
      <c r="I97" s="2"/>
      <c r="J97" s="2"/>
      <c r="K97" s="2"/>
      <c r="L97" s="2"/>
      <c r="M97" s="2"/>
      <c r="N97" s="2"/>
    </row>
    <row r="98" spans="1:14">
      <c r="A98" s="2" t="s">
        <v>980</v>
      </c>
      <c r="B98" s="2" t="s">
        <v>981</v>
      </c>
      <c r="C98" s="54" t="s">
        <v>806</v>
      </c>
      <c r="D98" s="2" t="s">
        <v>862</v>
      </c>
      <c r="E98" s="54">
        <v>24</v>
      </c>
      <c r="F98" s="54">
        <v>128</v>
      </c>
      <c r="G98" s="2" t="s">
        <v>863</v>
      </c>
      <c r="H98" s="2"/>
      <c r="I98" s="2"/>
      <c r="J98" s="2"/>
      <c r="K98" s="2"/>
      <c r="L98" s="2"/>
      <c r="M98" s="2"/>
      <c r="N98" s="2"/>
    </row>
    <row r="99" spans="1:14">
      <c r="A99" s="2" t="s">
        <v>982</v>
      </c>
      <c r="B99" s="2" t="s">
        <v>983</v>
      </c>
      <c r="C99" s="54" t="s">
        <v>806</v>
      </c>
      <c r="D99" s="2" t="s">
        <v>862</v>
      </c>
      <c r="E99" s="54">
        <v>24</v>
      </c>
      <c r="F99" s="54">
        <v>128</v>
      </c>
      <c r="G99" s="2" t="s">
        <v>863</v>
      </c>
      <c r="H99" s="2"/>
      <c r="I99" s="2"/>
      <c r="J99" s="2"/>
      <c r="K99" s="2"/>
      <c r="L99" s="2"/>
      <c r="M99" s="2"/>
      <c r="N99" s="2"/>
    </row>
    <row r="100" spans="1:14">
      <c r="A100" s="2" t="s">
        <v>984</v>
      </c>
      <c r="B100" s="2" t="s">
        <v>985</v>
      </c>
      <c r="C100" s="54" t="s">
        <v>806</v>
      </c>
      <c r="D100" s="2" t="s">
        <v>862</v>
      </c>
      <c r="E100" s="54">
        <v>24</v>
      </c>
      <c r="F100" s="54">
        <v>128</v>
      </c>
      <c r="G100" s="2" t="s">
        <v>863</v>
      </c>
      <c r="H100" s="2"/>
      <c r="I100" s="2"/>
      <c r="J100" s="2"/>
      <c r="K100" s="2"/>
      <c r="L100" s="2"/>
      <c r="M100" s="2"/>
      <c r="N100" s="2"/>
    </row>
    <row r="101" spans="1:14">
      <c r="A101" s="2" t="s">
        <v>986</v>
      </c>
      <c r="B101" s="2" t="s">
        <v>987</v>
      </c>
      <c r="C101" s="54" t="s">
        <v>806</v>
      </c>
      <c r="D101" s="2" t="s">
        <v>862</v>
      </c>
      <c r="E101" s="54">
        <v>24</v>
      </c>
      <c r="F101" s="54">
        <v>128</v>
      </c>
      <c r="G101" s="2" t="s">
        <v>863</v>
      </c>
      <c r="H101" s="2"/>
      <c r="I101" s="2"/>
      <c r="J101" s="2"/>
      <c r="K101" s="2"/>
      <c r="L101" s="2"/>
      <c r="M101" s="2"/>
      <c r="N101" s="2"/>
    </row>
    <row r="102" spans="1:14">
      <c r="A102" s="2" t="s">
        <v>988</v>
      </c>
      <c r="B102" s="2" t="s">
        <v>989</v>
      </c>
      <c r="C102" s="54" t="s">
        <v>806</v>
      </c>
      <c r="D102" s="2" t="s">
        <v>862</v>
      </c>
      <c r="E102" s="54">
        <v>24</v>
      </c>
      <c r="F102" s="54">
        <v>128</v>
      </c>
      <c r="G102" s="2" t="s">
        <v>863</v>
      </c>
      <c r="H102" s="2"/>
      <c r="I102" s="2"/>
      <c r="J102" s="2"/>
      <c r="K102" s="2"/>
      <c r="L102" s="2"/>
      <c r="M102" s="2"/>
      <c r="N102" s="2"/>
    </row>
    <row r="103" spans="1:14">
      <c r="A103" s="2" t="s">
        <v>990</v>
      </c>
      <c r="B103" s="2" t="s">
        <v>991</v>
      </c>
      <c r="C103" s="54" t="s">
        <v>806</v>
      </c>
      <c r="D103" s="2" t="s">
        <v>862</v>
      </c>
      <c r="E103" s="54">
        <v>24</v>
      </c>
      <c r="F103" s="54">
        <v>128</v>
      </c>
      <c r="G103" s="2" t="s">
        <v>863</v>
      </c>
      <c r="H103" s="2"/>
      <c r="I103" s="2"/>
      <c r="J103" s="2"/>
      <c r="K103" s="2"/>
      <c r="L103" s="2"/>
      <c r="M103" s="2"/>
      <c r="N103" s="2"/>
    </row>
    <row r="104" spans="1:14">
      <c r="A104" s="2" t="s">
        <v>992</v>
      </c>
      <c r="B104" s="2" t="s">
        <v>993</v>
      </c>
      <c r="C104" s="54" t="s">
        <v>806</v>
      </c>
      <c r="D104" s="2" t="s">
        <v>862</v>
      </c>
      <c r="E104" s="54">
        <v>24</v>
      </c>
      <c r="F104" s="54">
        <v>128</v>
      </c>
      <c r="G104" s="2" t="s">
        <v>863</v>
      </c>
      <c r="H104" s="2"/>
      <c r="I104" s="2"/>
      <c r="J104" s="2"/>
      <c r="K104" s="2"/>
      <c r="L104" s="2"/>
      <c r="M104" s="2"/>
      <c r="N104" s="2"/>
    </row>
    <row r="105" spans="1:14">
      <c r="A105" s="2" t="s">
        <v>994</v>
      </c>
      <c r="B105" s="2" t="s">
        <v>995</v>
      </c>
      <c r="C105" s="54" t="s">
        <v>806</v>
      </c>
      <c r="D105" s="2" t="s">
        <v>862</v>
      </c>
      <c r="E105" s="54">
        <v>24</v>
      </c>
      <c r="F105" s="54">
        <v>128</v>
      </c>
      <c r="G105" s="2" t="s">
        <v>863</v>
      </c>
      <c r="H105" s="2"/>
      <c r="I105" s="2"/>
      <c r="J105" s="2"/>
      <c r="K105" s="2"/>
      <c r="L105" s="2"/>
      <c r="M105" s="2"/>
      <c r="N105" s="2"/>
    </row>
    <row r="106" spans="1:14">
      <c r="A106" s="2" t="s">
        <v>996</v>
      </c>
      <c r="B106" s="2" t="s">
        <v>997</v>
      </c>
      <c r="C106" s="54" t="s">
        <v>806</v>
      </c>
      <c r="D106" s="2" t="s">
        <v>862</v>
      </c>
      <c r="E106" s="54">
        <v>24</v>
      </c>
      <c r="F106" s="54">
        <v>128</v>
      </c>
      <c r="G106" s="2" t="s">
        <v>863</v>
      </c>
      <c r="H106" s="2"/>
      <c r="I106" s="2"/>
      <c r="J106" s="2"/>
      <c r="K106" s="2"/>
      <c r="L106" s="2"/>
      <c r="M106" s="2"/>
      <c r="N106" s="2"/>
    </row>
    <row r="107" spans="1:14">
      <c r="A107" s="2" t="s">
        <v>998</v>
      </c>
      <c r="B107" s="2" t="s">
        <v>999</v>
      </c>
      <c r="C107" s="54" t="s">
        <v>806</v>
      </c>
      <c r="D107" s="2" t="s">
        <v>862</v>
      </c>
      <c r="E107" s="54">
        <v>24</v>
      </c>
      <c r="F107" s="54">
        <v>128</v>
      </c>
      <c r="G107" s="2" t="s">
        <v>863</v>
      </c>
      <c r="H107" s="2"/>
      <c r="I107" s="2"/>
      <c r="J107" s="2"/>
      <c r="K107" s="2"/>
      <c r="L107" s="2"/>
      <c r="M107" s="2"/>
      <c r="N107" s="2"/>
    </row>
    <row r="108" spans="1:14">
      <c r="A108" s="2" t="s">
        <v>1000</v>
      </c>
      <c r="B108" s="2" t="s">
        <v>1001</v>
      </c>
      <c r="C108" s="54" t="s">
        <v>806</v>
      </c>
      <c r="D108" s="2" t="s">
        <v>862</v>
      </c>
      <c r="E108" s="54">
        <v>24</v>
      </c>
      <c r="F108" s="54">
        <v>128</v>
      </c>
      <c r="G108" s="2" t="s">
        <v>863</v>
      </c>
      <c r="H108" s="2"/>
      <c r="I108" s="2"/>
      <c r="J108" s="2"/>
      <c r="K108" s="2"/>
      <c r="L108" s="2"/>
      <c r="M108" s="2"/>
      <c r="N108" s="2"/>
    </row>
    <row r="109" spans="1:14">
      <c r="A109" s="2" t="s">
        <v>1002</v>
      </c>
      <c r="B109" s="2" t="s">
        <v>1003</v>
      </c>
      <c r="C109" s="54" t="s">
        <v>806</v>
      </c>
      <c r="D109" s="2" t="s">
        <v>862</v>
      </c>
      <c r="E109" s="54">
        <v>24</v>
      </c>
      <c r="F109" s="54">
        <v>128</v>
      </c>
      <c r="G109" s="2" t="s">
        <v>863</v>
      </c>
      <c r="H109" s="2"/>
      <c r="I109" s="2"/>
      <c r="J109" s="2"/>
      <c r="K109" s="2"/>
      <c r="L109" s="2"/>
      <c r="M109" s="2"/>
      <c r="N109" s="2"/>
    </row>
    <row r="110" spans="1:14">
      <c r="A110" s="2" t="s">
        <v>1004</v>
      </c>
      <c r="B110" s="2" t="s">
        <v>1005</v>
      </c>
      <c r="C110" s="54" t="s">
        <v>806</v>
      </c>
      <c r="D110" s="2" t="s">
        <v>862</v>
      </c>
      <c r="E110" s="54">
        <v>24</v>
      </c>
      <c r="F110" s="54">
        <v>128</v>
      </c>
      <c r="G110" s="2" t="s">
        <v>863</v>
      </c>
      <c r="H110" s="2"/>
      <c r="I110" s="2"/>
      <c r="J110" s="2"/>
      <c r="K110" s="2"/>
      <c r="L110" s="2"/>
      <c r="M110" s="2"/>
      <c r="N110" s="2"/>
    </row>
    <row r="111" spans="1:14">
      <c r="A111" s="2" t="s">
        <v>1006</v>
      </c>
      <c r="B111" s="2" t="s">
        <v>1007</v>
      </c>
      <c r="C111" s="54" t="s">
        <v>806</v>
      </c>
      <c r="D111" s="2" t="s">
        <v>862</v>
      </c>
      <c r="E111" s="54">
        <v>24</v>
      </c>
      <c r="F111" s="54">
        <v>128</v>
      </c>
      <c r="G111" s="2" t="s">
        <v>863</v>
      </c>
      <c r="H111" s="2"/>
      <c r="I111" s="2"/>
      <c r="J111" s="2"/>
      <c r="K111" s="2"/>
      <c r="L111" s="2"/>
      <c r="M111" s="2"/>
      <c r="N111" s="2"/>
    </row>
    <row r="112" spans="1:14">
      <c r="A112" s="2" t="s">
        <v>1008</v>
      </c>
      <c r="B112" s="2" t="s">
        <v>1009</v>
      </c>
      <c r="C112" s="54" t="s">
        <v>806</v>
      </c>
      <c r="D112" s="2" t="s">
        <v>862</v>
      </c>
      <c r="E112" s="54">
        <v>24</v>
      </c>
      <c r="F112" s="54">
        <v>128</v>
      </c>
      <c r="G112" s="2" t="s">
        <v>863</v>
      </c>
      <c r="H112" s="2"/>
      <c r="I112" s="2"/>
      <c r="J112" s="2"/>
      <c r="K112" s="2"/>
      <c r="L112" s="2"/>
      <c r="M112" s="2"/>
      <c r="N112" s="2"/>
    </row>
    <row r="113" spans="1:14">
      <c r="A113" s="2" t="s">
        <v>1010</v>
      </c>
      <c r="B113" s="2" t="s">
        <v>1011</v>
      </c>
      <c r="C113" s="54" t="s">
        <v>806</v>
      </c>
      <c r="D113" s="2" t="s">
        <v>862</v>
      </c>
      <c r="E113" s="54">
        <v>24</v>
      </c>
      <c r="F113" s="54">
        <v>128</v>
      </c>
      <c r="G113" s="2" t="s">
        <v>863</v>
      </c>
      <c r="H113" s="2"/>
      <c r="I113" s="2"/>
      <c r="J113" s="2"/>
      <c r="K113" s="2"/>
      <c r="L113" s="2"/>
      <c r="M113" s="2"/>
      <c r="N113" s="2"/>
    </row>
    <row r="114" spans="1:14">
      <c r="A114" s="2" t="s">
        <v>1012</v>
      </c>
      <c r="B114" s="2" t="s">
        <v>1013</v>
      </c>
      <c r="C114" s="54" t="s">
        <v>806</v>
      </c>
      <c r="D114" s="2" t="s">
        <v>862</v>
      </c>
      <c r="E114" s="54">
        <v>24</v>
      </c>
      <c r="F114" s="54">
        <v>128</v>
      </c>
      <c r="G114" s="2" t="s">
        <v>863</v>
      </c>
      <c r="H114" s="2"/>
      <c r="I114" s="2"/>
      <c r="J114" s="2"/>
      <c r="K114" s="2"/>
      <c r="L114" s="2"/>
      <c r="M114" s="2"/>
      <c r="N114" s="2"/>
    </row>
    <row r="115" spans="1:14">
      <c r="A115" s="2" t="s">
        <v>1014</v>
      </c>
      <c r="B115" s="2" t="s">
        <v>1015</v>
      </c>
      <c r="C115" s="54" t="s">
        <v>806</v>
      </c>
      <c r="D115" s="2" t="s">
        <v>862</v>
      </c>
      <c r="E115" s="54">
        <v>24</v>
      </c>
      <c r="F115" s="54">
        <v>128</v>
      </c>
      <c r="G115" s="2" t="s">
        <v>863</v>
      </c>
      <c r="H115" s="2"/>
      <c r="I115" s="2"/>
      <c r="J115" s="2"/>
      <c r="K115" s="2"/>
      <c r="L115" s="2"/>
      <c r="M115" s="2"/>
      <c r="N115" s="2"/>
    </row>
    <row r="116" spans="1:14">
      <c r="A116" s="2" t="s">
        <v>1016</v>
      </c>
      <c r="B116" s="2" t="s">
        <v>1017</v>
      </c>
      <c r="C116" s="54" t="s">
        <v>806</v>
      </c>
      <c r="D116" s="2" t="s">
        <v>862</v>
      </c>
      <c r="E116" s="54">
        <v>24</v>
      </c>
      <c r="F116" s="54">
        <v>128</v>
      </c>
      <c r="G116" s="2" t="s">
        <v>863</v>
      </c>
      <c r="H116" s="2"/>
      <c r="I116" s="2"/>
      <c r="J116" s="2"/>
      <c r="K116" s="2"/>
      <c r="L116" s="2"/>
      <c r="M116" s="2"/>
      <c r="N116" s="2"/>
    </row>
    <row r="117" spans="1:14">
      <c r="A117" s="2" t="s">
        <v>1018</v>
      </c>
      <c r="B117" s="2" t="s">
        <v>1019</v>
      </c>
      <c r="C117" s="54" t="s">
        <v>806</v>
      </c>
      <c r="D117" s="2" t="s">
        <v>862</v>
      </c>
      <c r="E117" s="54">
        <v>24</v>
      </c>
      <c r="F117" s="54">
        <v>128</v>
      </c>
      <c r="G117" s="2" t="s">
        <v>863</v>
      </c>
      <c r="H117" s="2"/>
      <c r="I117" s="2"/>
      <c r="J117" s="2"/>
      <c r="K117" s="2"/>
      <c r="L117" s="2"/>
      <c r="M117" s="2"/>
      <c r="N117" s="2"/>
    </row>
    <row r="118" spans="1:14">
      <c r="A118" s="2" t="s">
        <v>1020</v>
      </c>
      <c r="B118" s="2" t="s">
        <v>1021</v>
      </c>
      <c r="C118" s="54" t="s">
        <v>806</v>
      </c>
      <c r="D118" s="2" t="s">
        <v>862</v>
      </c>
      <c r="E118" s="54">
        <v>24</v>
      </c>
      <c r="F118" s="54">
        <v>128</v>
      </c>
      <c r="G118" s="2" t="s">
        <v>863</v>
      </c>
      <c r="H118" s="2"/>
      <c r="I118" s="2"/>
      <c r="J118" s="2"/>
      <c r="K118" s="2"/>
      <c r="L118" s="2"/>
      <c r="M118" s="2"/>
      <c r="N118" s="2"/>
    </row>
    <row r="119" spans="1:14">
      <c r="A119" s="2" t="s">
        <v>1022</v>
      </c>
      <c r="B119" s="2" t="s">
        <v>1023</v>
      </c>
      <c r="C119" s="54" t="s">
        <v>806</v>
      </c>
      <c r="D119" s="2" t="s">
        <v>862</v>
      </c>
      <c r="E119" s="54">
        <v>24</v>
      </c>
      <c r="F119" s="54">
        <v>128</v>
      </c>
      <c r="G119" s="54" t="s">
        <v>863</v>
      </c>
      <c r="H119" s="2"/>
      <c r="I119" s="2"/>
      <c r="J119" s="2"/>
      <c r="K119" s="2"/>
      <c r="L119" s="2"/>
      <c r="M119" s="2"/>
      <c r="N119" s="2"/>
    </row>
    <row r="120" spans="1:14">
      <c r="A120" s="2" t="s">
        <v>1024</v>
      </c>
      <c r="B120" s="2" t="s">
        <v>1025</v>
      </c>
      <c r="C120" s="54" t="s">
        <v>806</v>
      </c>
      <c r="D120" s="2" t="s">
        <v>862</v>
      </c>
      <c r="E120" s="54">
        <v>24</v>
      </c>
      <c r="F120" s="54">
        <v>128</v>
      </c>
      <c r="G120" s="54" t="s">
        <v>863</v>
      </c>
      <c r="H120" s="2"/>
      <c r="I120" s="2"/>
      <c r="J120" s="2"/>
      <c r="K120" s="2"/>
      <c r="L120" s="2"/>
      <c r="M120" s="2"/>
      <c r="N120" s="2"/>
    </row>
    <row r="121" spans="1:14">
      <c r="A121" s="2" t="s">
        <v>1026</v>
      </c>
      <c r="B121" s="2" t="s">
        <v>1027</v>
      </c>
      <c r="C121" s="54" t="s">
        <v>806</v>
      </c>
      <c r="D121" s="2" t="s">
        <v>862</v>
      </c>
      <c r="E121" s="54">
        <v>24</v>
      </c>
      <c r="F121" s="54">
        <v>128</v>
      </c>
      <c r="G121" s="54" t="s">
        <v>863</v>
      </c>
      <c r="H121" s="2"/>
      <c r="I121" s="2"/>
      <c r="J121" s="2"/>
      <c r="K121" s="2"/>
      <c r="L121" s="2"/>
      <c r="M121" s="2"/>
      <c r="N121" s="2"/>
    </row>
    <row r="122" spans="1:14">
      <c r="A122" s="2" t="s">
        <v>1028</v>
      </c>
      <c r="B122" s="2" t="s">
        <v>1029</v>
      </c>
      <c r="C122" s="54" t="s">
        <v>806</v>
      </c>
      <c r="D122" s="2" t="s">
        <v>862</v>
      </c>
      <c r="E122" s="54">
        <v>24</v>
      </c>
      <c r="F122" s="54">
        <v>128</v>
      </c>
      <c r="G122" s="54" t="s">
        <v>863</v>
      </c>
      <c r="H122" s="2"/>
      <c r="I122" s="2"/>
      <c r="J122" s="2"/>
      <c r="K122" s="2"/>
      <c r="L122" s="2"/>
      <c r="M122" s="2"/>
      <c r="N122" s="2"/>
    </row>
    <row r="123" spans="1:14">
      <c r="A123" s="2" t="s">
        <v>1030</v>
      </c>
      <c r="B123" s="2" t="s">
        <v>1031</v>
      </c>
      <c r="C123" s="54" t="s">
        <v>806</v>
      </c>
      <c r="D123" s="2" t="s">
        <v>862</v>
      </c>
      <c r="E123" s="54">
        <v>12</v>
      </c>
      <c r="F123" s="54">
        <v>192</v>
      </c>
      <c r="G123" s="54" t="s">
        <v>853</v>
      </c>
      <c r="H123" s="2"/>
      <c r="I123" s="2"/>
      <c r="J123" s="2"/>
      <c r="K123" s="2"/>
      <c r="L123" s="2"/>
      <c r="M123" s="2"/>
      <c r="N123" s="2"/>
    </row>
    <row r="124" spans="1:14">
      <c r="A124" s="2" t="s">
        <v>1032</v>
      </c>
      <c r="B124" s="2" t="s">
        <v>1033</v>
      </c>
      <c r="C124" s="54" t="s">
        <v>806</v>
      </c>
      <c r="D124" s="2" t="s">
        <v>862</v>
      </c>
      <c r="E124" s="54">
        <v>12</v>
      </c>
      <c r="F124" s="54">
        <v>192</v>
      </c>
      <c r="G124" s="54" t="s">
        <v>853</v>
      </c>
      <c r="H124" s="2"/>
      <c r="I124" s="2"/>
      <c r="J124" s="2"/>
      <c r="K124" s="2"/>
      <c r="L124" s="2"/>
      <c r="M124" s="2"/>
      <c r="N124" s="2"/>
    </row>
    <row r="125" spans="1:14">
      <c r="A125" s="2" t="s">
        <v>1034</v>
      </c>
      <c r="B125" s="2" t="s">
        <v>1035</v>
      </c>
      <c r="C125" s="54" t="s">
        <v>806</v>
      </c>
      <c r="D125" s="2" t="s">
        <v>862</v>
      </c>
      <c r="E125" s="54">
        <v>12</v>
      </c>
      <c r="F125" s="54">
        <v>192</v>
      </c>
      <c r="G125" s="54" t="s">
        <v>853</v>
      </c>
      <c r="H125" s="2"/>
      <c r="I125" s="2"/>
      <c r="J125" s="2"/>
      <c r="K125" s="2"/>
      <c r="L125" s="2"/>
      <c r="M125" s="2"/>
      <c r="N125" s="2"/>
    </row>
    <row r="126" spans="1:14">
      <c r="A126" s="2" t="s">
        <v>1036</v>
      </c>
      <c r="B126" s="2" t="s">
        <v>1037</v>
      </c>
      <c r="C126" s="54" t="s">
        <v>806</v>
      </c>
      <c r="D126" s="2" t="s">
        <v>862</v>
      </c>
      <c r="E126" s="54">
        <v>12</v>
      </c>
      <c r="F126" s="54">
        <v>192</v>
      </c>
      <c r="G126" s="54" t="s">
        <v>853</v>
      </c>
      <c r="H126" s="2"/>
      <c r="I126" s="2"/>
      <c r="J126" s="2"/>
      <c r="K126" s="2"/>
      <c r="L126" s="2"/>
      <c r="M126" s="2"/>
      <c r="N126" s="2"/>
    </row>
    <row r="128" spans="1:14">
      <c r="A128" s="58" t="s">
        <v>1038</v>
      </c>
      <c r="K128" s="59">
        <f>SUM(K3:K33)</f>
        <v>304200</v>
      </c>
    </row>
    <row r="129" spans="1:11">
      <c r="A129" t="s">
        <v>1039</v>
      </c>
      <c r="E129">
        <f>SUM(E3:E126)</f>
        <v>2224</v>
      </c>
      <c r="F129">
        <f>SUM(F3:F126)</f>
        <v>12320</v>
      </c>
      <c r="K129" t="s">
        <v>1040</v>
      </c>
    </row>
    <row r="133" spans="1:11">
      <c r="A133" s="20" t="s">
        <v>256</v>
      </c>
      <c r="B133" s="20" t="s">
        <v>1041</v>
      </c>
    </row>
    <row r="134" spans="1:11">
      <c r="A134" s="18">
        <v>2016</v>
      </c>
      <c r="B134" s="18">
        <v>72</v>
      </c>
    </row>
    <row r="135" spans="1:11">
      <c r="A135" s="18">
        <v>2017</v>
      </c>
      <c r="B135" s="18">
        <v>102</v>
      </c>
    </row>
    <row r="136" spans="1:11">
      <c r="A136" s="18">
        <v>2018</v>
      </c>
      <c r="B136" s="18">
        <v>183</v>
      </c>
    </row>
    <row r="137" spans="1:11">
      <c r="A137" s="18">
        <v>2019</v>
      </c>
      <c r="B137" s="18">
        <v>267</v>
      </c>
    </row>
    <row r="138" spans="1:11">
      <c r="A138" t="s">
        <v>1042</v>
      </c>
    </row>
    <row r="140" spans="1:11">
      <c r="A140" t="s">
        <v>1043</v>
      </c>
      <c r="B140" t="s">
        <v>1044</v>
      </c>
    </row>
    <row r="141" spans="1:11">
      <c r="A141" t="s">
        <v>1045</v>
      </c>
      <c r="B141" t="s">
        <v>1046</v>
      </c>
    </row>
    <row r="142" spans="1:11">
      <c r="A142" t="s">
        <v>1047</v>
      </c>
      <c r="B142" t="s">
        <v>1048</v>
      </c>
    </row>
    <row r="143" spans="1:11">
      <c r="A143" t="s">
        <v>1049</v>
      </c>
      <c r="B143" t="s">
        <v>1050</v>
      </c>
    </row>
    <row r="145" spans="1:8">
      <c r="A145" s="8" t="s">
        <v>256</v>
      </c>
      <c r="B145" s="8" t="s">
        <v>1041</v>
      </c>
    </row>
    <row r="146" spans="1:8">
      <c r="A146" s="2" t="s">
        <v>259</v>
      </c>
      <c r="B146" s="2">
        <f>SUM(B135-B134)</f>
        <v>30</v>
      </c>
    </row>
    <row r="147" spans="1:8">
      <c r="A147" s="2" t="s">
        <v>260</v>
      </c>
      <c r="B147" s="2">
        <f>SUM(B136-B135)</f>
        <v>81</v>
      </c>
    </row>
    <row r="148" spans="1:8">
      <c r="A148" s="2" t="s">
        <v>262</v>
      </c>
      <c r="B148" s="2">
        <f>SUM(B137-B136)</f>
        <v>84</v>
      </c>
    </row>
    <row r="152" spans="1:8">
      <c r="A152" s="60" t="s">
        <v>1051</v>
      </c>
      <c r="B152" s="60" t="s">
        <v>1044</v>
      </c>
      <c r="C152" s="61"/>
      <c r="D152" s="61"/>
      <c r="E152" s="61"/>
      <c r="F152" s="61"/>
      <c r="G152" s="61"/>
      <c r="H152" s="61"/>
    </row>
    <row r="153" spans="1:8">
      <c r="A153" s="62" t="s">
        <v>1052</v>
      </c>
      <c r="B153" s="62" t="s">
        <v>1053</v>
      </c>
      <c r="C153" s="62" t="s">
        <v>1054</v>
      </c>
      <c r="D153" s="62" t="s">
        <v>1055</v>
      </c>
      <c r="E153" s="62" t="s">
        <v>1056</v>
      </c>
      <c r="F153" s="62" t="s">
        <v>1057</v>
      </c>
      <c r="G153" s="62" t="s">
        <v>1058</v>
      </c>
      <c r="H153" s="62"/>
    </row>
    <row r="154" spans="1:8">
      <c r="A154" s="63" t="s">
        <v>1059</v>
      </c>
      <c r="B154" s="63" t="s">
        <v>1060</v>
      </c>
      <c r="C154" s="63">
        <v>2</v>
      </c>
      <c r="D154" s="63" t="s">
        <v>1061</v>
      </c>
      <c r="E154" s="63" t="s">
        <v>1062</v>
      </c>
      <c r="F154" s="66">
        <v>0.45</v>
      </c>
      <c r="G154" s="63" t="s">
        <v>680</v>
      </c>
      <c r="H154" s="63"/>
    </row>
    <row r="155" spans="1:8">
      <c r="A155" s="63" t="s">
        <v>1063</v>
      </c>
      <c r="B155" s="63" t="s">
        <v>1064</v>
      </c>
      <c r="C155" s="63">
        <v>5</v>
      </c>
      <c r="D155" s="63" t="s">
        <v>1065</v>
      </c>
      <c r="E155" s="63" t="s">
        <v>1066</v>
      </c>
      <c r="F155" s="66">
        <v>0.25</v>
      </c>
      <c r="G155" s="63" t="s">
        <v>663</v>
      </c>
      <c r="H155" s="63"/>
    </row>
    <row r="156" spans="1:8">
      <c r="A156" s="63" t="s">
        <v>1067</v>
      </c>
      <c r="B156" s="63" t="s">
        <v>1064</v>
      </c>
      <c r="C156" s="63">
        <v>5</v>
      </c>
      <c r="D156" s="63" t="s">
        <v>1068</v>
      </c>
      <c r="E156" s="63" t="s">
        <v>1069</v>
      </c>
      <c r="F156" s="66">
        <v>0.16</v>
      </c>
      <c r="G156" s="63" t="s">
        <v>664</v>
      </c>
      <c r="H156" s="63"/>
    </row>
    <row r="157" spans="1:8">
      <c r="A157" s="63" t="s">
        <v>1070</v>
      </c>
      <c r="B157" s="63" t="s">
        <v>1071</v>
      </c>
      <c r="C157" s="63">
        <v>10</v>
      </c>
      <c r="D157" s="63" t="s">
        <v>1072</v>
      </c>
      <c r="E157" s="63" t="s">
        <v>1073</v>
      </c>
      <c r="F157" s="66">
        <v>0.01</v>
      </c>
      <c r="G157" s="63" t="s">
        <v>1074</v>
      </c>
      <c r="H157" s="63"/>
    </row>
    <row r="158" spans="1:8">
      <c r="A158" s="63" t="s">
        <v>1075</v>
      </c>
      <c r="B158" s="63" t="s">
        <v>1076</v>
      </c>
      <c r="C158" s="63">
        <v>13</v>
      </c>
      <c r="D158" s="63" t="s">
        <v>1077</v>
      </c>
      <c r="E158" s="63" t="s">
        <v>1078</v>
      </c>
      <c r="F158" s="66">
        <v>0.98</v>
      </c>
      <c r="G158" s="63" t="s">
        <v>672</v>
      </c>
      <c r="H158" s="63"/>
    </row>
    <row r="159" spans="1:8">
      <c r="A159" s="63" t="s">
        <v>1079</v>
      </c>
      <c r="B159" s="63" t="s">
        <v>1064</v>
      </c>
      <c r="C159" s="63">
        <v>5</v>
      </c>
      <c r="D159" s="63" t="s">
        <v>1065</v>
      </c>
      <c r="E159" s="63" t="s">
        <v>1080</v>
      </c>
      <c r="F159" s="66">
        <v>0.26</v>
      </c>
      <c r="G159" s="63" t="s">
        <v>666</v>
      </c>
      <c r="H159" s="63"/>
    </row>
    <row r="160" spans="1:8">
      <c r="A160" s="63" t="s">
        <v>1081</v>
      </c>
      <c r="B160" s="63" t="s">
        <v>1082</v>
      </c>
      <c r="C160" s="63">
        <v>7</v>
      </c>
      <c r="D160" s="63" t="s">
        <v>1083</v>
      </c>
      <c r="E160" s="63" t="s">
        <v>1084</v>
      </c>
      <c r="F160" s="66">
        <v>0.96</v>
      </c>
      <c r="G160" s="63" t="s">
        <v>669</v>
      </c>
      <c r="H160" s="63"/>
    </row>
    <row r="161" spans="1:8">
      <c r="A161" s="63" t="s">
        <v>1085</v>
      </c>
      <c r="B161" s="63" t="s">
        <v>1064</v>
      </c>
      <c r="C161" s="63">
        <v>5</v>
      </c>
      <c r="D161" s="63" t="s">
        <v>1086</v>
      </c>
      <c r="E161" s="63" t="s">
        <v>1087</v>
      </c>
      <c r="F161" s="66">
        <v>0.03</v>
      </c>
      <c r="G161" s="63" t="s">
        <v>671</v>
      </c>
      <c r="H161" s="63"/>
    </row>
    <row r="162" spans="1:8">
      <c r="A162" s="63" t="s">
        <v>1088</v>
      </c>
      <c r="B162" s="63" t="s">
        <v>1089</v>
      </c>
      <c r="C162" s="63">
        <v>20</v>
      </c>
      <c r="D162" s="63" t="s">
        <v>1090</v>
      </c>
      <c r="E162" s="63" t="s">
        <v>1076</v>
      </c>
      <c r="F162" s="66">
        <v>0.38</v>
      </c>
      <c r="G162" s="63" t="s">
        <v>668</v>
      </c>
      <c r="H162" s="63"/>
    </row>
    <row r="163" spans="1:8">
      <c r="A163" s="61"/>
      <c r="B163" s="64" t="s">
        <v>272</v>
      </c>
      <c r="C163" s="64">
        <f>SUM(C154:C162)</f>
        <v>72</v>
      </c>
      <c r="D163" s="61"/>
      <c r="E163" s="61"/>
      <c r="F163" s="61"/>
      <c r="G163" s="61"/>
      <c r="H163" s="61"/>
    </row>
    <row r="164" spans="1:8">
      <c r="A164" s="61"/>
      <c r="B164" s="61"/>
      <c r="C164" s="61"/>
      <c r="D164" s="61"/>
      <c r="E164" s="61"/>
      <c r="F164" s="61"/>
      <c r="G164" s="61"/>
      <c r="H164" s="61"/>
    </row>
    <row r="165" spans="1:8">
      <c r="A165" s="65" t="s">
        <v>1045</v>
      </c>
      <c r="B165" s="65" t="s">
        <v>1046</v>
      </c>
      <c r="C165" s="61"/>
      <c r="F165" s="61"/>
      <c r="G165" s="61"/>
      <c r="H165" s="61"/>
    </row>
    <row r="166" spans="1:8">
      <c r="A166" s="62" t="s">
        <v>1052</v>
      </c>
      <c r="B166" s="62" t="s">
        <v>1053</v>
      </c>
      <c r="C166" s="62" t="s">
        <v>1054</v>
      </c>
      <c r="D166" s="62" t="s">
        <v>1055</v>
      </c>
      <c r="E166" s="62" t="s">
        <v>1056</v>
      </c>
      <c r="F166" s="62" t="s">
        <v>1057</v>
      </c>
      <c r="G166" s="62" t="s">
        <v>1058</v>
      </c>
      <c r="H166" s="61"/>
    </row>
    <row r="167" spans="1:8">
      <c r="A167" s="63" t="s">
        <v>1059</v>
      </c>
      <c r="B167" s="63" t="s">
        <v>1060</v>
      </c>
      <c r="C167" s="63">
        <v>2</v>
      </c>
      <c r="D167" s="63" t="s">
        <v>1091</v>
      </c>
      <c r="E167" s="63" t="s">
        <v>1092</v>
      </c>
      <c r="F167" s="66">
        <v>0.26</v>
      </c>
      <c r="G167" s="63" t="s">
        <v>680</v>
      </c>
      <c r="H167" s="61"/>
    </row>
    <row r="168" spans="1:8">
      <c r="A168" s="63" t="s">
        <v>1085</v>
      </c>
      <c r="B168" s="63" t="s">
        <v>1064</v>
      </c>
      <c r="C168" s="63">
        <v>5</v>
      </c>
      <c r="D168" s="63" t="s">
        <v>1087</v>
      </c>
      <c r="E168" s="63" t="s">
        <v>1093</v>
      </c>
      <c r="F168" s="66">
        <v>0.97</v>
      </c>
      <c r="G168" s="63" t="s">
        <v>671</v>
      </c>
      <c r="H168" s="61"/>
    </row>
    <row r="169" spans="1:8">
      <c r="A169" s="63" t="s">
        <v>1067</v>
      </c>
      <c r="B169" s="63" t="s">
        <v>1064</v>
      </c>
      <c r="C169" s="63">
        <v>5</v>
      </c>
      <c r="D169" s="63" t="s">
        <v>1094</v>
      </c>
      <c r="E169" s="63" t="s">
        <v>1095</v>
      </c>
      <c r="F169" s="66">
        <v>0.32</v>
      </c>
      <c r="G169" s="63" t="s">
        <v>664</v>
      </c>
      <c r="H169" s="61"/>
    </row>
    <row r="170" spans="1:8">
      <c r="A170" s="63" t="s">
        <v>1079</v>
      </c>
      <c r="B170" s="63" t="s">
        <v>1064</v>
      </c>
      <c r="C170" s="63">
        <v>5</v>
      </c>
      <c r="D170" s="63" t="s">
        <v>1096</v>
      </c>
      <c r="E170" s="63" t="s">
        <v>1097</v>
      </c>
      <c r="F170" s="66">
        <v>1</v>
      </c>
      <c r="G170" s="63" t="s">
        <v>666</v>
      </c>
      <c r="H170" s="61"/>
    </row>
    <row r="171" spans="1:8">
      <c r="A171" s="63" t="s">
        <v>1081</v>
      </c>
      <c r="B171" s="63" t="s">
        <v>1082</v>
      </c>
      <c r="C171" s="63">
        <v>7</v>
      </c>
      <c r="D171" s="63" t="s">
        <v>1098</v>
      </c>
      <c r="E171" s="63" t="s">
        <v>1094</v>
      </c>
      <c r="F171" s="66">
        <v>0.78</v>
      </c>
      <c r="G171" s="63" t="s">
        <v>669</v>
      </c>
      <c r="H171" s="61"/>
    </row>
    <row r="172" spans="1:8">
      <c r="A172" s="63" t="s">
        <v>1063</v>
      </c>
      <c r="B172" s="63" t="s">
        <v>1064</v>
      </c>
      <c r="C172" s="63">
        <v>5</v>
      </c>
      <c r="D172" s="63" t="s">
        <v>1099</v>
      </c>
      <c r="E172" s="63" t="s">
        <v>1100</v>
      </c>
      <c r="F172" s="66">
        <v>0.81</v>
      </c>
      <c r="G172" s="63" t="s">
        <v>663</v>
      </c>
      <c r="H172" s="61"/>
    </row>
    <row r="173" spans="1:8">
      <c r="A173" s="63" t="s">
        <v>1101</v>
      </c>
      <c r="B173" s="63" t="s">
        <v>1064</v>
      </c>
      <c r="C173" s="63">
        <v>5</v>
      </c>
      <c r="D173" s="63" t="s">
        <v>1102</v>
      </c>
      <c r="E173" s="63" t="s">
        <v>1099</v>
      </c>
      <c r="F173" s="66">
        <v>0.26</v>
      </c>
      <c r="G173" s="63" t="s">
        <v>687</v>
      </c>
      <c r="H173" s="61"/>
    </row>
    <row r="174" spans="1:8">
      <c r="A174" s="63" t="s">
        <v>1088</v>
      </c>
      <c r="B174" s="63" t="s">
        <v>1089</v>
      </c>
      <c r="C174" s="63">
        <v>20</v>
      </c>
      <c r="D174" s="63" t="s">
        <v>1103</v>
      </c>
      <c r="E174" s="63" t="s">
        <v>1104</v>
      </c>
      <c r="F174" s="66">
        <v>0.89</v>
      </c>
      <c r="G174" s="63" t="s">
        <v>668</v>
      </c>
      <c r="H174" s="61"/>
    </row>
    <row r="175" spans="1:8">
      <c r="A175" s="63" t="s">
        <v>1075</v>
      </c>
      <c r="B175" s="63" t="s">
        <v>1103</v>
      </c>
      <c r="C175" s="63">
        <v>18</v>
      </c>
      <c r="D175" s="63" t="s">
        <v>1105</v>
      </c>
      <c r="E175" s="63" t="s">
        <v>1106</v>
      </c>
      <c r="F175" s="66">
        <v>0.97</v>
      </c>
      <c r="G175" s="63" t="s">
        <v>672</v>
      </c>
      <c r="H175" s="61"/>
    </row>
    <row r="176" spans="1:8">
      <c r="A176" s="63" t="s">
        <v>1070</v>
      </c>
      <c r="B176" s="63" t="s">
        <v>1071</v>
      </c>
      <c r="C176" s="63">
        <v>10</v>
      </c>
      <c r="D176" s="63" t="s">
        <v>1107</v>
      </c>
      <c r="E176" s="63" t="s">
        <v>1108</v>
      </c>
      <c r="F176" s="66">
        <v>0.01</v>
      </c>
      <c r="G176" s="63" t="s">
        <v>673</v>
      </c>
      <c r="H176" s="61"/>
    </row>
    <row r="177" spans="1:8">
      <c r="A177" s="63" t="s">
        <v>1109</v>
      </c>
      <c r="B177" s="63" t="s">
        <v>1089</v>
      </c>
      <c r="C177" s="63">
        <v>20</v>
      </c>
      <c r="D177" s="63" t="s">
        <v>1110</v>
      </c>
      <c r="E177" s="63" t="s">
        <v>1089</v>
      </c>
      <c r="F177" s="66">
        <v>0.01</v>
      </c>
      <c r="G177" s="63" t="s">
        <v>667</v>
      </c>
      <c r="H177" s="61"/>
    </row>
    <row r="178" spans="1:8">
      <c r="A178" s="61"/>
      <c r="B178" s="64" t="s">
        <v>272</v>
      </c>
      <c r="C178" s="64">
        <f>SUM(C167:C177)</f>
        <v>102</v>
      </c>
      <c r="D178" s="61"/>
      <c r="E178" s="61"/>
      <c r="F178" s="61"/>
      <c r="G178" s="61"/>
      <c r="H178" s="61"/>
    </row>
    <row r="179" spans="1:8">
      <c r="A179" s="61"/>
      <c r="B179" s="61"/>
      <c r="C179" s="61"/>
      <c r="D179" s="61"/>
      <c r="E179" s="61"/>
      <c r="F179" s="61"/>
      <c r="G179" s="61"/>
      <c r="H179" s="61"/>
    </row>
    <row r="180" spans="1:8">
      <c r="A180" s="61"/>
      <c r="B180" s="61"/>
      <c r="C180" s="61"/>
      <c r="D180" s="61"/>
      <c r="E180" s="61"/>
      <c r="F180" s="61"/>
      <c r="G180" s="61"/>
      <c r="H180" s="61"/>
    </row>
    <row r="181" spans="1:8">
      <c r="A181" s="61" t="s">
        <v>1111</v>
      </c>
      <c r="B181" s="61" t="s">
        <v>1064</v>
      </c>
      <c r="C181" s="61" t="s">
        <v>1060</v>
      </c>
      <c r="D181" s="61" t="s">
        <v>1112</v>
      </c>
      <c r="E181" s="67">
        <v>0.4</v>
      </c>
      <c r="F181" s="61" t="s">
        <v>678</v>
      </c>
      <c r="G181" s="61"/>
      <c r="H181" s="61"/>
    </row>
    <row r="182" spans="1:8">
      <c r="A182" s="61" t="s">
        <v>1113</v>
      </c>
      <c r="B182" s="61" t="s">
        <v>1114</v>
      </c>
      <c r="C182" s="61" t="s">
        <v>1115</v>
      </c>
      <c r="D182" s="61" t="s">
        <v>1116</v>
      </c>
      <c r="E182" s="67">
        <v>0.63</v>
      </c>
      <c r="F182" s="61" t="s">
        <v>679</v>
      </c>
      <c r="G182" s="61"/>
      <c r="H182" s="61"/>
    </row>
    <row r="183" spans="1:8">
      <c r="A183" s="61"/>
      <c r="B183" s="61"/>
      <c r="C183" s="61"/>
      <c r="D183" s="61"/>
      <c r="E183" s="61"/>
      <c r="F183" s="61"/>
      <c r="G183" s="61"/>
      <c r="H183" s="61"/>
    </row>
    <row r="184" spans="1:8">
      <c r="A184" s="61"/>
      <c r="B184" s="61"/>
      <c r="C184" s="61"/>
      <c r="D184" s="61"/>
      <c r="E184" s="61"/>
      <c r="F184" s="61"/>
      <c r="G184" s="61"/>
      <c r="H184" s="61"/>
    </row>
    <row r="185" spans="1:8">
      <c r="A185" s="65" t="s">
        <v>1047</v>
      </c>
      <c r="B185" s="65" t="s">
        <v>1048</v>
      </c>
      <c r="C185" s="61"/>
      <c r="D185" s="61"/>
      <c r="E185" s="61"/>
      <c r="F185" s="61"/>
      <c r="G185" s="61"/>
      <c r="H185" s="61"/>
    </row>
    <row r="186" spans="1:8">
      <c r="A186" s="62" t="s">
        <v>1052</v>
      </c>
      <c r="B186" s="62" t="s">
        <v>1053</v>
      </c>
      <c r="C186" s="8" t="s">
        <v>1054</v>
      </c>
      <c r="D186" s="62" t="s">
        <v>1055</v>
      </c>
      <c r="E186" s="62" t="s">
        <v>1056</v>
      </c>
      <c r="F186" s="62" t="s">
        <v>1057</v>
      </c>
      <c r="G186" s="62" t="s">
        <v>1058</v>
      </c>
      <c r="H186" s="68"/>
    </row>
    <row r="187" spans="1:8">
      <c r="A187" s="63" t="s">
        <v>1117</v>
      </c>
      <c r="B187" s="63" t="s">
        <v>1064</v>
      </c>
      <c r="C187" s="63">
        <v>5</v>
      </c>
      <c r="D187" s="63" t="s">
        <v>1112</v>
      </c>
      <c r="E187" s="63" t="s">
        <v>1118</v>
      </c>
      <c r="F187" s="66">
        <v>0.65</v>
      </c>
      <c r="G187" s="63" t="s">
        <v>666</v>
      </c>
      <c r="H187" s="63"/>
    </row>
    <row r="188" spans="1:8">
      <c r="A188" s="63" t="s">
        <v>1119</v>
      </c>
      <c r="B188" s="63" t="s">
        <v>1064</v>
      </c>
      <c r="C188" s="63">
        <v>5</v>
      </c>
      <c r="D188" s="63" t="s">
        <v>1095</v>
      </c>
      <c r="E188" s="63" t="s">
        <v>1120</v>
      </c>
      <c r="F188" s="66">
        <v>0.68</v>
      </c>
      <c r="G188" s="63" t="s">
        <v>664</v>
      </c>
      <c r="H188" s="63"/>
    </row>
    <row r="189" spans="1:8">
      <c r="A189" s="63" t="s">
        <v>1121</v>
      </c>
      <c r="B189" s="63" t="s">
        <v>1064</v>
      </c>
      <c r="C189" s="63">
        <v>5</v>
      </c>
      <c r="D189" s="63" t="s">
        <v>1069</v>
      </c>
      <c r="E189" s="63" t="s">
        <v>1122</v>
      </c>
      <c r="F189" s="66">
        <v>0.84</v>
      </c>
      <c r="G189" s="63" t="s">
        <v>671</v>
      </c>
      <c r="H189" s="63"/>
    </row>
    <row r="190" spans="1:8">
      <c r="A190" s="63" t="s">
        <v>1123</v>
      </c>
      <c r="B190" s="63" t="s">
        <v>1064</v>
      </c>
      <c r="C190" s="63">
        <v>5</v>
      </c>
      <c r="D190" s="63" t="s">
        <v>1124</v>
      </c>
      <c r="E190" s="63" t="s">
        <v>1125</v>
      </c>
      <c r="F190" s="66">
        <v>0.82</v>
      </c>
      <c r="G190" s="63" t="s">
        <v>663</v>
      </c>
      <c r="H190" s="63"/>
    </row>
    <row r="191" spans="1:8">
      <c r="A191" s="63" t="s">
        <v>1101</v>
      </c>
      <c r="B191" s="63" t="s">
        <v>1064</v>
      </c>
      <c r="C191" s="63">
        <v>5</v>
      </c>
      <c r="D191" s="63" t="s">
        <v>1064</v>
      </c>
      <c r="E191" s="63" t="s">
        <v>1126</v>
      </c>
      <c r="F191" s="66">
        <v>1</v>
      </c>
      <c r="G191" s="63" t="s">
        <v>687</v>
      </c>
      <c r="H191" s="63"/>
    </row>
    <row r="192" spans="1:8">
      <c r="A192" s="63" t="s">
        <v>1059</v>
      </c>
      <c r="B192" s="63" t="s">
        <v>1060</v>
      </c>
      <c r="C192" s="63">
        <v>2</v>
      </c>
      <c r="D192" s="63" t="s">
        <v>1065</v>
      </c>
      <c r="E192" s="63" t="s">
        <v>1127</v>
      </c>
      <c r="F192" s="66">
        <v>0.59</v>
      </c>
      <c r="G192" s="63" t="s">
        <v>680</v>
      </c>
      <c r="H192" s="63"/>
    </row>
    <row r="193" spans="1:8">
      <c r="A193" s="63" t="s">
        <v>1128</v>
      </c>
      <c r="B193" s="63" t="s">
        <v>1129</v>
      </c>
      <c r="C193" s="63">
        <v>15</v>
      </c>
      <c r="D193" s="63" t="s">
        <v>1129</v>
      </c>
      <c r="E193" s="63" t="s">
        <v>1130</v>
      </c>
      <c r="F193" s="66">
        <v>0.99</v>
      </c>
      <c r="G193" s="63" t="s">
        <v>688</v>
      </c>
      <c r="H193" s="63"/>
    </row>
    <row r="194" spans="1:8">
      <c r="A194" s="63" t="s">
        <v>1131</v>
      </c>
      <c r="B194" s="63" t="s">
        <v>1132</v>
      </c>
      <c r="C194" s="63">
        <v>1</v>
      </c>
      <c r="D194" s="63" t="s">
        <v>1133</v>
      </c>
      <c r="E194" s="63" t="s">
        <v>1134</v>
      </c>
      <c r="F194" s="66">
        <v>0.41</v>
      </c>
      <c r="G194" s="63" t="s">
        <v>675</v>
      </c>
      <c r="H194" s="63"/>
    </row>
    <row r="195" spans="1:8">
      <c r="A195" s="63" t="s">
        <v>1081</v>
      </c>
      <c r="B195" s="63" t="s">
        <v>1077</v>
      </c>
      <c r="C195" s="63">
        <v>12</v>
      </c>
      <c r="D195" s="63" t="s">
        <v>1135</v>
      </c>
      <c r="E195" s="63" t="s">
        <v>1136</v>
      </c>
      <c r="F195" s="66">
        <v>0.68</v>
      </c>
      <c r="G195" s="63" t="s">
        <v>669</v>
      </c>
      <c r="H195" s="63"/>
    </row>
    <row r="196" spans="1:8">
      <c r="A196" s="63" t="s">
        <v>1075</v>
      </c>
      <c r="B196" s="63" t="s">
        <v>1103</v>
      </c>
      <c r="C196" s="63">
        <v>18</v>
      </c>
      <c r="D196" s="63" t="s">
        <v>1129</v>
      </c>
      <c r="E196" s="63" t="s">
        <v>1137</v>
      </c>
      <c r="F196" s="66">
        <v>0.84</v>
      </c>
      <c r="G196" s="63" t="s">
        <v>672</v>
      </c>
      <c r="H196" s="63"/>
    </row>
    <row r="197" spans="1:8">
      <c r="A197" s="63" t="s">
        <v>1138</v>
      </c>
      <c r="B197" s="63" t="s">
        <v>1071</v>
      </c>
      <c r="C197" s="63">
        <v>10</v>
      </c>
      <c r="D197" s="63" t="s">
        <v>1139</v>
      </c>
      <c r="E197" s="63" t="s">
        <v>1073</v>
      </c>
      <c r="F197" s="66">
        <v>0.06</v>
      </c>
      <c r="G197" s="63" t="s">
        <v>690</v>
      </c>
      <c r="H197" s="63"/>
    </row>
    <row r="198" spans="1:8">
      <c r="A198" s="63" t="s">
        <v>1140</v>
      </c>
      <c r="B198" s="63" t="s">
        <v>1071</v>
      </c>
      <c r="C198" s="63">
        <v>10</v>
      </c>
      <c r="D198" s="63" t="s">
        <v>1141</v>
      </c>
      <c r="E198" s="63" t="s">
        <v>1142</v>
      </c>
      <c r="F198" s="66">
        <v>0.48</v>
      </c>
      <c r="G198" s="63" t="s">
        <v>691</v>
      </c>
      <c r="H198" s="63"/>
    </row>
    <row r="199" spans="1:8">
      <c r="A199" s="63" t="s">
        <v>1143</v>
      </c>
      <c r="B199" s="63" t="s">
        <v>1071</v>
      </c>
      <c r="C199" s="63">
        <v>10</v>
      </c>
      <c r="D199" s="63" t="s">
        <v>1144</v>
      </c>
      <c r="E199" s="63" t="s">
        <v>1145</v>
      </c>
      <c r="F199" s="66">
        <v>0.08</v>
      </c>
      <c r="G199" s="63" t="s">
        <v>693</v>
      </c>
      <c r="H199" s="63"/>
    </row>
    <row r="200" spans="1:8">
      <c r="A200" s="63" t="s">
        <v>1070</v>
      </c>
      <c r="B200" s="63" t="s">
        <v>1071</v>
      </c>
      <c r="C200" s="63">
        <v>10</v>
      </c>
      <c r="D200" s="63" t="s">
        <v>1146</v>
      </c>
      <c r="E200" s="63" t="s">
        <v>1147</v>
      </c>
      <c r="F200" s="66">
        <v>7.0000000000000007E-2</v>
      </c>
      <c r="G200" s="63" t="s">
        <v>673</v>
      </c>
      <c r="H200" s="63"/>
    </row>
    <row r="201" spans="1:8">
      <c r="A201" s="63" t="s">
        <v>1148</v>
      </c>
      <c r="B201" s="63" t="s">
        <v>1071</v>
      </c>
      <c r="C201" s="63">
        <v>10</v>
      </c>
      <c r="D201" s="63" t="s">
        <v>1149</v>
      </c>
      <c r="E201" s="63" t="s">
        <v>1071</v>
      </c>
      <c r="F201" s="66">
        <v>0.01</v>
      </c>
      <c r="G201" s="63" t="s">
        <v>692</v>
      </c>
      <c r="H201" s="63"/>
    </row>
    <row r="202" spans="1:8">
      <c r="A202" s="63" t="s">
        <v>1088</v>
      </c>
      <c r="B202" s="63" t="s">
        <v>1089</v>
      </c>
      <c r="C202" s="63">
        <v>20</v>
      </c>
      <c r="D202" s="63" t="s">
        <v>1105</v>
      </c>
      <c r="E202" s="63" t="s">
        <v>1150</v>
      </c>
      <c r="F202" s="66">
        <v>0.84</v>
      </c>
      <c r="G202" s="63" t="s">
        <v>668</v>
      </c>
      <c r="H202" s="63"/>
    </row>
    <row r="203" spans="1:8">
      <c r="A203" s="63" t="s">
        <v>1151</v>
      </c>
      <c r="B203" s="63" t="s">
        <v>1089</v>
      </c>
      <c r="C203" s="63">
        <v>20</v>
      </c>
      <c r="D203" s="63" t="s">
        <v>1152</v>
      </c>
      <c r="E203" s="63" t="s">
        <v>1089</v>
      </c>
      <c r="F203" s="66">
        <v>0.01</v>
      </c>
      <c r="G203" s="63" t="s">
        <v>665</v>
      </c>
      <c r="H203" s="63"/>
    </row>
    <row r="204" spans="1:8">
      <c r="A204" s="63" t="s">
        <v>1109</v>
      </c>
      <c r="B204" s="63" t="s">
        <v>1089</v>
      </c>
      <c r="C204" s="63">
        <v>20</v>
      </c>
      <c r="D204" s="63" t="s">
        <v>1153</v>
      </c>
      <c r="E204" s="63" t="s">
        <v>1105</v>
      </c>
      <c r="F204" s="66">
        <v>0.18</v>
      </c>
      <c r="G204" s="63" t="s">
        <v>667</v>
      </c>
      <c r="H204" s="63"/>
    </row>
    <row r="205" spans="1:8">
      <c r="A205" s="61"/>
      <c r="B205" s="64" t="s">
        <v>272</v>
      </c>
      <c r="C205" s="64">
        <f>SUM(C187:C204)</f>
        <v>183</v>
      </c>
      <c r="D205" s="61"/>
      <c r="E205" s="61"/>
      <c r="F205" s="61"/>
      <c r="G205" s="61"/>
      <c r="H205" s="61"/>
    </row>
    <row r="206" spans="1:8">
      <c r="A206" s="61"/>
      <c r="B206" s="61"/>
      <c r="C206" s="61"/>
      <c r="D206" s="61"/>
      <c r="E206" s="61"/>
      <c r="F206" s="61"/>
      <c r="G206" s="61"/>
      <c r="H206" s="61"/>
    </row>
    <row r="207" spans="1:8">
      <c r="A207" s="61"/>
      <c r="B207" s="61"/>
      <c r="C207" s="61"/>
      <c r="D207" s="61"/>
      <c r="E207" s="61"/>
      <c r="F207" s="61"/>
      <c r="G207" s="61"/>
      <c r="H207" s="61"/>
    </row>
    <row r="208" spans="1:8">
      <c r="A208" s="61" t="s">
        <v>1113</v>
      </c>
      <c r="B208" s="61" t="s">
        <v>1060</v>
      </c>
      <c r="C208" s="61" t="s">
        <v>1094</v>
      </c>
      <c r="D208" s="61" t="s">
        <v>1154</v>
      </c>
      <c r="E208" s="67">
        <v>0.75</v>
      </c>
      <c r="F208" s="61" t="s">
        <v>679</v>
      </c>
      <c r="G208" s="61"/>
      <c r="H208" s="61"/>
    </row>
    <row r="209" spans="1:9">
      <c r="A209" s="61" t="s">
        <v>1111</v>
      </c>
      <c r="B209" s="61" t="s">
        <v>1071</v>
      </c>
      <c r="C209" s="61" t="s">
        <v>1155</v>
      </c>
      <c r="D209" s="61" t="s">
        <v>1156</v>
      </c>
      <c r="E209" s="67">
        <v>0.45</v>
      </c>
      <c r="F209" s="61" t="s">
        <v>678</v>
      </c>
      <c r="G209" s="61"/>
      <c r="H209" s="61"/>
    </row>
    <row r="210" spans="1:9">
      <c r="A210" s="61"/>
      <c r="B210" s="61"/>
      <c r="C210" s="61"/>
      <c r="D210" s="61"/>
      <c r="E210" s="61"/>
      <c r="F210" s="61"/>
      <c r="G210" s="61"/>
      <c r="H210" s="61"/>
    </row>
    <row r="213" spans="1:9">
      <c r="A213" s="69" t="s">
        <v>1157</v>
      </c>
      <c r="B213" s="69" t="s">
        <v>1050</v>
      </c>
      <c r="C213" s="61"/>
      <c r="E213" s="61"/>
      <c r="F213" s="61"/>
      <c r="G213" s="61"/>
      <c r="H213" s="61"/>
      <c r="I213" s="61"/>
    </row>
    <row r="214" spans="1:9">
      <c r="A214" s="62" t="s">
        <v>1052</v>
      </c>
      <c r="B214" s="62" t="s">
        <v>1053</v>
      </c>
      <c r="C214" s="8" t="s">
        <v>1054</v>
      </c>
      <c r="D214" s="62" t="s">
        <v>1055</v>
      </c>
      <c r="E214" s="62" t="s">
        <v>1056</v>
      </c>
      <c r="F214" s="62" t="s">
        <v>1057</v>
      </c>
      <c r="G214" s="62" t="s">
        <v>1058</v>
      </c>
      <c r="H214" s="68"/>
      <c r="I214" s="61"/>
    </row>
    <row r="215" spans="1:9">
      <c r="A215" s="63" t="s">
        <v>1158</v>
      </c>
      <c r="B215" s="63" t="s">
        <v>1064</v>
      </c>
      <c r="C215" s="63">
        <v>5</v>
      </c>
      <c r="D215" s="63" t="s">
        <v>1092</v>
      </c>
      <c r="E215" s="63" t="s">
        <v>1150</v>
      </c>
      <c r="F215" s="66">
        <v>0.3</v>
      </c>
      <c r="G215" s="63" t="s">
        <v>663</v>
      </c>
      <c r="H215" s="63"/>
      <c r="I215" s="61"/>
    </row>
    <row r="216" spans="1:9">
      <c r="A216" s="63" t="s">
        <v>1159</v>
      </c>
      <c r="B216" s="63" t="s">
        <v>1064</v>
      </c>
      <c r="C216" s="63">
        <v>5</v>
      </c>
      <c r="D216" s="63" t="s">
        <v>1160</v>
      </c>
      <c r="E216" s="63" t="s">
        <v>1124</v>
      </c>
      <c r="F216" s="66">
        <v>0.18</v>
      </c>
      <c r="G216" s="63" t="s">
        <v>664</v>
      </c>
      <c r="H216" s="63"/>
      <c r="I216" s="61"/>
    </row>
    <row r="217" spans="1:9">
      <c r="A217" s="63" t="s">
        <v>1151</v>
      </c>
      <c r="B217" s="63" t="s">
        <v>1089</v>
      </c>
      <c r="C217" s="63">
        <v>20</v>
      </c>
      <c r="D217" s="63" t="s">
        <v>1152</v>
      </c>
      <c r="E217" s="63" t="s">
        <v>1089</v>
      </c>
      <c r="F217" s="66">
        <v>0.01</v>
      </c>
      <c r="G217" s="63" t="s">
        <v>665</v>
      </c>
      <c r="H217" s="63"/>
      <c r="I217" s="61"/>
    </row>
    <row r="218" spans="1:9">
      <c r="A218" s="63" t="s">
        <v>1161</v>
      </c>
      <c r="B218" s="63" t="s">
        <v>1064</v>
      </c>
      <c r="C218" s="63">
        <v>5</v>
      </c>
      <c r="D218" s="63" t="s">
        <v>1062</v>
      </c>
      <c r="E218" s="63" t="s">
        <v>1136</v>
      </c>
      <c r="F218" s="66">
        <v>0.22</v>
      </c>
      <c r="G218" s="63" t="s">
        <v>666</v>
      </c>
      <c r="H218" s="63"/>
      <c r="I218" s="61"/>
    </row>
    <row r="219" spans="1:9">
      <c r="A219" s="63" t="s">
        <v>1109</v>
      </c>
      <c r="B219" s="63" t="s">
        <v>1089</v>
      </c>
      <c r="C219" s="63">
        <v>20</v>
      </c>
      <c r="D219" s="63" t="s">
        <v>1162</v>
      </c>
      <c r="E219" s="63" t="s">
        <v>1163</v>
      </c>
      <c r="F219" s="66">
        <v>0.49</v>
      </c>
      <c r="G219" s="63" t="s">
        <v>667</v>
      </c>
      <c r="H219" s="63"/>
      <c r="I219" s="61"/>
    </row>
    <row r="220" spans="1:9">
      <c r="A220" s="63" t="s">
        <v>1143</v>
      </c>
      <c r="B220" s="63" t="s">
        <v>1071</v>
      </c>
      <c r="C220" s="63">
        <v>10</v>
      </c>
      <c r="D220" s="63" t="s">
        <v>1164</v>
      </c>
      <c r="E220" s="63" t="s">
        <v>1165</v>
      </c>
      <c r="F220" s="66">
        <v>0.99</v>
      </c>
      <c r="G220" s="63" t="s">
        <v>693</v>
      </c>
      <c r="H220" s="63"/>
      <c r="I220" s="61"/>
    </row>
    <row r="221" spans="1:9">
      <c r="A221" s="63" t="s">
        <v>1166</v>
      </c>
      <c r="B221" s="63" t="s">
        <v>1089</v>
      </c>
      <c r="C221" s="63">
        <v>20</v>
      </c>
      <c r="D221" s="63" t="s">
        <v>1103</v>
      </c>
      <c r="E221" s="63" t="s">
        <v>1167</v>
      </c>
      <c r="F221" s="66">
        <v>0.88</v>
      </c>
      <c r="G221" s="63" t="s">
        <v>668</v>
      </c>
      <c r="H221" s="63"/>
      <c r="I221" s="61"/>
    </row>
    <row r="222" spans="1:9">
      <c r="A222" s="63" t="s">
        <v>1081</v>
      </c>
      <c r="B222" s="63" t="s">
        <v>1077</v>
      </c>
      <c r="C222" s="63">
        <v>12</v>
      </c>
      <c r="D222" s="63" t="s">
        <v>1077</v>
      </c>
      <c r="E222" s="63" t="s">
        <v>1168</v>
      </c>
      <c r="F222" s="66">
        <v>0.99</v>
      </c>
      <c r="G222" s="63" t="s">
        <v>669</v>
      </c>
      <c r="H222" s="63"/>
      <c r="I222" s="61"/>
    </row>
    <row r="223" spans="1:9">
      <c r="A223" s="63" t="s">
        <v>1138</v>
      </c>
      <c r="B223" s="63" t="s">
        <v>1071</v>
      </c>
      <c r="C223" s="63">
        <v>10</v>
      </c>
      <c r="D223" s="63" t="s">
        <v>1169</v>
      </c>
      <c r="E223" s="63" t="s">
        <v>1170</v>
      </c>
      <c r="F223" s="66">
        <v>0.93</v>
      </c>
      <c r="G223" s="63" t="s">
        <v>690</v>
      </c>
      <c r="H223" s="63"/>
      <c r="I223" s="61"/>
    </row>
    <row r="224" spans="1:9">
      <c r="A224" s="63" t="s">
        <v>1140</v>
      </c>
      <c r="B224" s="63" t="s">
        <v>1071</v>
      </c>
      <c r="C224" s="63">
        <v>10</v>
      </c>
      <c r="D224" s="63" t="s">
        <v>1169</v>
      </c>
      <c r="E224" s="63" t="s">
        <v>1171</v>
      </c>
      <c r="F224" s="66">
        <v>0.92</v>
      </c>
      <c r="G224" s="63" t="s">
        <v>691</v>
      </c>
      <c r="H224" s="63"/>
      <c r="I224" s="61"/>
    </row>
    <row r="225" spans="1:9">
      <c r="A225" s="63" t="s">
        <v>1172</v>
      </c>
      <c r="B225" s="63" t="s">
        <v>1064</v>
      </c>
      <c r="C225" s="63">
        <v>5</v>
      </c>
      <c r="D225" s="63" t="s">
        <v>1173</v>
      </c>
      <c r="E225" s="63" t="s">
        <v>1174</v>
      </c>
      <c r="F225" s="66">
        <v>0.15</v>
      </c>
      <c r="G225" s="63" t="s">
        <v>671</v>
      </c>
      <c r="H225" s="63"/>
      <c r="I225" s="61"/>
    </row>
    <row r="226" spans="1:9">
      <c r="A226" s="63" t="s">
        <v>1148</v>
      </c>
      <c r="B226" s="63" t="s">
        <v>1071</v>
      </c>
      <c r="C226" s="63">
        <v>10</v>
      </c>
      <c r="D226" s="63" t="s">
        <v>1164</v>
      </c>
      <c r="E226" s="63" t="s">
        <v>1175</v>
      </c>
      <c r="F226" s="66">
        <v>0.98</v>
      </c>
      <c r="G226" s="63" t="s">
        <v>692</v>
      </c>
      <c r="H226" s="63"/>
      <c r="I226" s="61"/>
    </row>
    <row r="227" spans="1:9">
      <c r="A227" s="63" t="s">
        <v>1075</v>
      </c>
      <c r="B227" s="63" t="s">
        <v>1103</v>
      </c>
      <c r="C227" s="63">
        <v>18</v>
      </c>
      <c r="D227" s="63" t="s">
        <v>1176</v>
      </c>
      <c r="E227" s="63" t="s">
        <v>1120</v>
      </c>
      <c r="F227" s="66">
        <v>0.91</v>
      </c>
      <c r="G227" s="63" t="s">
        <v>672</v>
      </c>
      <c r="H227" s="63"/>
      <c r="I227" s="61"/>
    </row>
    <row r="228" spans="1:9">
      <c r="A228" s="63" t="s">
        <v>1177</v>
      </c>
      <c r="B228" s="63" t="s">
        <v>1060</v>
      </c>
      <c r="C228" s="63">
        <v>2</v>
      </c>
      <c r="D228" s="63" t="s">
        <v>1092</v>
      </c>
      <c r="E228" s="63" t="s">
        <v>1134</v>
      </c>
      <c r="F228" s="66">
        <v>0.71</v>
      </c>
      <c r="G228" s="63" t="s">
        <v>673</v>
      </c>
      <c r="H228" s="63"/>
      <c r="I228" s="61"/>
    </row>
    <row r="229" spans="1:9">
      <c r="A229" s="63" t="s">
        <v>1178</v>
      </c>
      <c r="B229" s="63" t="s">
        <v>1179</v>
      </c>
      <c r="C229" s="63">
        <v>3</v>
      </c>
      <c r="D229" s="63" t="s">
        <v>1094</v>
      </c>
      <c r="E229" s="63" t="s">
        <v>1120</v>
      </c>
      <c r="F229" s="66">
        <v>0.48</v>
      </c>
      <c r="G229" s="63" t="s">
        <v>674</v>
      </c>
      <c r="H229" s="63"/>
      <c r="I229" s="61"/>
    </row>
    <row r="230" spans="1:9">
      <c r="A230" s="63" t="s">
        <v>1180</v>
      </c>
      <c r="B230" s="63" t="s">
        <v>1060</v>
      </c>
      <c r="C230" s="63">
        <v>2</v>
      </c>
      <c r="D230" s="63" t="s">
        <v>1102</v>
      </c>
      <c r="E230" s="63" t="s">
        <v>1181</v>
      </c>
      <c r="F230" s="66">
        <v>0.63</v>
      </c>
      <c r="G230" s="63" t="s">
        <v>675</v>
      </c>
      <c r="H230" s="63"/>
      <c r="I230" s="61"/>
    </row>
    <row r="231" spans="1:9">
      <c r="A231" s="63" t="s">
        <v>1182</v>
      </c>
      <c r="B231" s="63" t="s">
        <v>1077</v>
      </c>
      <c r="C231" s="63">
        <v>12</v>
      </c>
      <c r="D231" s="63" t="s">
        <v>1096</v>
      </c>
      <c r="E231" s="63" t="s">
        <v>1183</v>
      </c>
      <c r="F231" s="66">
        <v>0.39</v>
      </c>
      <c r="G231" s="63" t="s">
        <v>676</v>
      </c>
      <c r="H231" s="63"/>
      <c r="I231" s="61"/>
    </row>
    <row r="232" spans="1:9">
      <c r="A232" s="63" t="s">
        <v>1184</v>
      </c>
      <c r="B232" s="63" t="s">
        <v>1060</v>
      </c>
      <c r="C232" s="63">
        <v>2</v>
      </c>
      <c r="D232" s="63" t="s">
        <v>1062</v>
      </c>
      <c r="E232" s="63" t="s">
        <v>1185</v>
      </c>
      <c r="F232" s="66">
        <v>0.56000000000000005</v>
      </c>
      <c r="G232" s="63" t="s">
        <v>680</v>
      </c>
      <c r="H232" s="63"/>
      <c r="I232" s="61"/>
    </row>
    <row r="233" spans="1:9">
      <c r="A233" s="63" t="s">
        <v>1186</v>
      </c>
      <c r="B233" s="63" t="s">
        <v>1114</v>
      </c>
      <c r="C233" s="63">
        <v>1</v>
      </c>
      <c r="D233" s="63" t="s">
        <v>1187</v>
      </c>
      <c r="E233" s="63" t="s">
        <v>1188</v>
      </c>
      <c r="F233" s="66">
        <v>0.03</v>
      </c>
      <c r="G233" s="63" t="s">
        <v>681</v>
      </c>
      <c r="H233" s="63"/>
      <c r="I233" s="61"/>
    </row>
    <row r="234" spans="1:9">
      <c r="A234" s="63" t="s">
        <v>1189</v>
      </c>
      <c r="B234" s="63" t="s">
        <v>1114</v>
      </c>
      <c r="C234" s="63">
        <v>1</v>
      </c>
      <c r="D234" s="63" t="s">
        <v>1190</v>
      </c>
      <c r="E234" s="63" t="s">
        <v>1114</v>
      </c>
      <c r="F234" s="66">
        <v>0.01</v>
      </c>
      <c r="G234" s="63" t="s">
        <v>682</v>
      </c>
      <c r="H234" s="63"/>
      <c r="I234" s="61"/>
    </row>
    <row r="235" spans="1:9">
      <c r="A235" s="63" t="s">
        <v>1191</v>
      </c>
      <c r="B235" s="63" t="s">
        <v>1163</v>
      </c>
      <c r="C235" s="63">
        <v>11</v>
      </c>
      <c r="D235" s="63" t="s">
        <v>1192</v>
      </c>
      <c r="E235" s="63" t="s">
        <v>1060</v>
      </c>
      <c r="F235" s="66">
        <v>0.82</v>
      </c>
      <c r="G235" s="63" t="s">
        <v>683</v>
      </c>
      <c r="H235" s="63"/>
      <c r="I235" s="61"/>
    </row>
    <row r="236" spans="1:9">
      <c r="A236" s="63" t="s">
        <v>1193</v>
      </c>
      <c r="B236" s="63" t="s">
        <v>1194</v>
      </c>
      <c r="C236" s="63">
        <v>25</v>
      </c>
      <c r="D236" s="63" t="s">
        <v>1195</v>
      </c>
      <c r="E236" s="63" t="s">
        <v>1089</v>
      </c>
      <c r="F236" s="66">
        <v>0.23</v>
      </c>
      <c r="G236" s="63" t="s">
        <v>684</v>
      </c>
      <c r="H236" s="63"/>
      <c r="I236" s="61"/>
    </row>
    <row r="237" spans="1:9">
      <c r="A237" s="63" t="s">
        <v>1196</v>
      </c>
      <c r="B237" s="63" t="s">
        <v>1197</v>
      </c>
      <c r="C237" s="63">
        <v>35</v>
      </c>
      <c r="D237" s="63" t="s">
        <v>1066</v>
      </c>
      <c r="E237" s="63" t="s">
        <v>1198</v>
      </c>
      <c r="F237" s="66">
        <v>0.11</v>
      </c>
      <c r="G237" s="63" t="s">
        <v>685</v>
      </c>
      <c r="H237" s="63"/>
      <c r="I237" s="61"/>
    </row>
    <row r="238" spans="1:9">
      <c r="A238" s="63" t="s">
        <v>1199</v>
      </c>
      <c r="B238" s="63" t="s">
        <v>1060</v>
      </c>
      <c r="C238" s="63">
        <v>2</v>
      </c>
      <c r="D238" s="63" t="s">
        <v>1200</v>
      </c>
      <c r="E238" s="63" t="s">
        <v>1060</v>
      </c>
      <c r="F238" s="66">
        <v>0.01</v>
      </c>
      <c r="G238" s="63" t="s">
        <v>686</v>
      </c>
      <c r="H238" s="63"/>
      <c r="I238" s="61"/>
    </row>
    <row r="239" spans="1:9">
      <c r="A239" s="63" t="s">
        <v>1201</v>
      </c>
      <c r="B239" s="63" t="s">
        <v>1064</v>
      </c>
      <c r="C239" s="63">
        <v>5</v>
      </c>
      <c r="D239" s="63" t="s">
        <v>1179</v>
      </c>
      <c r="E239" s="63" t="s">
        <v>1202</v>
      </c>
      <c r="F239" s="66">
        <v>0.59</v>
      </c>
      <c r="G239" s="63" t="s">
        <v>687</v>
      </c>
      <c r="H239" s="63"/>
      <c r="I239" s="61"/>
    </row>
    <row r="240" spans="1:9">
      <c r="A240" s="63" t="s">
        <v>1203</v>
      </c>
      <c r="B240" s="63" t="s">
        <v>1129</v>
      </c>
      <c r="C240" s="63">
        <v>15</v>
      </c>
      <c r="D240" s="63" t="s">
        <v>1077</v>
      </c>
      <c r="E240" s="63" t="s">
        <v>1066</v>
      </c>
      <c r="F240" s="66">
        <v>0.77</v>
      </c>
      <c r="G240" s="63" t="s">
        <v>688</v>
      </c>
      <c r="H240" s="63"/>
      <c r="I240" s="61"/>
    </row>
    <row r="241" spans="1:9">
      <c r="A241" s="63" t="s">
        <v>790</v>
      </c>
      <c r="B241" s="63" t="s">
        <v>1204</v>
      </c>
      <c r="C241" s="63">
        <v>1</v>
      </c>
      <c r="D241" s="63"/>
      <c r="E241" s="63"/>
      <c r="F241" s="63"/>
      <c r="G241" s="63"/>
      <c r="H241" s="63"/>
      <c r="I241" s="61"/>
    </row>
    <row r="242" spans="1:9">
      <c r="A242" s="61"/>
      <c r="B242" s="64" t="s">
        <v>272</v>
      </c>
      <c r="C242" s="64">
        <f>SUM(C215:C241)</f>
        <v>267</v>
      </c>
      <c r="D242" s="61"/>
      <c r="E242" s="61"/>
      <c r="F242" s="61"/>
      <c r="G242" s="61"/>
      <c r="H242" s="61"/>
      <c r="I242" s="61"/>
    </row>
    <row r="243" spans="1:9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>
      <c r="A245" s="61" t="s">
        <v>1111</v>
      </c>
      <c r="B245" s="61" t="s">
        <v>1071</v>
      </c>
      <c r="C245" s="61" t="s">
        <v>1205</v>
      </c>
      <c r="D245" s="61" t="s">
        <v>1206</v>
      </c>
      <c r="E245" s="67">
        <v>0.59</v>
      </c>
      <c r="F245" s="61" t="s">
        <v>678</v>
      </c>
      <c r="G245" s="70" t="s">
        <v>1207</v>
      </c>
      <c r="H245" s="61"/>
      <c r="I245" s="61"/>
    </row>
    <row r="246" spans="1:9">
      <c r="A246" s="61" t="s">
        <v>1113</v>
      </c>
      <c r="B246" s="61" t="s">
        <v>1060</v>
      </c>
      <c r="C246" s="61" t="s">
        <v>1094</v>
      </c>
      <c r="D246" s="61" t="s">
        <v>1208</v>
      </c>
      <c r="E246" s="67">
        <v>0.74</v>
      </c>
      <c r="F246" s="61" t="s">
        <v>679</v>
      </c>
      <c r="G246" s="61"/>
      <c r="H246" s="61"/>
      <c r="I246" s="61"/>
    </row>
    <row r="249" spans="1:9">
      <c r="A249" s="69" t="s">
        <v>1261</v>
      </c>
      <c r="B249" s="69"/>
    </row>
    <row r="250" spans="1:9">
      <c r="A250" s="62" t="s">
        <v>1052</v>
      </c>
      <c r="B250" s="62" t="s">
        <v>1053</v>
      </c>
      <c r="C250" s="8" t="s">
        <v>1054</v>
      </c>
      <c r="D250" s="8" t="s">
        <v>1055</v>
      </c>
      <c r="E250" s="62" t="s">
        <v>1265</v>
      </c>
      <c r="F250" s="62" t="s">
        <v>1056</v>
      </c>
      <c r="G250" s="62" t="s">
        <v>1057</v>
      </c>
      <c r="H250" s="62" t="s">
        <v>1058</v>
      </c>
    </row>
    <row r="251" spans="1:9">
      <c r="A251" s="212" t="s">
        <v>1262</v>
      </c>
      <c r="B251" s="213" t="s">
        <v>1263</v>
      </c>
      <c r="C251" s="213">
        <v>5</v>
      </c>
      <c r="D251" s="213" t="s">
        <v>1270</v>
      </c>
      <c r="E251" s="213">
        <v>1.8</v>
      </c>
      <c r="F251" s="213" t="s">
        <v>1264</v>
      </c>
      <c r="G251" s="214">
        <v>0.35</v>
      </c>
      <c r="H251" s="213" t="s">
        <v>663</v>
      </c>
      <c r="I251" s="209"/>
    </row>
    <row r="252" spans="1:9">
      <c r="A252" s="212" t="s">
        <v>1266</v>
      </c>
      <c r="B252" s="213" t="s">
        <v>1263</v>
      </c>
      <c r="C252" s="213">
        <v>5</v>
      </c>
      <c r="D252" s="213" t="s">
        <v>1271</v>
      </c>
      <c r="E252" s="213">
        <v>0.61899999999999999</v>
      </c>
      <c r="F252" s="213" t="s">
        <v>1267</v>
      </c>
      <c r="G252" s="214">
        <v>0.13</v>
      </c>
      <c r="H252" s="213" t="s">
        <v>664</v>
      </c>
      <c r="I252" s="209"/>
    </row>
    <row r="253" spans="1:9">
      <c r="A253" s="212" t="s">
        <v>1268</v>
      </c>
      <c r="B253" s="213" t="s">
        <v>1263</v>
      </c>
      <c r="C253" s="213">
        <v>5</v>
      </c>
      <c r="D253" s="213" t="s">
        <v>1269</v>
      </c>
      <c r="E253" s="213">
        <v>0.65</v>
      </c>
      <c r="F253" s="213" t="s">
        <v>1267</v>
      </c>
      <c r="G253" s="214">
        <v>0.13</v>
      </c>
      <c r="H253" s="213" t="s">
        <v>671</v>
      </c>
      <c r="I253" s="209"/>
    </row>
    <row r="254" spans="1:9">
      <c r="A254" s="212" t="s">
        <v>1272</v>
      </c>
      <c r="B254" s="213" t="s">
        <v>1263</v>
      </c>
      <c r="C254" s="213">
        <v>5</v>
      </c>
      <c r="D254" s="213" t="s">
        <v>1273</v>
      </c>
      <c r="E254" s="213">
        <v>0.98499999999999999</v>
      </c>
      <c r="F254" s="213" t="s">
        <v>1274</v>
      </c>
      <c r="G254" s="214">
        <v>0.2</v>
      </c>
      <c r="H254" s="213" t="s">
        <v>666</v>
      </c>
      <c r="I254" s="209"/>
    </row>
    <row r="255" spans="1:9">
      <c r="A255" s="212" t="s">
        <v>1275</v>
      </c>
      <c r="B255" s="213" t="s">
        <v>1278</v>
      </c>
      <c r="C255" s="213">
        <v>2</v>
      </c>
      <c r="D255" s="213" t="s">
        <v>1276</v>
      </c>
      <c r="E255" s="213">
        <v>1.4</v>
      </c>
      <c r="F255" s="213" t="s">
        <v>1277</v>
      </c>
      <c r="G255" s="214">
        <v>0.7</v>
      </c>
      <c r="H255" s="213" t="s">
        <v>673</v>
      </c>
      <c r="I255" s="209"/>
    </row>
    <row r="256" spans="1:9">
      <c r="A256" s="212" t="s">
        <v>1279</v>
      </c>
      <c r="B256" s="213" t="s">
        <v>1281</v>
      </c>
      <c r="C256" s="213">
        <v>5</v>
      </c>
      <c r="D256" s="213" t="s">
        <v>1280</v>
      </c>
      <c r="E256" s="213">
        <v>3.6999999999999998E-2</v>
      </c>
      <c r="F256" s="213" t="s">
        <v>1281</v>
      </c>
      <c r="G256" s="214">
        <v>0.01</v>
      </c>
      <c r="H256" s="213" t="s">
        <v>1282</v>
      </c>
      <c r="I256" s="209"/>
    </row>
    <row r="257" spans="1:9">
      <c r="A257" s="213" t="s">
        <v>1326</v>
      </c>
      <c r="B257" s="215" t="s">
        <v>1325</v>
      </c>
      <c r="C257" s="213">
        <v>0.2</v>
      </c>
      <c r="D257" s="215" t="s">
        <v>1324</v>
      </c>
      <c r="E257" s="213">
        <v>5.6000000000000001E-2</v>
      </c>
      <c r="F257" s="215" t="s">
        <v>1323</v>
      </c>
      <c r="G257" s="216">
        <v>0.28000000000000003</v>
      </c>
      <c r="H257" s="215" t="s">
        <v>1322</v>
      </c>
    </row>
    <row r="258" spans="1:9">
      <c r="A258" s="213" t="s">
        <v>1321</v>
      </c>
      <c r="B258" s="215" t="s">
        <v>1089</v>
      </c>
      <c r="C258" s="213">
        <v>20</v>
      </c>
      <c r="D258" s="215" t="s">
        <v>1320</v>
      </c>
      <c r="E258" s="213">
        <v>5.0999999999999996</v>
      </c>
      <c r="F258" s="215" t="s">
        <v>1129</v>
      </c>
      <c r="G258" s="216">
        <v>0.26</v>
      </c>
      <c r="H258" s="215" t="s">
        <v>667</v>
      </c>
    </row>
    <row r="259" spans="1:9">
      <c r="A259" s="213" t="s">
        <v>1319</v>
      </c>
      <c r="B259" s="215" t="s">
        <v>1114</v>
      </c>
      <c r="C259" s="213">
        <v>1</v>
      </c>
      <c r="D259" s="215" t="s">
        <v>1318</v>
      </c>
      <c r="E259" s="213">
        <v>1.8E-3</v>
      </c>
      <c r="F259" s="215" t="s">
        <v>1317</v>
      </c>
      <c r="G259" s="216">
        <v>0.01</v>
      </c>
      <c r="H259" s="215" t="s">
        <v>1316</v>
      </c>
    </row>
    <row r="260" spans="1:9">
      <c r="A260" s="213" t="s">
        <v>1184</v>
      </c>
      <c r="B260" s="215" t="s">
        <v>1060</v>
      </c>
      <c r="C260" s="213">
        <v>2</v>
      </c>
      <c r="D260" s="215" t="s">
        <v>1102</v>
      </c>
      <c r="E260" s="213">
        <v>1.3</v>
      </c>
      <c r="F260" s="215" t="s">
        <v>1315</v>
      </c>
      <c r="G260" s="216">
        <v>0.65</v>
      </c>
      <c r="H260" s="215" t="s">
        <v>680</v>
      </c>
    </row>
    <row r="261" spans="1:9">
      <c r="A261" s="217" t="s">
        <v>1180</v>
      </c>
      <c r="B261" s="215" t="s">
        <v>1060</v>
      </c>
      <c r="C261" s="213">
        <v>2</v>
      </c>
      <c r="D261" s="215" t="s">
        <v>1092</v>
      </c>
      <c r="E261" s="213">
        <v>1.4</v>
      </c>
      <c r="F261" s="215" t="s">
        <v>1312</v>
      </c>
      <c r="G261" s="216">
        <v>0.68</v>
      </c>
      <c r="H261" s="215" t="s">
        <v>675</v>
      </c>
      <c r="I261" s="209"/>
    </row>
    <row r="262" spans="1:9">
      <c r="A262" s="217" t="s">
        <v>1203</v>
      </c>
      <c r="B262" s="215" t="s">
        <v>1311</v>
      </c>
      <c r="C262" s="213">
        <v>21</v>
      </c>
      <c r="D262" s="215" t="s">
        <v>1089</v>
      </c>
      <c r="E262" s="213">
        <v>20</v>
      </c>
      <c r="F262" s="215" t="s">
        <v>1062</v>
      </c>
      <c r="G262" s="216">
        <v>0.95</v>
      </c>
      <c r="H262" s="215" t="s">
        <v>688</v>
      </c>
      <c r="I262" s="209"/>
    </row>
    <row r="263" spans="1:9">
      <c r="A263" s="217" t="s">
        <v>1310</v>
      </c>
      <c r="B263" s="215" t="s">
        <v>1071</v>
      </c>
      <c r="C263" s="213">
        <v>10</v>
      </c>
      <c r="D263" s="215" t="s">
        <v>1108</v>
      </c>
      <c r="E263" s="213">
        <v>9.5</v>
      </c>
      <c r="F263" s="215" t="s">
        <v>1309</v>
      </c>
      <c r="G263" s="216">
        <v>0.95</v>
      </c>
      <c r="H263" s="215" t="s">
        <v>690</v>
      </c>
      <c r="I263" s="209"/>
    </row>
    <row r="264" spans="1:9">
      <c r="A264" s="217" t="s">
        <v>1308</v>
      </c>
      <c r="B264" s="215" t="s">
        <v>1071</v>
      </c>
      <c r="C264" s="213">
        <v>10</v>
      </c>
      <c r="D264" s="215" t="s">
        <v>1147</v>
      </c>
      <c r="E264" s="213">
        <v>8.8000000000000007</v>
      </c>
      <c r="F264" s="215" t="s">
        <v>1102</v>
      </c>
      <c r="G264" s="216">
        <v>0.88</v>
      </c>
      <c r="H264" s="215" t="s">
        <v>691</v>
      </c>
      <c r="I264" s="209"/>
    </row>
    <row r="265" spans="1:9">
      <c r="A265" s="217" t="s">
        <v>1307</v>
      </c>
      <c r="B265" s="215" t="s">
        <v>1071</v>
      </c>
      <c r="C265" s="213">
        <v>10</v>
      </c>
      <c r="D265" s="215" t="s">
        <v>1306</v>
      </c>
      <c r="E265" s="213">
        <v>6.7</v>
      </c>
      <c r="F265" s="215" t="s">
        <v>1153</v>
      </c>
      <c r="G265" s="216">
        <v>0.67</v>
      </c>
      <c r="H265" s="215" t="s">
        <v>692</v>
      </c>
      <c r="I265" s="209"/>
    </row>
    <row r="266" spans="1:9">
      <c r="A266" s="217" t="s">
        <v>1305</v>
      </c>
      <c r="B266" s="215" t="s">
        <v>1071</v>
      </c>
      <c r="C266" s="213">
        <v>10</v>
      </c>
      <c r="D266" s="215" t="s">
        <v>1108</v>
      </c>
      <c r="E266" s="213">
        <v>9.5</v>
      </c>
      <c r="F266" s="215" t="s">
        <v>1304</v>
      </c>
      <c r="G266" s="216">
        <v>0.95</v>
      </c>
      <c r="H266" s="215" t="s">
        <v>693</v>
      </c>
      <c r="I266" s="209"/>
    </row>
    <row r="267" spans="1:9">
      <c r="A267" s="217" t="s">
        <v>1303</v>
      </c>
      <c r="B267" s="215" t="s">
        <v>1089</v>
      </c>
      <c r="C267" s="213">
        <v>20</v>
      </c>
      <c r="D267" s="215" t="s">
        <v>1103</v>
      </c>
      <c r="E267" s="213">
        <v>18</v>
      </c>
      <c r="F267" s="215" t="s">
        <v>1137</v>
      </c>
      <c r="G267" s="216">
        <v>0.86</v>
      </c>
      <c r="H267" s="215" t="s">
        <v>668</v>
      </c>
      <c r="I267" s="209"/>
    </row>
    <row r="268" spans="1:9">
      <c r="A268" s="217" t="s">
        <v>1302</v>
      </c>
      <c r="B268" s="215" t="s">
        <v>1077</v>
      </c>
      <c r="C268" s="213">
        <v>12</v>
      </c>
      <c r="D268" s="215" t="s">
        <v>1163</v>
      </c>
      <c r="E268" s="213">
        <v>11</v>
      </c>
      <c r="F268" s="215" t="s">
        <v>1065</v>
      </c>
      <c r="G268" s="216">
        <v>0.91</v>
      </c>
      <c r="H268" s="215" t="s">
        <v>669</v>
      </c>
      <c r="I268" s="209"/>
    </row>
    <row r="269" spans="1:9">
      <c r="A269" s="217" t="s">
        <v>1182</v>
      </c>
      <c r="B269" s="215" t="s">
        <v>1077</v>
      </c>
      <c r="C269" s="213">
        <v>12</v>
      </c>
      <c r="D269" s="215" t="s">
        <v>1163</v>
      </c>
      <c r="E269" s="213">
        <v>11</v>
      </c>
      <c r="F269" s="215" t="s">
        <v>1118</v>
      </c>
      <c r="G269" s="216">
        <v>0.87</v>
      </c>
      <c r="H269" s="215" t="s">
        <v>676</v>
      </c>
      <c r="I269" s="209"/>
    </row>
    <row r="270" spans="1:9">
      <c r="A270" s="217" t="s">
        <v>1301</v>
      </c>
      <c r="B270" s="215" t="s">
        <v>1103</v>
      </c>
      <c r="C270" s="213">
        <v>18</v>
      </c>
      <c r="D270" s="215" t="s">
        <v>1076</v>
      </c>
      <c r="E270" s="213">
        <v>13</v>
      </c>
      <c r="F270" s="215" t="s">
        <v>1205</v>
      </c>
      <c r="G270" s="216">
        <v>0.68</v>
      </c>
      <c r="H270" s="215" t="s">
        <v>672</v>
      </c>
      <c r="I270" s="209"/>
    </row>
    <row r="271" spans="1:9">
      <c r="A271" s="217" t="s">
        <v>1201</v>
      </c>
      <c r="B271" s="215" t="s">
        <v>1064</v>
      </c>
      <c r="C271" s="213">
        <v>5</v>
      </c>
      <c r="D271" s="215" t="s">
        <v>1112</v>
      </c>
      <c r="E271" s="213">
        <v>3.1</v>
      </c>
      <c r="F271" s="215" t="s">
        <v>1060</v>
      </c>
      <c r="G271" s="216">
        <v>0.62</v>
      </c>
      <c r="H271" s="215" t="s">
        <v>687</v>
      </c>
      <c r="I271" s="209"/>
    </row>
    <row r="272" spans="1:9">
      <c r="A272" s="217" t="s">
        <v>1178</v>
      </c>
      <c r="B272" s="215" t="s">
        <v>1179</v>
      </c>
      <c r="C272" s="213">
        <v>3</v>
      </c>
      <c r="D272" s="215" t="s">
        <v>1104</v>
      </c>
      <c r="E272" s="213">
        <v>2.2999999999999998</v>
      </c>
      <c r="F272" s="215" t="s">
        <v>1300</v>
      </c>
      <c r="G272" s="216">
        <v>0.76</v>
      </c>
      <c r="H272" s="215" t="s">
        <v>674</v>
      </c>
      <c r="I272" s="209"/>
    </row>
    <row r="273" spans="1:9">
      <c r="A273" s="217" t="s">
        <v>1186</v>
      </c>
      <c r="B273" s="215" t="s">
        <v>1114</v>
      </c>
      <c r="C273" s="213">
        <v>1</v>
      </c>
      <c r="D273" s="215" t="s">
        <v>1299</v>
      </c>
      <c r="E273" s="213">
        <v>0.14099999999999999</v>
      </c>
      <c r="F273" s="215" t="s">
        <v>1298</v>
      </c>
      <c r="G273" s="216">
        <v>0.14000000000000001</v>
      </c>
      <c r="H273" s="215" t="s">
        <v>681</v>
      </c>
      <c r="I273" s="209"/>
    </row>
    <row r="274" spans="1:9">
      <c r="A274" s="217" t="s">
        <v>1189</v>
      </c>
      <c r="B274" s="215" t="s">
        <v>1114</v>
      </c>
      <c r="C274" s="213">
        <v>1</v>
      </c>
      <c r="D274" s="215" t="s">
        <v>1297</v>
      </c>
      <c r="E274" s="213">
        <v>0.108</v>
      </c>
      <c r="F274" s="215" t="s">
        <v>1296</v>
      </c>
      <c r="G274" s="216">
        <v>0.11</v>
      </c>
      <c r="H274" s="215" t="s">
        <v>682</v>
      </c>
      <c r="I274" s="209"/>
    </row>
    <row r="275" spans="1:9">
      <c r="A275" s="217" t="s">
        <v>1295</v>
      </c>
      <c r="B275" s="215" t="s">
        <v>1197</v>
      </c>
      <c r="C275" s="213">
        <v>35</v>
      </c>
      <c r="D275" s="215" t="s">
        <v>1092</v>
      </c>
      <c r="E275" s="213">
        <v>1.4</v>
      </c>
      <c r="F275" s="215" t="s">
        <v>1294</v>
      </c>
      <c r="G275" s="216">
        <v>0.04</v>
      </c>
      <c r="H275" s="215" t="s">
        <v>1293</v>
      </c>
      <c r="I275" s="209"/>
    </row>
    <row r="276" spans="1:9">
      <c r="A276" s="217" t="s">
        <v>1292</v>
      </c>
      <c r="B276" s="215" t="s">
        <v>1176</v>
      </c>
      <c r="C276" s="213">
        <v>16</v>
      </c>
      <c r="D276" s="215" t="s">
        <v>1291</v>
      </c>
      <c r="E276" s="213">
        <v>0</v>
      </c>
      <c r="F276" s="215" t="s">
        <v>1176</v>
      </c>
      <c r="G276" s="216">
        <v>0.01</v>
      </c>
      <c r="H276" s="215" t="s">
        <v>1290</v>
      </c>
      <c r="I276" s="209"/>
    </row>
    <row r="277" spans="1:9">
      <c r="A277" s="217" t="s">
        <v>1191</v>
      </c>
      <c r="B277" s="215" t="s">
        <v>1163</v>
      </c>
      <c r="C277" s="213">
        <v>11</v>
      </c>
      <c r="D277" s="215" t="s">
        <v>1192</v>
      </c>
      <c r="E277" s="213">
        <v>8.6</v>
      </c>
      <c r="F277" s="215" t="s">
        <v>1060</v>
      </c>
      <c r="G277" s="216">
        <v>0.82</v>
      </c>
      <c r="H277" s="215" t="s">
        <v>683</v>
      </c>
      <c r="I277" s="209"/>
    </row>
    <row r="278" spans="1:9">
      <c r="A278" s="217" t="s">
        <v>1193</v>
      </c>
      <c r="B278" s="215" t="s">
        <v>1194</v>
      </c>
      <c r="C278" s="213">
        <v>25</v>
      </c>
      <c r="D278" s="215" t="s">
        <v>1289</v>
      </c>
      <c r="E278" s="213">
        <v>7.8</v>
      </c>
      <c r="F278" s="215" t="s">
        <v>1103</v>
      </c>
      <c r="G278" s="216">
        <v>0.32</v>
      </c>
      <c r="H278" s="215" t="s">
        <v>684</v>
      </c>
      <c r="I278" s="209"/>
    </row>
    <row r="279" spans="1:9">
      <c r="A279" s="217" t="s">
        <v>1196</v>
      </c>
      <c r="B279" s="215" t="s">
        <v>1197</v>
      </c>
      <c r="C279" s="213">
        <v>35</v>
      </c>
      <c r="D279" s="215" t="s">
        <v>1288</v>
      </c>
      <c r="E279" s="213">
        <v>14</v>
      </c>
      <c r="F279" s="215" t="s">
        <v>1287</v>
      </c>
      <c r="G279" s="216">
        <v>0.38</v>
      </c>
      <c r="H279" s="215" t="s">
        <v>685</v>
      </c>
      <c r="I279" s="209"/>
    </row>
    <row r="280" spans="1:9">
      <c r="A280" s="217" t="s">
        <v>1199</v>
      </c>
      <c r="B280" s="215" t="s">
        <v>1060</v>
      </c>
      <c r="C280" s="213">
        <v>2</v>
      </c>
      <c r="D280" s="215" t="s">
        <v>1286</v>
      </c>
      <c r="E280" s="213">
        <v>0.26800000000000002</v>
      </c>
      <c r="F280" s="215" t="s">
        <v>1285</v>
      </c>
      <c r="G280" s="216">
        <v>0.14000000000000001</v>
      </c>
      <c r="H280" s="215" t="s">
        <v>686</v>
      </c>
      <c r="I280" s="209"/>
    </row>
    <row r="281" spans="1:9">
      <c r="A281" s="217" t="s">
        <v>1284</v>
      </c>
      <c r="B281" s="215" t="s">
        <v>1114</v>
      </c>
      <c r="C281" s="213">
        <v>1</v>
      </c>
      <c r="D281" s="215" t="s">
        <v>1185</v>
      </c>
      <c r="E281" s="213">
        <v>0.86399999999999999</v>
      </c>
      <c r="F281" s="215" t="s">
        <v>1283</v>
      </c>
      <c r="G281" s="216">
        <v>0.85</v>
      </c>
      <c r="H281" s="215" t="s">
        <v>689</v>
      </c>
      <c r="I281" s="209"/>
    </row>
    <row r="282" spans="1:9">
      <c r="B282" s="210" t="s">
        <v>272</v>
      </c>
      <c r="C282" s="211">
        <f>SUM(C251:C281)</f>
        <v>310.2</v>
      </c>
      <c r="D282" s="210" t="s">
        <v>1055</v>
      </c>
      <c r="E282" s="211">
        <f>SUM(E251:E281)</f>
        <v>159.42980000000003</v>
      </c>
    </row>
    <row r="285" spans="1:9">
      <c r="A285" s="213" t="s">
        <v>1314</v>
      </c>
      <c r="B285" s="215" t="s">
        <v>1071</v>
      </c>
      <c r="C285" s="213">
        <v>10</v>
      </c>
      <c r="D285" s="215" t="s">
        <v>1096</v>
      </c>
      <c r="E285" s="213">
        <v>4.7</v>
      </c>
      <c r="F285" s="215" t="s">
        <v>1313</v>
      </c>
      <c r="G285" s="216">
        <v>0.47</v>
      </c>
      <c r="H285" s="215" t="s">
        <v>678</v>
      </c>
    </row>
  </sheetData>
  <mergeCells count="15">
    <mergeCell ref="A2:N2"/>
    <mergeCell ref="A3:A30"/>
    <mergeCell ref="A31:A33"/>
    <mergeCell ref="B3:B30"/>
    <mergeCell ref="B31:B33"/>
    <mergeCell ref="C3:C30"/>
    <mergeCell ref="C31:C33"/>
    <mergeCell ref="D3:D30"/>
    <mergeCell ref="D31:D33"/>
    <mergeCell ref="E3:E30"/>
    <mergeCell ref="E31:E33"/>
    <mergeCell ref="F3:F30"/>
    <mergeCell ref="F31:F33"/>
    <mergeCell ref="G3:G30"/>
    <mergeCell ref="G31:G3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9"/>
  <sheetViews>
    <sheetView workbookViewId="0">
      <selection activeCell="B9" sqref="B9"/>
    </sheetView>
  </sheetViews>
  <sheetFormatPr defaultColWidth="9" defaultRowHeight="15"/>
  <cols>
    <col min="1" max="1" width="27.42578125" customWidth="1"/>
    <col min="2" max="2" width="16.42578125" customWidth="1"/>
    <col min="3" max="3" width="14.28515625" customWidth="1"/>
  </cols>
  <sheetData>
    <row r="4" spans="1:3">
      <c r="A4" s="20" t="s">
        <v>1209</v>
      </c>
      <c r="B4" s="20" t="s">
        <v>1210</v>
      </c>
    </row>
    <row r="5" spans="1:3">
      <c r="A5" s="52" t="s">
        <v>1211</v>
      </c>
      <c r="B5" s="18">
        <v>305</v>
      </c>
    </row>
    <row r="6" spans="1:3">
      <c r="A6" s="52" t="s">
        <v>1212</v>
      </c>
      <c r="B6" s="18">
        <v>220</v>
      </c>
    </row>
    <row r="7" spans="1:3">
      <c r="A7" s="52" t="s">
        <v>1213</v>
      </c>
      <c r="B7" s="18">
        <v>152</v>
      </c>
    </row>
    <row r="8" spans="1:3">
      <c r="A8" s="52" t="s">
        <v>1214</v>
      </c>
      <c r="B8" s="18">
        <f>SUM(D19)</f>
        <v>261.39999999999998</v>
      </c>
    </row>
    <row r="9" spans="1:3">
      <c r="A9" s="20" t="s">
        <v>1038</v>
      </c>
      <c r="B9" s="20">
        <f>SUM(B5:B8)</f>
        <v>938.4</v>
      </c>
    </row>
    <row r="16" spans="1:3">
      <c r="B16" t="s">
        <v>235</v>
      </c>
      <c r="C16" t="s">
        <v>1215</v>
      </c>
    </row>
    <row r="17" spans="1:4">
      <c r="A17" t="s">
        <v>1216</v>
      </c>
      <c r="B17">
        <f>SUM('VM '!F86)</f>
        <v>305</v>
      </c>
      <c r="C17">
        <f>SUM('VM '!I86)</f>
        <v>466.4</v>
      </c>
      <c r="D17">
        <f>SUM(C17-B17)</f>
        <v>161.39999999999998</v>
      </c>
    </row>
    <row r="18" spans="1:4">
      <c r="A18" t="s">
        <v>1217</v>
      </c>
      <c r="B18">
        <f>SUM(B6:B7)</f>
        <v>372</v>
      </c>
      <c r="D18">
        <v>100</v>
      </c>
    </row>
    <row r="19" spans="1:4">
      <c r="D19" s="5">
        <f>SUM(D17:D18)</f>
        <v>261.39999999999998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15" sqref="D15"/>
    </sheetView>
  </sheetViews>
  <sheetFormatPr defaultColWidth="9" defaultRowHeight="15"/>
  <cols>
    <col min="1" max="1" width="39.42578125" customWidth="1"/>
    <col min="2" max="2" width="8.42578125" customWidth="1"/>
    <col min="3" max="3" width="14.42578125" customWidth="1"/>
    <col min="4" max="4" width="12.28515625" customWidth="1"/>
    <col min="5" max="5" width="14.85546875" customWidth="1"/>
    <col min="6" max="6" width="12.5703125" customWidth="1"/>
    <col min="7" max="7" width="8" customWidth="1"/>
    <col min="8" max="8" width="29.85546875" customWidth="1"/>
    <col min="9" max="9" width="22.28515625" customWidth="1"/>
    <col min="10" max="10" width="22.5703125" customWidth="1"/>
    <col min="11" max="11" width="21.42578125" customWidth="1"/>
    <col min="12" max="12" width="13.42578125" customWidth="1"/>
  </cols>
  <sheetData>
    <row r="1" spans="1:12">
      <c r="A1" s="25" t="s">
        <v>733</v>
      </c>
      <c r="B1" s="26"/>
      <c r="C1" s="27" t="s">
        <v>1218</v>
      </c>
      <c r="D1" s="28" t="s">
        <v>730</v>
      </c>
      <c r="E1" s="28" t="s">
        <v>731</v>
      </c>
      <c r="F1" s="28" t="s">
        <v>732</v>
      </c>
      <c r="G1" s="43" t="s">
        <v>734</v>
      </c>
      <c r="H1" s="43" t="s">
        <v>735</v>
      </c>
      <c r="I1" s="43" t="s">
        <v>736</v>
      </c>
      <c r="J1" s="43" t="s">
        <v>737</v>
      </c>
      <c r="K1" s="43" t="s">
        <v>738</v>
      </c>
      <c r="L1" s="43" t="s">
        <v>739</v>
      </c>
    </row>
    <row r="2" spans="1:12">
      <c r="A2" s="29" t="s">
        <v>740</v>
      </c>
      <c r="B2" s="206" t="s">
        <v>0</v>
      </c>
      <c r="C2" s="208">
        <v>84</v>
      </c>
      <c r="D2" s="31">
        <v>15</v>
      </c>
      <c r="E2" s="31">
        <v>6</v>
      </c>
      <c r="F2" s="31">
        <v>9</v>
      </c>
      <c r="G2" s="31" t="s">
        <v>741</v>
      </c>
      <c r="H2" s="31" t="s">
        <v>742</v>
      </c>
      <c r="I2" s="31">
        <v>30</v>
      </c>
      <c r="J2" s="31">
        <f t="shared" ref="J2:J17" si="0">SUM(E2*I2)/100</f>
        <v>1.8</v>
      </c>
      <c r="K2" s="31">
        <f t="shared" ref="K2:K17" si="1">SUM(E2,J2)</f>
        <v>7.8</v>
      </c>
      <c r="L2" s="44">
        <f t="shared" ref="L2:L8" si="2">SUM(K2)</f>
        <v>7.8</v>
      </c>
    </row>
    <row r="3" spans="1:12">
      <c r="A3" s="32" t="s">
        <v>743</v>
      </c>
      <c r="B3" s="206"/>
      <c r="C3" s="206"/>
      <c r="D3" s="33">
        <v>270</v>
      </c>
      <c r="E3" s="33">
        <v>153</v>
      </c>
      <c r="F3" s="33">
        <v>117</v>
      </c>
      <c r="G3" s="33" t="s">
        <v>744</v>
      </c>
      <c r="H3" s="33" t="s">
        <v>744</v>
      </c>
      <c r="I3" s="33">
        <v>70</v>
      </c>
      <c r="J3" s="33">
        <f t="shared" si="0"/>
        <v>107.1</v>
      </c>
      <c r="K3" s="33">
        <f t="shared" si="1"/>
        <v>260.10000000000002</v>
      </c>
      <c r="L3" s="45"/>
    </row>
    <row r="4" spans="1:12">
      <c r="A4" s="34" t="s">
        <v>745</v>
      </c>
      <c r="B4" s="207"/>
      <c r="C4" s="207"/>
      <c r="D4" s="35">
        <v>5</v>
      </c>
      <c r="E4" s="35">
        <v>2.2000000000000002</v>
      </c>
      <c r="F4" s="35">
        <v>2.8</v>
      </c>
      <c r="G4" s="35" t="s">
        <v>741</v>
      </c>
      <c r="H4" s="35" t="s">
        <v>742</v>
      </c>
      <c r="I4" s="35">
        <v>70</v>
      </c>
      <c r="J4" s="35">
        <f t="shared" si="0"/>
        <v>1.54</v>
      </c>
      <c r="K4" s="35">
        <f t="shared" si="1"/>
        <v>3.74</v>
      </c>
      <c r="L4" s="46">
        <f t="shared" si="2"/>
        <v>3.74</v>
      </c>
    </row>
    <row r="5" spans="1:12">
      <c r="A5" s="29" t="s">
        <v>746</v>
      </c>
      <c r="B5" s="30"/>
      <c r="C5" s="208">
        <v>4</v>
      </c>
      <c r="D5" s="31">
        <v>27.648</v>
      </c>
      <c r="E5" s="31">
        <v>5.2029439999999996</v>
      </c>
      <c r="F5" s="31">
        <v>16.181248</v>
      </c>
      <c r="G5" s="31" t="s">
        <v>741</v>
      </c>
      <c r="H5" s="31" t="s">
        <v>744</v>
      </c>
      <c r="I5" s="31">
        <v>70</v>
      </c>
      <c r="J5" s="31">
        <f t="shared" si="0"/>
        <v>3.6420607999999999</v>
      </c>
      <c r="K5" s="31">
        <f t="shared" si="1"/>
        <v>8.8450047999999999</v>
      </c>
      <c r="L5" s="44">
        <f t="shared" si="2"/>
        <v>8.8450047999999999</v>
      </c>
    </row>
    <row r="6" spans="1:12">
      <c r="A6" s="32" t="s">
        <v>719</v>
      </c>
      <c r="B6" s="206" t="s">
        <v>1219</v>
      </c>
      <c r="C6" s="206"/>
      <c r="D6" s="33">
        <v>176.12799999999999</v>
      </c>
      <c r="E6" s="33">
        <v>134.39490000000001</v>
      </c>
      <c r="F6" s="33">
        <v>117.757952</v>
      </c>
      <c r="G6" s="33" t="s">
        <v>744</v>
      </c>
      <c r="H6" s="33" t="s">
        <v>744</v>
      </c>
      <c r="I6" s="33">
        <v>70</v>
      </c>
      <c r="J6" s="33">
        <f t="shared" si="0"/>
        <v>94.076430000000002</v>
      </c>
      <c r="K6" s="33">
        <f t="shared" si="1"/>
        <v>228.47133000000002</v>
      </c>
      <c r="L6" s="45"/>
    </row>
    <row r="7" spans="1:12">
      <c r="A7" s="36" t="s">
        <v>720</v>
      </c>
      <c r="B7" s="206"/>
      <c r="C7" s="206"/>
      <c r="D7" s="37">
        <v>2.1463040000000002</v>
      </c>
      <c r="E7" s="37">
        <v>1.1448320000000001</v>
      </c>
      <c r="F7" s="37">
        <v>1.0547200000000001</v>
      </c>
      <c r="G7" s="37" t="s">
        <v>741</v>
      </c>
      <c r="H7" s="37" t="s">
        <v>747</v>
      </c>
      <c r="I7" s="37">
        <v>20</v>
      </c>
      <c r="J7" s="37">
        <f t="shared" si="0"/>
        <v>0.22896640000000001</v>
      </c>
      <c r="K7" s="37">
        <f t="shared" si="1"/>
        <v>1.3737984000000001</v>
      </c>
      <c r="L7" s="47">
        <f t="shared" si="2"/>
        <v>1.3737984000000001</v>
      </c>
    </row>
    <row r="8" spans="1:12">
      <c r="A8" s="36" t="s">
        <v>721</v>
      </c>
      <c r="B8" s="206"/>
      <c r="C8" s="206"/>
      <c r="D8" s="37">
        <v>11.263999999999999</v>
      </c>
      <c r="E8" s="37">
        <v>8.8064</v>
      </c>
      <c r="F8" s="37">
        <v>2.048</v>
      </c>
      <c r="G8" s="37" t="s">
        <v>741</v>
      </c>
      <c r="H8" s="37" t="s">
        <v>747</v>
      </c>
      <c r="I8" s="37">
        <v>20</v>
      </c>
      <c r="J8" s="37">
        <f t="shared" si="0"/>
        <v>1.76128</v>
      </c>
      <c r="K8" s="37">
        <f t="shared" si="1"/>
        <v>10.567679999999999</v>
      </c>
      <c r="L8" s="47">
        <f t="shared" si="2"/>
        <v>10.567679999999999</v>
      </c>
    </row>
    <row r="9" spans="1:12">
      <c r="A9" s="32" t="s">
        <v>722</v>
      </c>
      <c r="B9" s="206"/>
      <c r="C9" s="206"/>
      <c r="D9" s="33">
        <v>25.6</v>
      </c>
      <c r="E9" s="33">
        <v>5.9391999999999996</v>
      </c>
      <c r="F9" s="33">
        <v>20.48</v>
      </c>
      <c r="G9" s="33" t="s">
        <v>744</v>
      </c>
      <c r="H9" s="33" t="s">
        <v>744</v>
      </c>
      <c r="I9" s="33">
        <v>20</v>
      </c>
      <c r="J9" s="33">
        <f t="shared" si="0"/>
        <v>1.18784</v>
      </c>
      <c r="K9" s="33">
        <f t="shared" si="1"/>
        <v>7.1270399999999992</v>
      </c>
      <c r="L9" s="45"/>
    </row>
    <row r="10" spans="1:12">
      <c r="A10" s="36" t="s">
        <v>723</v>
      </c>
      <c r="B10" s="206"/>
      <c r="C10" s="206"/>
      <c r="D10" s="37">
        <v>35.840000000000003</v>
      </c>
      <c r="E10" s="37">
        <v>4.1984000000000004</v>
      </c>
      <c r="F10" s="37">
        <v>31.744</v>
      </c>
      <c r="G10" s="37" t="s">
        <v>741</v>
      </c>
      <c r="H10" s="37" t="s">
        <v>747</v>
      </c>
      <c r="I10" s="37">
        <v>20</v>
      </c>
      <c r="J10" s="37">
        <f t="shared" si="0"/>
        <v>0.83967999999999998</v>
      </c>
      <c r="K10" s="37">
        <f t="shared" si="1"/>
        <v>5.0380800000000008</v>
      </c>
      <c r="L10" s="47">
        <f t="shared" ref="L10:L15" si="3">SUM(K10)</f>
        <v>5.0380800000000008</v>
      </c>
    </row>
    <row r="11" spans="1:12">
      <c r="A11" s="36" t="s">
        <v>724</v>
      </c>
      <c r="B11" s="206"/>
      <c r="C11" s="206"/>
      <c r="D11" s="37">
        <v>2.048</v>
      </c>
      <c r="E11" s="37">
        <v>1.536</v>
      </c>
      <c r="F11" s="37">
        <v>0.566272</v>
      </c>
      <c r="G11" s="37" t="s">
        <v>741</v>
      </c>
      <c r="H11" s="37" t="s">
        <v>748</v>
      </c>
      <c r="I11" s="37">
        <v>10</v>
      </c>
      <c r="J11" s="37">
        <f t="shared" si="0"/>
        <v>0.15359999999999999</v>
      </c>
      <c r="K11" s="37">
        <f t="shared" si="1"/>
        <v>1.6896</v>
      </c>
      <c r="L11" s="47">
        <f t="shared" si="3"/>
        <v>1.6896</v>
      </c>
    </row>
    <row r="12" spans="1:12">
      <c r="A12" s="34" t="s">
        <v>749</v>
      </c>
      <c r="B12" s="207"/>
      <c r="C12" s="207"/>
      <c r="D12" s="35">
        <v>4</v>
      </c>
      <c r="E12" s="35">
        <v>3.5</v>
      </c>
      <c r="F12" s="35">
        <v>0.5</v>
      </c>
      <c r="G12" s="35" t="s">
        <v>741</v>
      </c>
      <c r="H12" s="35" t="s">
        <v>750</v>
      </c>
      <c r="I12" s="35">
        <v>10</v>
      </c>
      <c r="J12" s="35">
        <f t="shared" si="0"/>
        <v>0.35</v>
      </c>
      <c r="K12" s="35">
        <f t="shared" si="1"/>
        <v>3.85</v>
      </c>
      <c r="L12" s="46">
        <f t="shared" si="3"/>
        <v>3.85</v>
      </c>
    </row>
    <row r="13" spans="1:12">
      <c r="A13" s="29" t="s">
        <v>726</v>
      </c>
      <c r="B13" s="208" t="s">
        <v>1219</v>
      </c>
      <c r="C13" s="208">
        <v>4</v>
      </c>
      <c r="D13" s="31">
        <v>96</v>
      </c>
      <c r="E13" s="31">
        <v>33.792000000000002</v>
      </c>
      <c r="F13" s="31">
        <v>64</v>
      </c>
      <c r="G13" s="31" t="s">
        <v>741</v>
      </c>
      <c r="H13" s="39" t="s">
        <v>751</v>
      </c>
      <c r="I13" s="31">
        <v>70</v>
      </c>
      <c r="J13" s="31">
        <f t="shared" si="0"/>
        <v>23.654399999999999</v>
      </c>
      <c r="K13" s="31">
        <f t="shared" si="1"/>
        <v>57.446399999999997</v>
      </c>
      <c r="L13" s="44">
        <f t="shared" si="3"/>
        <v>57.446399999999997</v>
      </c>
    </row>
    <row r="14" spans="1:12">
      <c r="A14" s="34" t="s">
        <v>727</v>
      </c>
      <c r="B14" s="207"/>
      <c r="C14" s="207"/>
      <c r="D14" s="35">
        <v>6</v>
      </c>
      <c r="E14" s="35">
        <v>0.71679999999999999</v>
      </c>
      <c r="F14" s="35">
        <v>5.4272</v>
      </c>
      <c r="G14" s="35" t="s">
        <v>741</v>
      </c>
      <c r="H14" s="37" t="s">
        <v>751</v>
      </c>
      <c r="I14" s="35">
        <v>70</v>
      </c>
      <c r="J14" s="35">
        <f t="shared" si="0"/>
        <v>0.50175999999999998</v>
      </c>
      <c r="K14" s="35">
        <f t="shared" si="1"/>
        <v>1.2185600000000001</v>
      </c>
      <c r="L14" s="46">
        <f t="shared" si="3"/>
        <v>1.2185600000000001</v>
      </c>
    </row>
    <row r="15" spans="1:12">
      <c r="A15" s="38" t="s">
        <v>728</v>
      </c>
      <c r="B15" s="39"/>
      <c r="C15" s="39"/>
      <c r="D15" s="39">
        <v>1.1240000000000001</v>
      </c>
      <c r="E15" s="39">
        <v>0.88108287399999996</v>
      </c>
      <c r="F15" s="39">
        <v>0.24291712600000001</v>
      </c>
      <c r="G15" s="39" t="s">
        <v>741</v>
      </c>
      <c r="H15" s="39" t="s">
        <v>744</v>
      </c>
      <c r="I15" s="39">
        <v>70</v>
      </c>
      <c r="J15" s="39">
        <f t="shared" si="0"/>
        <v>0.61675801180000001</v>
      </c>
      <c r="K15" s="39">
        <f t="shared" si="1"/>
        <v>1.4978408858000001</v>
      </c>
      <c r="L15" s="48">
        <f t="shared" si="3"/>
        <v>1.4978408858000001</v>
      </c>
    </row>
    <row r="16" spans="1:12">
      <c r="A16" s="32" t="s">
        <v>729</v>
      </c>
      <c r="B16" s="33"/>
      <c r="C16" s="33"/>
      <c r="D16" s="33">
        <v>4.8639999999999999</v>
      </c>
      <c r="E16" s="33">
        <v>0.55048297499999999</v>
      </c>
      <c r="F16" s="33">
        <v>4.3135170250000003</v>
      </c>
      <c r="G16" s="33" t="s">
        <v>744</v>
      </c>
      <c r="H16" s="33" t="s">
        <v>744</v>
      </c>
      <c r="I16" s="33">
        <v>10</v>
      </c>
      <c r="J16" s="33">
        <f t="shared" si="0"/>
        <v>5.5048297499999996E-2</v>
      </c>
      <c r="K16" s="33">
        <f t="shared" si="1"/>
        <v>0.60553127249999994</v>
      </c>
      <c r="L16" s="45"/>
    </row>
    <row r="17" spans="1:12">
      <c r="A17" s="40" t="s">
        <v>752</v>
      </c>
      <c r="B17" s="41"/>
      <c r="C17" s="41"/>
      <c r="D17" s="41">
        <v>583</v>
      </c>
      <c r="E17" s="41">
        <v>115.79</v>
      </c>
      <c r="F17" s="41">
        <v>467.21</v>
      </c>
      <c r="G17" s="41" t="s">
        <v>744</v>
      </c>
      <c r="H17" s="41" t="s">
        <v>744</v>
      </c>
      <c r="I17" s="41">
        <v>10</v>
      </c>
      <c r="J17" s="41">
        <f t="shared" si="0"/>
        <v>11.579000000000001</v>
      </c>
      <c r="K17" s="41">
        <f t="shared" si="1"/>
        <v>127.369</v>
      </c>
      <c r="L17" s="49"/>
    </row>
    <row r="18" spans="1:1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50" t="s">
        <v>753</v>
      </c>
      <c r="L18" s="51">
        <f>SUM(L2:L17)</f>
        <v>103.0669640858</v>
      </c>
    </row>
  </sheetData>
  <mergeCells count="6">
    <mergeCell ref="B2:B4"/>
    <mergeCell ref="B6:B12"/>
    <mergeCell ref="B13:B14"/>
    <mergeCell ref="C2:C4"/>
    <mergeCell ref="C5:C12"/>
    <mergeCell ref="C13:C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topLeftCell="A41" zoomScale="140" zoomScaleNormal="140" workbookViewId="0">
      <selection activeCell="E63" sqref="E63"/>
    </sheetView>
  </sheetViews>
  <sheetFormatPr defaultColWidth="9" defaultRowHeight="15"/>
  <cols>
    <col min="1" max="1" width="36.7109375" customWidth="1"/>
    <col min="2" max="2" width="17.7109375" customWidth="1"/>
    <col min="3" max="3" width="23.5703125" customWidth="1"/>
    <col min="4" max="4" width="13.28515625" customWidth="1"/>
    <col min="5" max="5" width="21.42578125" customWidth="1"/>
    <col min="6" max="6" width="16.140625" customWidth="1"/>
  </cols>
  <sheetData>
    <row r="1" spans="1:3" ht="17.100000000000001" customHeight="1"/>
    <row r="3" spans="1:3">
      <c r="A3" s="1" t="s">
        <v>1220</v>
      </c>
      <c r="B3" s="2">
        <v>30</v>
      </c>
    </row>
    <row r="4" spans="1:3">
      <c r="A4" s="1" t="s">
        <v>1221</v>
      </c>
      <c r="B4" s="2">
        <v>7</v>
      </c>
    </row>
    <row r="5" spans="1:3">
      <c r="A5" s="1" t="s">
        <v>1222</v>
      </c>
      <c r="B5" s="2">
        <v>11</v>
      </c>
    </row>
    <row r="6" spans="1:3">
      <c r="A6" s="1" t="s">
        <v>1223</v>
      </c>
      <c r="B6" s="2">
        <v>17</v>
      </c>
    </row>
    <row r="7" spans="1:3">
      <c r="A7" s="1" t="s">
        <v>1224</v>
      </c>
      <c r="B7" s="2">
        <v>6</v>
      </c>
    </row>
    <row r="8" spans="1:3">
      <c r="A8" s="1" t="s">
        <v>1225</v>
      </c>
      <c r="B8" s="2">
        <v>2</v>
      </c>
      <c r="C8" t="s">
        <v>1226</v>
      </c>
    </row>
    <row r="9" spans="1:3">
      <c r="A9" s="1" t="s">
        <v>1227</v>
      </c>
      <c r="B9" s="2">
        <v>1</v>
      </c>
      <c r="C9" t="s">
        <v>1226</v>
      </c>
    </row>
    <row r="10" spans="1:3">
      <c r="A10" s="1" t="s">
        <v>1228</v>
      </c>
      <c r="B10" s="2">
        <v>0</v>
      </c>
    </row>
    <row r="11" spans="1:3">
      <c r="A11" s="1" t="s">
        <v>1229</v>
      </c>
      <c r="B11" s="2">
        <v>0</v>
      </c>
    </row>
    <row r="12" spans="1:3">
      <c r="A12" s="1" t="s">
        <v>1230</v>
      </c>
      <c r="B12" s="2">
        <v>0</v>
      </c>
    </row>
    <row r="16" spans="1:3">
      <c r="A16" t="s">
        <v>1231</v>
      </c>
    </row>
    <row r="17" spans="1:5">
      <c r="A17" s="3" t="s">
        <v>1232</v>
      </c>
      <c r="B17" s="3" t="s">
        <v>1233</v>
      </c>
      <c r="C17" s="3" t="s">
        <v>1234</v>
      </c>
      <c r="D17" s="3" t="s">
        <v>1235</v>
      </c>
      <c r="E17" s="3" t="s">
        <v>1236</v>
      </c>
    </row>
    <row r="18" spans="1:5">
      <c r="A18" s="2" t="s">
        <v>1237</v>
      </c>
      <c r="B18" s="2">
        <f>SUM(B3)</f>
        <v>30</v>
      </c>
      <c r="C18" s="2">
        <f>SUM(B3/B8)</f>
        <v>15</v>
      </c>
      <c r="D18" s="2">
        <f>SUM(B3/B9)</f>
        <v>30</v>
      </c>
      <c r="E18" s="2">
        <f>SUM(B3/B8)</f>
        <v>15</v>
      </c>
    </row>
    <row r="19" spans="1:5">
      <c r="A19" s="2" t="s">
        <v>1238</v>
      </c>
      <c r="B19" s="2"/>
      <c r="C19" s="2"/>
      <c r="D19" s="2"/>
      <c r="E19" s="2"/>
    </row>
    <row r="20" spans="1:5">
      <c r="A20" s="4" t="s">
        <v>1239</v>
      </c>
      <c r="B20" s="2">
        <f>SUM(B3*B4)</f>
        <v>210</v>
      </c>
      <c r="C20" s="2">
        <f>SUM(C18*B4)</f>
        <v>105</v>
      </c>
      <c r="D20" s="2"/>
      <c r="E20" s="2"/>
    </row>
    <row r="21" spans="1:5">
      <c r="A21" s="2" t="s">
        <v>1240</v>
      </c>
      <c r="B21" s="2">
        <f>SUM(B3*B5)</f>
        <v>330</v>
      </c>
      <c r="C21" s="2">
        <f>SUM(B3*B5)/B8</f>
        <v>165</v>
      </c>
      <c r="D21" s="2"/>
      <c r="E21" s="2"/>
    </row>
    <row r="22" spans="1:5">
      <c r="A22" s="2" t="s">
        <v>1241</v>
      </c>
      <c r="B22" s="2">
        <f>SUM(B3*B6)</f>
        <v>510</v>
      </c>
      <c r="C22" s="2">
        <f>SUM(C18*B6)</f>
        <v>255</v>
      </c>
      <c r="D22" s="2"/>
      <c r="E22" s="2"/>
    </row>
    <row r="23" spans="1:5">
      <c r="A23" s="2" t="s">
        <v>1242</v>
      </c>
      <c r="B23" s="2">
        <f>SUM(B22/1000)</f>
        <v>0.51</v>
      </c>
      <c r="C23" s="2">
        <f>SUM(C22/1024)</f>
        <v>0.2490234375</v>
      </c>
    </row>
    <row r="28" spans="1:5">
      <c r="A28" s="5" t="s">
        <v>1243</v>
      </c>
    </row>
    <row r="29" spans="1:5">
      <c r="A29" s="6" t="s">
        <v>1220</v>
      </c>
      <c r="B29" s="2">
        <v>25</v>
      </c>
      <c r="C29" s="2"/>
    </row>
    <row r="30" spans="1:5">
      <c r="A30" s="6" t="s">
        <v>1221</v>
      </c>
      <c r="B30" s="2">
        <v>0</v>
      </c>
      <c r="C30" s="2" t="s">
        <v>1244</v>
      </c>
    </row>
    <row r="31" spans="1:5">
      <c r="A31" s="6" t="s">
        <v>1222</v>
      </c>
      <c r="B31" s="2">
        <v>1</v>
      </c>
      <c r="C31" s="2" t="s">
        <v>1245</v>
      </c>
    </row>
    <row r="32" spans="1:5">
      <c r="A32" s="6" t="s">
        <v>1223</v>
      </c>
      <c r="B32" s="2">
        <v>6</v>
      </c>
      <c r="C32" s="2" t="s">
        <v>1246</v>
      </c>
    </row>
    <row r="33" spans="1:3">
      <c r="A33" s="1" t="s">
        <v>1224</v>
      </c>
      <c r="B33" s="2">
        <v>6</v>
      </c>
      <c r="C33" s="2" t="s">
        <v>1246</v>
      </c>
    </row>
    <row r="34" spans="1:3">
      <c r="A34" s="2" t="s">
        <v>1225</v>
      </c>
      <c r="B34" s="2">
        <v>2</v>
      </c>
      <c r="C34" s="2" t="s">
        <v>1226</v>
      </c>
    </row>
    <row r="36" spans="1:3">
      <c r="A36" s="7" t="s">
        <v>1232</v>
      </c>
      <c r="B36" s="7" t="s">
        <v>1233</v>
      </c>
      <c r="C36" s="7" t="s">
        <v>1234</v>
      </c>
    </row>
    <row r="37" spans="1:3">
      <c r="A37" s="2" t="s">
        <v>1237</v>
      </c>
      <c r="B37" s="2">
        <v>25</v>
      </c>
      <c r="C37" s="2">
        <v>12.5</v>
      </c>
    </row>
    <row r="38" spans="1:3">
      <c r="A38" s="2" t="s">
        <v>1238</v>
      </c>
      <c r="B38" s="2"/>
      <c r="C38" s="2"/>
    </row>
    <row r="39" spans="1:3">
      <c r="A39" s="2" t="s">
        <v>1239</v>
      </c>
      <c r="B39" s="2">
        <v>0</v>
      </c>
      <c r="C39" s="2">
        <v>0</v>
      </c>
    </row>
    <row r="40" spans="1:3">
      <c r="A40" s="2" t="s">
        <v>1240</v>
      </c>
      <c r="B40" s="2">
        <v>25</v>
      </c>
      <c r="C40" s="2">
        <v>12.5</v>
      </c>
    </row>
    <row r="41" spans="1:3">
      <c r="A41" s="8" t="s">
        <v>1241</v>
      </c>
      <c r="B41" s="1">
        <v>150</v>
      </c>
      <c r="C41" s="1">
        <v>75</v>
      </c>
    </row>
    <row r="42" spans="1:3">
      <c r="A42" s="9"/>
      <c r="B42" s="9"/>
      <c r="C42" s="9"/>
    </row>
    <row r="43" spans="1:3">
      <c r="A43" s="9" t="s">
        <v>1231</v>
      </c>
      <c r="B43" s="9"/>
      <c r="C43" s="9"/>
    </row>
    <row r="47" spans="1:3">
      <c r="A47" s="5" t="s">
        <v>1247</v>
      </c>
    </row>
    <row r="48" spans="1:3">
      <c r="A48" s="6" t="s">
        <v>1220</v>
      </c>
      <c r="B48" s="2">
        <v>300</v>
      </c>
      <c r="C48" s="2"/>
    </row>
    <row r="49" spans="1:4">
      <c r="A49" s="6" t="s">
        <v>1221</v>
      </c>
      <c r="B49" s="2">
        <v>1</v>
      </c>
      <c r="C49" s="2" t="s">
        <v>1248</v>
      </c>
    </row>
    <row r="50" spans="1:4">
      <c r="A50" s="6" t="s">
        <v>1222</v>
      </c>
      <c r="B50" s="2">
        <v>5</v>
      </c>
      <c r="C50" s="2" t="s">
        <v>1249</v>
      </c>
    </row>
    <row r="51" spans="1:4">
      <c r="A51" s="6" t="s">
        <v>1223</v>
      </c>
      <c r="B51" s="2">
        <v>11</v>
      </c>
      <c r="C51" s="2" t="s">
        <v>1250</v>
      </c>
    </row>
    <row r="52" spans="1:4">
      <c r="A52" s="6" t="s">
        <v>1224</v>
      </c>
      <c r="B52" s="2">
        <v>6</v>
      </c>
      <c r="C52" s="2"/>
      <c r="D52" s="9"/>
    </row>
    <row r="53" spans="1:4">
      <c r="A53" s="2" t="s">
        <v>1225</v>
      </c>
      <c r="B53" s="2">
        <v>2</v>
      </c>
      <c r="C53" s="2" t="s">
        <v>1226</v>
      </c>
      <c r="D53" s="9"/>
    </row>
    <row r="55" spans="1:4">
      <c r="A55" s="10" t="s">
        <v>1232</v>
      </c>
      <c r="B55" s="10" t="s">
        <v>1233</v>
      </c>
      <c r="C55" s="10" t="s">
        <v>1234</v>
      </c>
    </row>
    <row r="56" spans="1:4">
      <c r="A56" s="2" t="s">
        <v>1237</v>
      </c>
      <c r="B56" s="2">
        <v>300</v>
      </c>
      <c r="C56" s="2">
        <v>150</v>
      </c>
    </row>
    <row r="57" spans="1:4">
      <c r="A57" s="4" t="s">
        <v>1238</v>
      </c>
      <c r="B57" s="2"/>
      <c r="C57" s="2"/>
    </row>
    <row r="58" spans="1:4">
      <c r="A58" s="2" t="s">
        <v>1239</v>
      </c>
      <c r="B58" s="2">
        <v>300</v>
      </c>
      <c r="C58" s="2">
        <v>150</v>
      </c>
    </row>
    <row r="59" spans="1:4">
      <c r="A59" s="2" t="s">
        <v>1240</v>
      </c>
      <c r="B59" s="2">
        <v>1500</v>
      </c>
      <c r="C59" s="2">
        <v>750</v>
      </c>
    </row>
    <row r="60" spans="1:4">
      <c r="A60" s="8" t="s">
        <v>1241</v>
      </c>
      <c r="B60" s="1">
        <v>3300</v>
      </c>
      <c r="C60" s="1">
        <v>1650</v>
      </c>
    </row>
    <row r="66" spans="1:3">
      <c r="A66" s="5" t="s">
        <v>1251</v>
      </c>
    </row>
    <row r="67" spans="1:3">
      <c r="A67" s="6" t="s">
        <v>1220</v>
      </c>
      <c r="B67" s="2">
        <v>300</v>
      </c>
      <c r="C67" s="2"/>
    </row>
    <row r="68" spans="1:3">
      <c r="A68" s="6" t="s">
        <v>1221</v>
      </c>
      <c r="B68" s="2">
        <v>7</v>
      </c>
      <c r="C68" s="2" t="s">
        <v>1252</v>
      </c>
    </row>
    <row r="69" spans="1:3">
      <c r="A69" s="6" t="s">
        <v>1222</v>
      </c>
      <c r="B69" s="2">
        <v>11</v>
      </c>
      <c r="C69" s="2" t="s">
        <v>1253</v>
      </c>
    </row>
    <row r="70" spans="1:3">
      <c r="A70" s="6" t="s">
        <v>1223</v>
      </c>
      <c r="B70" s="2">
        <v>17</v>
      </c>
      <c r="C70" s="2" t="s">
        <v>1254</v>
      </c>
    </row>
    <row r="71" spans="1:3">
      <c r="A71" s="6" t="s">
        <v>1224</v>
      </c>
      <c r="B71" s="2">
        <v>6</v>
      </c>
      <c r="C71" s="2" t="s">
        <v>1255</v>
      </c>
    </row>
    <row r="72" spans="1:3">
      <c r="A72" s="2" t="s">
        <v>1225</v>
      </c>
      <c r="B72" s="2">
        <v>2</v>
      </c>
      <c r="C72" s="2" t="s">
        <v>1226</v>
      </c>
    </row>
    <row r="73" spans="1:3">
      <c r="A73" s="11"/>
      <c r="B73" s="11"/>
      <c r="C73" s="11"/>
    </row>
    <row r="74" spans="1:3">
      <c r="A74" s="7" t="s">
        <v>1232</v>
      </c>
      <c r="B74" s="7" t="s">
        <v>1233</v>
      </c>
      <c r="C74" s="7" t="s">
        <v>1234</v>
      </c>
    </row>
    <row r="75" spans="1:3">
      <c r="A75" s="2" t="s">
        <v>1237</v>
      </c>
      <c r="B75" s="2">
        <v>300</v>
      </c>
      <c r="C75" s="2">
        <v>150</v>
      </c>
    </row>
    <row r="76" spans="1:3">
      <c r="A76" s="4" t="s">
        <v>1238</v>
      </c>
      <c r="B76" s="2"/>
      <c r="C76" s="2"/>
    </row>
    <row r="77" spans="1:3">
      <c r="A77" s="2" t="s">
        <v>1239</v>
      </c>
      <c r="B77" s="2">
        <v>2100</v>
      </c>
      <c r="C77" s="2">
        <v>1050</v>
      </c>
    </row>
    <row r="78" spans="1:3">
      <c r="A78" s="2" t="s">
        <v>1240</v>
      </c>
      <c r="B78" s="2">
        <v>3300</v>
      </c>
      <c r="C78" s="2">
        <v>1650</v>
      </c>
    </row>
    <row r="79" spans="1:3">
      <c r="A79" s="8" t="s">
        <v>1241</v>
      </c>
      <c r="B79" s="1">
        <v>5100</v>
      </c>
      <c r="C79" s="1">
        <v>2550</v>
      </c>
    </row>
    <row r="83" spans="1:3">
      <c r="A83" s="5" t="s">
        <v>1256</v>
      </c>
    </row>
    <row r="84" spans="1:3">
      <c r="A84" s="6" t="s">
        <v>1220</v>
      </c>
      <c r="B84" s="2">
        <v>30</v>
      </c>
      <c r="C84" s="2"/>
    </row>
    <row r="85" spans="1:3">
      <c r="A85" s="6" t="s">
        <v>1221</v>
      </c>
      <c r="B85" s="2">
        <v>7</v>
      </c>
      <c r="C85" s="2" t="s">
        <v>1252</v>
      </c>
    </row>
    <row r="86" spans="1:3">
      <c r="A86" s="6" t="s">
        <v>1222</v>
      </c>
      <c r="B86" s="2">
        <v>11</v>
      </c>
      <c r="C86" s="2" t="s">
        <v>1253</v>
      </c>
    </row>
    <row r="87" spans="1:3">
      <c r="A87" s="6" t="s">
        <v>1223</v>
      </c>
      <c r="B87" s="2">
        <v>17</v>
      </c>
      <c r="C87" s="2" t="s">
        <v>1254</v>
      </c>
    </row>
    <row r="88" spans="1:3">
      <c r="A88" s="6" t="s">
        <v>1224</v>
      </c>
      <c r="B88" s="2">
        <v>6</v>
      </c>
      <c r="C88" s="2" t="s">
        <v>1255</v>
      </c>
    </row>
    <row r="89" spans="1:3">
      <c r="A89" s="2" t="s">
        <v>1225</v>
      </c>
      <c r="B89" s="2">
        <v>2</v>
      </c>
      <c r="C89" s="2" t="s">
        <v>1226</v>
      </c>
    </row>
    <row r="90" spans="1:3">
      <c r="A90" s="11"/>
      <c r="B90" s="11"/>
      <c r="C90" s="11"/>
    </row>
    <row r="91" spans="1:3">
      <c r="A91" s="10" t="s">
        <v>1232</v>
      </c>
      <c r="B91" s="10" t="s">
        <v>1233</v>
      </c>
      <c r="C91" s="10" t="s">
        <v>1234</v>
      </c>
    </row>
    <row r="92" spans="1:3">
      <c r="A92" s="2" t="s">
        <v>1237</v>
      </c>
      <c r="B92" s="2">
        <v>30</v>
      </c>
      <c r="C92" s="2">
        <v>15</v>
      </c>
    </row>
    <row r="93" spans="1:3">
      <c r="A93" s="4" t="s">
        <v>1238</v>
      </c>
      <c r="B93" s="2"/>
      <c r="C93" s="2"/>
    </row>
    <row r="94" spans="1:3">
      <c r="A94" s="2" t="s">
        <v>1239</v>
      </c>
      <c r="B94" s="2">
        <v>210</v>
      </c>
      <c r="C94" s="2">
        <v>105</v>
      </c>
    </row>
    <row r="95" spans="1:3">
      <c r="A95" s="2" t="s">
        <v>1240</v>
      </c>
      <c r="B95" s="2">
        <v>330</v>
      </c>
      <c r="C95" s="2">
        <v>165</v>
      </c>
    </row>
    <row r="96" spans="1:3">
      <c r="A96" s="8" t="s">
        <v>1241</v>
      </c>
      <c r="B96" s="1">
        <v>510</v>
      </c>
      <c r="C96" s="1">
        <v>255</v>
      </c>
    </row>
    <row r="102" spans="1:6" ht="25.5">
      <c r="B102" s="12"/>
      <c r="C102" s="12"/>
      <c r="D102" s="12"/>
      <c r="E102" s="12" t="s">
        <v>1235</v>
      </c>
      <c r="F102" s="12" t="s">
        <v>1236</v>
      </c>
    </row>
    <row r="103" spans="1:6">
      <c r="B103" s="13"/>
      <c r="C103" s="13"/>
      <c r="D103" s="13"/>
      <c r="E103" s="13">
        <v>25000</v>
      </c>
      <c r="F103" s="13">
        <v>12500</v>
      </c>
    </row>
    <row r="104" spans="1:6">
      <c r="B104" s="14"/>
      <c r="C104" s="14"/>
      <c r="D104" s="14"/>
      <c r="E104" s="14">
        <v>1250</v>
      </c>
      <c r="F104" s="14">
        <v>625</v>
      </c>
    </row>
    <row r="105" spans="1:6">
      <c r="B105" s="14"/>
      <c r="C105" s="14"/>
      <c r="D105" s="14"/>
      <c r="E105" s="14">
        <v>300000</v>
      </c>
      <c r="F105" s="14">
        <v>150000</v>
      </c>
    </row>
    <row r="106" spans="1:6">
      <c r="A106" s="9"/>
      <c r="B106" s="15" t="s">
        <v>1257</v>
      </c>
      <c r="C106" s="16"/>
      <c r="D106" s="16"/>
      <c r="E106" s="16" t="s">
        <v>1258</v>
      </c>
      <c r="F106" s="16">
        <v>150000</v>
      </c>
    </row>
    <row r="107" spans="1:6">
      <c r="A107" s="17" t="s">
        <v>1243</v>
      </c>
      <c r="B107" s="18">
        <f>SUM(B41)</f>
        <v>150</v>
      </c>
    </row>
    <row r="108" spans="1:6">
      <c r="A108" s="17" t="s">
        <v>1247</v>
      </c>
      <c r="B108" s="18">
        <f>SUM(B60)</f>
        <v>3300</v>
      </c>
    </row>
    <row r="109" spans="1:6">
      <c r="A109" s="17" t="s">
        <v>1251</v>
      </c>
      <c r="B109" s="18">
        <f>SUM(B79)</f>
        <v>5100</v>
      </c>
    </row>
    <row r="110" spans="1:6">
      <c r="A110" s="17" t="s">
        <v>1256</v>
      </c>
      <c r="B110" s="18">
        <f>SUM(B96)</f>
        <v>510</v>
      </c>
    </row>
    <row r="111" spans="1:6">
      <c r="A111" s="19" t="s">
        <v>1259</v>
      </c>
      <c r="B111" s="20">
        <f>SUM(B107:B110)</f>
        <v>9060</v>
      </c>
    </row>
    <row r="112" spans="1:6" ht="25.5">
      <c r="B112" s="12"/>
      <c r="C112" s="12"/>
      <c r="D112" s="12"/>
      <c r="E112" s="12" t="s">
        <v>1235</v>
      </c>
      <c r="F112" s="12" t="s">
        <v>1236</v>
      </c>
    </row>
    <row r="113" spans="2:6">
      <c r="B113" s="13"/>
      <c r="C113" s="13"/>
      <c r="D113" s="13"/>
      <c r="E113" s="13">
        <v>300000</v>
      </c>
      <c r="F113" s="13">
        <v>150000</v>
      </c>
    </row>
    <row r="114" spans="2:6">
      <c r="B114" s="14"/>
      <c r="C114" s="14"/>
      <c r="D114" s="14"/>
      <c r="E114" s="14">
        <v>15000</v>
      </c>
      <c r="F114" s="14">
        <v>7500</v>
      </c>
    </row>
    <row r="115" spans="2:6">
      <c r="B115" s="13"/>
      <c r="C115" s="13"/>
      <c r="D115" s="13"/>
      <c r="E115" s="13">
        <v>1200000</v>
      </c>
      <c r="F115" s="13">
        <v>600000</v>
      </c>
    </row>
    <row r="116" spans="2:6">
      <c r="B116" s="14"/>
      <c r="C116" s="14"/>
      <c r="D116" s="14"/>
      <c r="E116" s="14">
        <v>3600000</v>
      </c>
      <c r="F116" s="14">
        <v>1800000</v>
      </c>
    </row>
    <row r="117" spans="2:6">
      <c r="B117" s="16"/>
      <c r="C117" s="16"/>
      <c r="D117" s="16"/>
      <c r="E117" s="16" t="s">
        <v>1260</v>
      </c>
      <c r="F117" s="16">
        <v>2550000</v>
      </c>
    </row>
    <row r="124" spans="2:6">
      <c r="B124" t="s">
        <v>1231</v>
      </c>
    </row>
    <row r="149" spans="1:5">
      <c r="A149" s="21" t="s">
        <v>733</v>
      </c>
      <c r="B149" s="22" t="s">
        <v>730</v>
      </c>
      <c r="C149" s="22" t="s">
        <v>731</v>
      </c>
      <c r="D149" s="22" t="s">
        <v>732</v>
      </c>
      <c r="E149" s="24" t="s">
        <v>734</v>
      </c>
    </row>
    <row r="150" spans="1:5">
      <c r="A150" s="23" t="s">
        <v>715</v>
      </c>
      <c r="B150" s="23">
        <v>15</v>
      </c>
      <c r="C150" s="23">
        <v>6</v>
      </c>
      <c r="D150" s="23">
        <f t="shared" ref="D150:D152" si="0">SUM(B150-C150)</f>
        <v>9</v>
      </c>
      <c r="E150" s="21" t="s">
        <v>741</v>
      </c>
    </row>
    <row r="151" spans="1:5">
      <c r="A151" s="23" t="s">
        <v>716</v>
      </c>
      <c r="B151" s="23">
        <v>270</v>
      </c>
      <c r="C151" s="23">
        <v>153</v>
      </c>
      <c r="D151" s="23">
        <f t="shared" si="0"/>
        <v>117</v>
      </c>
      <c r="E151" s="21" t="s">
        <v>744</v>
      </c>
    </row>
    <row r="152" spans="1:5">
      <c r="A152" s="23" t="s">
        <v>717</v>
      </c>
      <c r="B152" s="23">
        <v>5</v>
      </c>
      <c r="C152" s="23">
        <v>2.2000000000000002</v>
      </c>
      <c r="D152" s="23">
        <f t="shared" si="0"/>
        <v>2.8</v>
      </c>
      <c r="E152" s="21" t="s">
        <v>741</v>
      </c>
    </row>
    <row r="153" spans="1:5">
      <c r="A153" s="23" t="s">
        <v>718</v>
      </c>
      <c r="B153" s="23">
        <f t="shared" ref="B153:B164" si="1">SUM(B134)</f>
        <v>0</v>
      </c>
      <c r="C153" s="23">
        <f t="shared" ref="C153:C164" si="2">SUM(C134)</f>
        <v>0</v>
      </c>
      <c r="D153" s="23">
        <f t="shared" ref="D153:D164" si="3">SUM(D134)</f>
        <v>0</v>
      </c>
      <c r="E153" s="21" t="s">
        <v>741</v>
      </c>
    </row>
    <row r="154" spans="1:5">
      <c r="A154" s="23" t="s">
        <v>719</v>
      </c>
      <c r="B154" s="23">
        <f t="shared" si="1"/>
        <v>0</v>
      </c>
      <c r="C154" s="23">
        <f t="shared" si="2"/>
        <v>0</v>
      </c>
      <c r="D154" s="23">
        <f t="shared" si="3"/>
        <v>0</v>
      </c>
      <c r="E154" s="21" t="s">
        <v>744</v>
      </c>
    </row>
    <row r="155" spans="1:5">
      <c r="A155" s="23" t="s">
        <v>720</v>
      </c>
      <c r="B155" s="23">
        <f t="shared" si="1"/>
        <v>0</v>
      </c>
      <c r="C155" s="23">
        <f t="shared" si="2"/>
        <v>0</v>
      </c>
      <c r="D155" s="23">
        <f t="shared" si="3"/>
        <v>0</v>
      </c>
      <c r="E155" s="21" t="s">
        <v>741</v>
      </c>
    </row>
    <row r="156" spans="1:5">
      <c r="A156" s="23" t="s">
        <v>721</v>
      </c>
      <c r="B156" s="23">
        <f t="shared" si="1"/>
        <v>0</v>
      </c>
      <c r="C156" s="23">
        <f t="shared" si="2"/>
        <v>0</v>
      </c>
      <c r="D156" s="23">
        <f t="shared" si="3"/>
        <v>0</v>
      </c>
      <c r="E156" s="21" t="s">
        <v>741</v>
      </c>
    </row>
    <row r="157" spans="1:5">
      <c r="A157" s="23" t="s">
        <v>722</v>
      </c>
      <c r="B157" s="23">
        <f t="shared" si="1"/>
        <v>0</v>
      </c>
      <c r="C157" s="23">
        <f t="shared" si="2"/>
        <v>0</v>
      </c>
      <c r="D157" s="23">
        <f t="shared" si="3"/>
        <v>0</v>
      </c>
      <c r="E157" s="21" t="s">
        <v>744</v>
      </c>
    </row>
    <row r="158" spans="1:5">
      <c r="A158" s="23" t="s">
        <v>723</v>
      </c>
      <c r="B158" s="23">
        <f t="shared" si="1"/>
        <v>0</v>
      </c>
      <c r="C158" s="23">
        <f t="shared" si="2"/>
        <v>0</v>
      </c>
      <c r="D158" s="23">
        <f t="shared" si="3"/>
        <v>0</v>
      </c>
      <c r="E158" s="21" t="s">
        <v>741</v>
      </c>
    </row>
    <row r="159" spans="1:5">
      <c r="A159" s="23" t="s">
        <v>724</v>
      </c>
      <c r="B159" s="23">
        <f t="shared" si="1"/>
        <v>0</v>
      </c>
      <c r="C159" s="23">
        <f t="shared" si="2"/>
        <v>0</v>
      </c>
      <c r="D159" s="23">
        <f t="shared" si="3"/>
        <v>0</v>
      </c>
      <c r="E159" s="21" t="s">
        <v>741</v>
      </c>
    </row>
    <row r="160" spans="1:5">
      <c r="A160" s="23" t="s">
        <v>749</v>
      </c>
      <c r="B160" s="23">
        <f t="shared" si="1"/>
        <v>0</v>
      </c>
      <c r="C160" s="23">
        <f t="shared" si="2"/>
        <v>0</v>
      </c>
      <c r="D160" s="23">
        <f t="shared" si="3"/>
        <v>0</v>
      </c>
      <c r="E160" s="21" t="s">
        <v>741</v>
      </c>
    </row>
    <row r="161" spans="1:5">
      <c r="A161" s="23" t="s">
        <v>726</v>
      </c>
      <c r="B161" s="23">
        <f t="shared" si="1"/>
        <v>0</v>
      </c>
      <c r="C161" s="23">
        <f t="shared" si="2"/>
        <v>0</v>
      </c>
      <c r="D161" s="23">
        <f t="shared" si="3"/>
        <v>0</v>
      </c>
      <c r="E161" s="21" t="s">
        <v>741</v>
      </c>
    </row>
    <row r="162" spans="1:5">
      <c r="A162" s="23" t="s">
        <v>727</v>
      </c>
      <c r="B162" s="23">
        <f t="shared" si="1"/>
        <v>0</v>
      </c>
      <c r="C162" s="23">
        <f t="shared" si="2"/>
        <v>0</v>
      </c>
      <c r="D162" s="23">
        <f t="shared" si="3"/>
        <v>0</v>
      </c>
      <c r="E162" s="21" t="s">
        <v>741</v>
      </c>
    </row>
    <row r="163" spans="1:5">
      <c r="A163" s="23" t="s">
        <v>728</v>
      </c>
      <c r="B163" s="23">
        <f t="shared" si="1"/>
        <v>0</v>
      </c>
      <c r="C163" s="23">
        <f t="shared" si="2"/>
        <v>0</v>
      </c>
      <c r="D163" s="23">
        <f t="shared" si="3"/>
        <v>0</v>
      </c>
      <c r="E163" s="21" t="s">
        <v>741</v>
      </c>
    </row>
    <row r="164" spans="1:5">
      <c r="A164" s="23" t="s">
        <v>729</v>
      </c>
      <c r="B164" s="23">
        <f t="shared" si="1"/>
        <v>0</v>
      </c>
      <c r="C164" s="23">
        <f t="shared" si="2"/>
        <v>0</v>
      </c>
      <c r="D164" s="23">
        <f t="shared" si="3"/>
        <v>0</v>
      </c>
      <c r="E164" s="21" t="s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VM </vt:lpstr>
      <vt:lpstr>Hardware</vt:lpstr>
      <vt:lpstr>DISK</vt:lpstr>
      <vt:lpstr>DISK USAGE</vt:lpstr>
      <vt:lpstr>VM-OS DISK</vt:lpstr>
      <vt:lpstr>NAS</vt:lpstr>
      <vt:lpstr>HPC</vt:lpstr>
      <vt:lpstr>Storage</vt:lpstr>
      <vt:lpstr>Backup</vt:lpstr>
      <vt:lpstr>Backup-Calculator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sillikkal</dc:creator>
  <cp:lastModifiedBy>Vinisha Pillai</cp:lastModifiedBy>
  <dcterms:created xsi:type="dcterms:W3CDTF">2019-06-16T22:37:00Z</dcterms:created>
  <dcterms:modified xsi:type="dcterms:W3CDTF">2020-05-12T10:14:49Z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